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mc:AlternateContent xmlns:mc="http://schemas.openxmlformats.org/markup-compatibility/2006">
    <mc:Choice Requires="x15">
      <x15ac:absPath xmlns:x15ac="http://schemas.microsoft.com/office/spreadsheetml/2010/11/ac" url="https://sondachile-my.sharepoint.com/personal/jvillacb_sonda_com/Documents/SONDA/CLIENTES/1 Plantillas/Cotizador/"/>
    </mc:Choice>
  </mc:AlternateContent>
  <xr:revisionPtr revIDLastSave="0" documentId="8_{58D58448-2C53-4255-AEF2-6E30AD112BE0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Índice" sheetId="18" r:id="rId1"/>
    <sheet name="ARUBA" sheetId="12" r:id="rId2"/>
    <sheet name="AZURE" sheetId="6" r:id="rId3"/>
    <sheet name="CISCO" sheetId="1" r:id="rId4"/>
    <sheet name="DELL" sheetId="4" r:id="rId5"/>
    <sheet name="EQUIPO PIVOTE" sheetId="17" r:id="rId6"/>
    <sheet name="Extras" sheetId="20" r:id="rId7"/>
    <sheet name="Firewalls" sheetId="13" r:id="rId8"/>
    <sheet name="FORTI" sheetId="3" r:id="rId9"/>
    <sheet name="HP" sheetId="2" r:id="rId10"/>
    <sheet name="HPE" sheetId="16" r:id="rId11"/>
    <sheet name="ROUTER" sheetId="19" r:id="rId12"/>
    <sheet name="SERVIDORES" sheetId="10" r:id="rId13"/>
    <sheet name="SITE SURVEY" sheetId="11" r:id="rId14"/>
    <sheet name="STORAGE" sheetId="14" r:id="rId15"/>
    <sheet name="SWITCHES" sheetId="9" r:id="rId16"/>
    <sheet name="VEEAM" sheetId="7" r:id="rId17"/>
    <sheet name="VMWARE" sheetId="8" r:id="rId18"/>
  </sheets>
  <definedNames>
    <definedName name="_xlnm._FilterDatabase" localSheetId="2" hidden="1">AZURE!$B$1:$N$1</definedName>
    <definedName name="_xlnm._FilterDatabase" localSheetId="3" hidden="1">CISCO!$B$1:$M$263</definedName>
    <definedName name="_xlnm._FilterDatabase" localSheetId="4" hidden="1">DELL!$B$1:$N$215</definedName>
    <definedName name="_xlnm._FilterDatabase" localSheetId="8" hidden="1">FORTI!$B$1:$M$1</definedName>
    <definedName name="_xlnm._FilterDatabase" localSheetId="9" hidden="1">HP!$B$1:$N$1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8" l="1"/>
  <c r="K52" i="8"/>
  <c r="K51" i="8"/>
  <c r="K47" i="8"/>
  <c r="K46" i="8"/>
  <c r="K45" i="8"/>
  <c r="K44" i="8"/>
  <c r="K38" i="8"/>
  <c r="K39" i="8"/>
  <c r="K40" i="8"/>
  <c r="K37" i="8"/>
  <c r="K32" i="8"/>
  <c r="K33" i="8"/>
  <c r="K31" i="8"/>
  <c r="M6" i="19"/>
  <c r="K5" i="19"/>
  <c r="K4" i="19"/>
  <c r="K3" i="19"/>
  <c r="K2" i="19"/>
  <c r="K172" i="1"/>
  <c r="M27" i="1"/>
  <c r="K27" i="1"/>
  <c r="K26" i="1"/>
  <c r="K25" i="1"/>
  <c r="K24" i="1"/>
  <c r="K23" i="1"/>
  <c r="M84" i="1"/>
  <c r="K83" i="1"/>
  <c r="K82" i="1"/>
  <c r="K81" i="1"/>
  <c r="M127" i="1"/>
  <c r="M102" i="1"/>
  <c r="M188" i="1"/>
  <c r="M187" i="1"/>
  <c r="K164" i="1"/>
  <c r="K163" i="1"/>
  <c r="K161" i="1"/>
  <c r="K158" i="1"/>
  <c r="K159" i="1"/>
  <c r="K160" i="1"/>
  <c r="K157" i="1"/>
  <c r="K149" i="1"/>
  <c r="K150" i="1"/>
  <c r="K151" i="1"/>
  <c r="K152" i="1"/>
  <c r="K153" i="1"/>
  <c r="K154" i="1"/>
  <c r="K155" i="1"/>
  <c r="K148" i="1"/>
  <c r="K177" i="1"/>
  <c r="K176" i="1"/>
  <c r="K168" i="1"/>
  <c r="K167" i="1"/>
  <c r="K170" i="1"/>
  <c r="K169" i="1"/>
  <c r="K166" i="1"/>
  <c r="K112" i="1"/>
  <c r="M131" i="1"/>
  <c r="M130" i="1"/>
  <c r="M129" i="1"/>
  <c r="M126" i="1"/>
  <c r="M125" i="1"/>
  <c r="K123" i="1"/>
  <c r="K122" i="1"/>
  <c r="K120" i="1"/>
  <c r="K119" i="1"/>
  <c r="K118" i="1"/>
  <c r="K117" i="1"/>
  <c r="K115" i="1"/>
  <c r="K114" i="1"/>
  <c r="K113" i="1"/>
  <c r="M109" i="1"/>
  <c r="M105" i="1"/>
  <c r="M106" i="1"/>
  <c r="M104" i="1"/>
  <c r="M101" i="1"/>
  <c r="M100" i="1"/>
  <c r="K98" i="1"/>
  <c r="K97" i="1"/>
  <c r="K95" i="1"/>
  <c r="K94" i="1"/>
  <c r="K93" i="1"/>
  <c r="K92" i="1"/>
  <c r="K90" i="1"/>
  <c r="K89" i="1"/>
  <c r="K88" i="1"/>
  <c r="K87" i="1"/>
  <c r="C10" i="18"/>
  <c r="C7" i="18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3" i="18"/>
  <c r="G10" i="18"/>
  <c r="G9" i="18"/>
  <c r="G8" i="18"/>
  <c r="G7" i="18"/>
  <c r="G6" i="18"/>
  <c r="G5" i="18"/>
  <c r="G4" i="18"/>
  <c r="G3" i="18"/>
  <c r="C9" i="18"/>
  <c r="C8" i="18"/>
  <c r="C6" i="18"/>
  <c r="C5" i="18"/>
  <c r="C4" i="18"/>
  <c r="M11" i="13"/>
  <c r="L11" i="13"/>
  <c r="M10" i="13"/>
  <c r="L10" i="13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0" i="10"/>
  <c r="L10" i="10"/>
  <c r="M9" i="10"/>
  <c r="L9" i="10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32" i="4"/>
  <c r="L32" i="4"/>
  <c r="M31" i="4"/>
  <c r="L31" i="4"/>
  <c r="M30" i="4"/>
  <c r="L30" i="4"/>
  <c r="M29" i="4"/>
  <c r="L29" i="4"/>
  <c r="M28" i="4"/>
  <c r="L28" i="4"/>
  <c r="M27" i="4"/>
  <c r="L27" i="4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4" i="9"/>
  <c r="L4" i="9"/>
  <c r="M3" i="9"/>
  <c r="L3" i="9"/>
  <c r="M2" i="9"/>
  <c r="L2" i="9"/>
  <c r="K44" i="4"/>
  <c r="K43" i="4"/>
  <c r="K42" i="4"/>
  <c r="K41" i="4"/>
  <c r="K40" i="4"/>
  <c r="M209" i="1"/>
  <c r="K76" i="1"/>
  <c r="K75" i="1"/>
</calcChain>
</file>

<file path=xl/sharedStrings.xml><?xml version="1.0" encoding="utf-8"?>
<sst xmlns="http://schemas.openxmlformats.org/spreadsheetml/2006/main" count="3192" uniqueCount="668">
  <si>
    <t>No.</t>
  </si>
  <si>
    <t>Marca</t>
  </si>
  <si>
    <t>Actividad</t>
  </si>
  <si>
    <t>Detalle</t>
  </si>
  <si>
    <t>N1</t>
  </si>
  <si>
    <t>N2</t>
  </si>
  <si>
    <t>N3</t>
  </si>
  <si>
    <t>E1</t>
  </si>
  <si>
    <t>E2</t>
  </si>
  <si>
    <t>Tipo</t>
  </si>
  <si>
    <t>Horas Laborables</t>
  </si>
  <si>
    <t>Horas no Laborables 50%</t>
  </si>
  <si>
    <t>Horas no Laborables 100%</t>
  </si>
  <si>
    <t>Observaciones</t>
  </si>
  <si>
    <t>1 Switch HPE Aruba 2930F 24 puertos POE+ 4 puertos SFP+</t>
  </si>
  <si>
    <t>Instalación física de 1 switches</t>
  </si>
  <si>
    <t>x</t>
  </si>
  <si>
    <t>Actualización de IOS</t>
  </si>
  <si>
    <t>Configuración básica, direccionamiento IP</t>
  </si>
  <si>
    <t>Configuración puertos acceso y trunk</t>
  </si>
  <si>
    <t xml:space="preserve">Pruebas de conectividad </t>
  </si>
  <si>
    <t>APS ARUBA 515 (15)</t>
  </si>
  <si>
    <t>Instalación física de 15 aps</t>
  </si>
  <si>
    <t>X</t>
  </si>
  <si>
    <t>Cotizar con RAFA instalación de Aps</t>
  </si>
  <si>
    <t>Registro de cuentas dashboard</t>
  </si>
  <si>
    <t>Configuración inicial</t>
  </si>
  <si>
    <t>Configuración de SSID - hasta 3</t>
  </si>
  <si>
    <t>Configuración de politicas de Seguridad</t>
  </si>
  <si>
    <t>Registro de 15 AP</t>
  </si>
  <si>
    <t>Pruebas de funcionamiento</t>
  </si>
  <si>
    <t>upgrade AP aruba</t>
  </si>
  <si>
    <t>Validación de licencias Aruba Central</t>
  </si>
  <si>
    <t>(1–10 APs) 
1.5 a 3 horas
(10–50 APs)
3 a 6 horas</t>
  </si>
  <si>
    <t>Backup/export configuración</t>
  </si>
  <si>
    <t>Verificación conectividad Internet / Activate</t>
  </si>
  <si>
    <t>Revisión versión firmware actual y recomendada</t>
  </si>
  <si>
    <t>Configurar Firmware Compliance en Aruba Central</t>
  </si>
  <si>
    <t>Descarga firmware hacia AP</t>
  </si>
  <si>
    <t>Upgrade firmware AP-515</t>
  </si>
  <si>
    <t>Upgrade firmware AP-577</t>
  </si>
  <si>
    <t>Reboot y rejoin a Central</t>
  </si>
  <si>
    <t>Validación SSID / clientes / roaming</t>
  </si>
  <si>
    <t>Monitoreo post cambio</t>
  </si>
  <si>
    <t>Despliegue y Migración</t>
  </si>
  <si>
    <t>Crear y habilitar Tenant en Azure</t>
  </si>
  <si>
    <t>Crear Grupo de Recursos</t>
  </si>
  <si>
    <t>Crear Red y subred virtual</t>
  </si>
  <si>
    <t>Crear Subred de puerta de enlace</t>
  </si>
  <si>
    <t>Crear VPN S2S</t>
  </si>
  <si>
    <t>Despliegue de servidores</t>
  </si>
  <si>
    <t>Despliegue y configuración de Azure Site Recovery</t>
  </si>
  <si>
    <t>Replicar discos virtuale</t>
  </si>
  <si>
    <t>Validación de réplicas efectuadas</t>
  </si>
  <si>
    <t>Instalación Nexus Dashboard</t>
  </si>
  <si>
    <t>Instalación física 3 servidores</t>
  </si>
  <si>
    <t>Configuración inicial de servidores</t>
  </si>
  <si>
    <t>Configuración Nexus Dashboard</t>
  </si>
  <si>
    <t>Instalación Cisco Multisite Orchestrator</t>
  </si>
  <si>
    <t>Instalación MSO en Nexus Dashboard</t>
  </si>
  <si>
    <t>Configuración MSO</t>
  </si>
  <si>
    <t>Migración MSO a Nexus Dashboard</t>
  </si>
  <si>
    <t>Validación/ pruebas de funcionamiento</t>
  </si>
  <si>
    <t>Instalación Cisco Nexus Insights</t>
  </si>
  <si>
    <t>Instalación Nexus Insights en Nexus Dashboard</t>
  </si>
  <si>
    <t>Configuración políticas</t>
  </si>
  <si>
    <t>Integración ACI</t>
  </si>
  <si>
    <t>Instalación Cisco Network Assurance Engine (NAE)</t>
  </si>
  <si>
    <t>Instalación Cisco NAE en Nexus Dashboard</t>
  </si>
  <si>
    <t>Validaciones/pruebas de funcionamiento</t>
  </si>
  <si>
    <t>Migración de WLC 5508 a 2 controladoras virtuales</t>
  </si>
  <si>
    <t>Deploy WLC en vmware</t>
  </si>
  <si>
    <t xml:space="preserve">Migración de WLC 5508 a 2 controladoras virtuales:
Wireless LAN Controller Virtualizada redundante.
4 Access Points Indoor con antenas externas modelo C9120.
Licenciamiento para 100 APs. Estás licencias se están cotizando como nuevas
</t>
  </si>
  <si>
    <t>Configuracion WLC  en HA</t>
  </si>
  <si>
    <t>Integración 100 Aps</t>
  </si>
  <si>
    <t>Instalación física 4 Aps</t>
  </si>
  <si>
    <t>Integración Aps 9120</t>
  </si>
  <si>
    <t>Registro licenciamiento</t>
  </si>
  <si>
    <t>Implementación Nexus N9K-C93180YC-FX3 (LAN)</t>
  </si>
  <si>
    <t xml:space="preserve">Instalación física de 2 nexus </t>
  </si>
  <si>
    <t>CANTIDAD</t>
  </si>
  <si>
    <t xml:space="preserve">Migración Swicthes Nexus 5K:
2 Switches nexus N9K-C93180YC-FX3 (LAN). Se está incluyendo licenciamiento DCN Essentials.
2 Swicthes nexus N9K-C93360YC-FX2 (Licenciamiento LAN y SAN). Se está incluyendo licenciamiento DCN Essentials y Storage.
12 QSFPs de 40G
Estos equipos están configurados en modo NXOS.
</t>
  </si>
  <si>
    <t xml:space="preserve">Configuración básica, direccionamiento IP, </t>
  </si>
  <si>
    <t>Configuración de puertos</t>
  </si>
  <si>
    <t>Migración y estabilización</t>
  </si>
  <si>
    <t>Implementación Nexus N9K-C93360YC-FX2 (Licenciamiento LAN y SAN)</t>
  </si>
  <si>
    <t>Integracion Nexus N9K-C93360YC-FX2  a la red actual</t>
  </si>
  <si>
    <t>FASE 1 – Planificación y Levantamiento de Información</t>
  </si>
  <si>
    <t>Validación de compatibilidad:
Versión APIC
Versión NX-OS
Compatibilidad hardware/software</t>
  </si>
  <si>
    <t>Actualizar firmware</t>
  </si>
  <si>
    <t>Preconfiguración Inicial</t>
  </si>
  <si>
    <t>FASE 2 - Puesta en producción</t>
  </si>
  <si>
    <t>Integración al Fabric ACI</t>
  </si>
  <si>
    <t>FASE 3 - Pruebas</t>
  </si>
  <si>
    <t>Validación de servicios</t>
  </si>
  <si>
    <t>UCS  chasis - blades - fabric</t>
  </si>
  <si>
    <t>Instalación física (Chasis + Blades + fabric)</t>
  </si>
  <si>
    <t>Puesta en marcha (inicialización de los Fabric Interconnect)</t>
  </si>
  <si>
    <t>Actualización de firmware (infraestructure + Servers + fabric)</t>
  </si>
  <si>
    <t>Configuración de políticas (Lan, San, Boot) + Perfiles</t>
  </si>
  <si>
    <t>Integración a la red LAN &amp; SAN (Zonificación)</t>
  </si>
  <si>
    <t>Acompañamiento en instalación y configuración de hipervisor</t>
  </si>
  <si>
    <t>Pruebas de funcionamiento / Pruebas de resiliencia</t>
  </si>
  <si>
    <t>Análisis de versiones y Upgrade de los UCS existentes</t>
  </si>
  <si>
    <t>SERVIDOR UCS C220M6</t>
  </si>
  <si>
    <t>Servicios Base</t>
  </si>
  <si>
    <t>Instalación física en rack</t>
  </si>
  <si>
    <t>tips</t>
  </si>
  <si>
    <t>Etiquetado de cables (Energía y datos) que conectan al servidor</t>
  </si>
  <si>
    <t>vmware</t>
  </si>
  <si>
    <t>Configuración de Puerto de monitoreo</t>
  </si>
  <si>
    <t>horas de startup 4 horas de vca</t>
  </si>
  <si>
    <t>Actualización de firmware a la ultima versión recomendada</t>
  </si>
  <si>
    <t xml:space="preserve">configuración de veeam </t>
  </si>
  <si>
    <t>Configuración de BIOS, controladora de discos</t>
  </si>
  <si>
    <t>replica de maquinas virtuales</t>
  </si>
  <si>
    <t>Instalación de sistema Operativo Windows Server</t>
  </si>
  <si>
    <t xml:space="preserve">portrans </t>
  </si>
  <si>
    <t>Software de Monitoreo Cisco Intersight</t>
  </si>
  <si>
    <t>Activación y asociamiento licencia Intersight al nuevo servidor en el portal de Intersight</t>
  </si>
  <si>
    <t>ACtualización ISE</t>
  </si>
  <si>
    <t>Actualización Ise de versión 2.7 a 3.x</t>
  </si>
  <si>
    <t xml:space="preserve">Actualización ISE:
Licenciamiento para actualizar el ISE de v2.7 a 3.X nodos redundantes. Actualmente tienen ISE virtuales
Licencias base 4000. Se está cotizando licenciamiento Essentials.
Licencias plus 100. Se está cotizando licenciamiento Advantage.
</t>
  </si>
  <si>
    <t>Activación de licenciamiento ISE</t>
  </si>
  <si>
    <t>Configuración Meraki</t>
  </si>
  <si>
    <t>Regsitro cuentas dashboard</t>
  </si>
  <si>
    <t>Inegración con servidor radius</t>
  </si>
  <si>
    <t>Registro de 118 AP</t>
  </si>
  <si>
    <t>Puesta en producción</t>
  </si>
  <si>
    <t>Implementacion Swithces Core catalyst o Nexus</t>
  </si>
  <si>
    <t>Instalación física de 2 switches + cableado y etiquetado</t>
  </si>
  <si>
    <t>Configuración , direccionamiento IP, Configuración puertos acceso y trunk</t>
  </si>
  <si>
    <t>Configuración de enrutamiento</t>
  </si>
  <si>
    <t>Rollback</t>
  </si>
  <si>
    <t>Implementacion Swithces acceso</t>
  </si>
  <si>
    <t>Instalación física de switches + cableado y etiquetado</t>
  </si>
  <si>
    <t>CANTIDAD SW ACCESO</t>
  </si>
  <si>
    <t>Migración e Implementacion Swithces Core catalyst o Nexus</t>
  </si>
  <si>
    <t>1. Fase de Preparación</t>
  </si>
  <si>
    <t>CANTIDAD DE CORES NUEVOS</t>
  </si>
  <si>
    <t>Levantamiento de información del entorno actual (topología, VLANs, routing, servicios activos).</t>
  </si>
  <si>
    <t>CANTIDAD DE CORES ANTIGUOS</t>
  </si>
  <si>
    <t>Respaldo y validación de configuraciones existentes.</t>
  </si>
  <si>
    <t>Actualización de IOS/NX-OS a versiones recomendadas.</t>
  </si>
  <si>
    <t>Elaboración del plan de migración y plan de rollback.</t>
  </si>
  <si>
    <t>2. Fase de Implementación</t>
  </si>
  <si>
    <t>Instalación física de los switches en el rack.</t>
  </si>
  <si>
    <t>Conexión de cableado eléctrico y de datos.</t>
  </si>
  <si>
    <t>Etiquetado de cables (energía y red) para correcta identificación.</t>
  </si>
  <si>
    <t>Encendido y verificación inicial de los equipos.</t>
  </si>
  <si>
    <t>3. Fase de Configuración</t>
  </si>
  <si>
    <t>Réplica y ajuste de la configuración del core actual en los nuevos switches.
Configuración de:
VLANs y Trunks
Protocolos de enrutamiento (OSPF, EIGRP, etc.)
HSRP/VRRP (si aplica)
Port-channels / EtherChannel</t>
  </si>
  <si>
    <t>Validación de configuracion actual y nueva replicada</t>
  </si>
  <si>
    <t>4. Fase de Migración</t>
  </si>
  <si>
    <t>Cambio controlado de enlaces hacia los nuevos switches core.</t>
  </si>
  <si>
    <t>Monitoreo en tiempo real de la red, conectividad y servicios  durante el cambio.</t>
  </si>
  <si>
    <t>Desmontaje de switches entiguos</t>
  </si>
  <si>
    <t>5. Fase de Estabilización</t>
  </si>
  <si>
    <t>Verificación de operación normal (usuarios, aplicaciones, enlaces).</t>
  </si>
  <si>
    <t>Monitoreo de desempeño (CPU, memoria, interfaces).</t>
  </si>
  <si>
    <t>Ajustes post-migración</t>
  </si>
  <si>
    <t>6. Plan de Rollback</t>
  </si>
  <si>
    <t>Ejecución de plan de reversión en caso de fallas críticas.</t>
  </si>
  <si>
    <t>Restauración de configuraciones anteriores.</t>
  </si>
  <si>
    <t>Validación de retorno a operación estable.</t>
  </si>
  <si>
    <t>CANTIDAD DE EQUIPOS ACCESO NUEVOS</t>
  </si>
  <si>
    <t>CANTIDAD DE EQUIPOS ACCESO ANTIGUOS</t>
  </si>
  <si>
    <t>Réplica y ajuste de la configuración del core actual en los nuevos switches.
Configuración de:
VLANs y Trunks
Protocolos de enrutamiento (OSPF, EIGRP, etc.)
HSRP/VRRP (si aplica)
Port-channels / EtherChannel</t>
  </si>
  <si>
    <t>Cambio controlado de enlaces hacia los nuevos switches acceso.</t>
  </si>
  <si>
    <t>Migracion e Implementacion Swithces acceso</t>
  </si>
  <si>
    <t>HiperConvergencia (HyperFlex Cisco) - 3 nodos</t>
  </si>
  <si>
    <t>Instalación física y etiquetado de cables</t>
  </si>
  <si>
    <t>Inicialización de Fabric interconnect</t>
  </si>
  <si>
    <t xml:space="preserve">Actualización de firmware </t>
  </si>
  <si>
    <t xml:space="preserve">Actualización de ESXi (HX-Nodos) </t>
  </si>
  <si>
    <t>Integración a la red LAN &amp; SAN</t>
  </si>
  <si>
    <t>Configuración HX Clúster + vCenter Server</t>
  </si>
  <si>
    <t>Configuración de Cisco Intersight SaaS</t>
  </si>
  <si>
    <t>Instalación y configuración de CWOM</t>
  </si>
  <si>
    <t>Migración de máquinas virtuales (Hasta 120 VMs Vmware)</t>
  </si>
  <si>
    <t>Pruebas de funcionamiento / Alta disponibilidad</t>
  </si>
  <si>
    <t>Migracion y Implementación WLC C9800 y 7 Aps C9120</t>
  </si>
  <si>
    <t>Fase 0: Site Survey (Levantamiento y Análisis de Cobertura)</t>
  </si>
  <si>
    <t>Inspección física de las instalaciones del cliente.</t>
  </si>
  <si>
    <t>Area Grandes</t>
  </si>
  <si>
    <t>Identificación de ubicaciones actuales de Access Points.</t>
  </si>
  <si>
    <t>Evaluación de condiciones del entorno (obstáculos, interferencias, materiales).</t>
  </si>
  <si>
    <t>Medición de señal inalámbrica (RSSI), ruido e interferencias.</t>
  </si>
  <si>
    <t>Evaluación del desempeño de la red inalámbrica actual.</t>
  </si>
  <si>
    <t>Revisión de planos proporcionados por el cliente.</t>
  </si>
  <si>
    <t>Validación de dimensiones, alturas y áreas de cobertura.</t>
  </si>
  <si>
    <t>Identificación de zonas críticas y requerimientos de cobertura.</t>
  </si>
  <si>
    <t>Modelamiento de la red inalámbrica en herramienta de site survey.</t>
  </si>
  <si>
    <t>Simulación predictiva de cobertura con los Access Points propuestos.</t>
  </si>
  <si>
    <t>Análisis de cobertura, capacidad y solapamiento de celdas.</t>
  </si>
  <si>
    <t>Identificación de zonas de baja cobertura o interferencia.</t>
  </si>
  <si>
    <t>Definición de ubicaciones óptimas de Access Points.</t>
  </si>
  <si>
    <t>Recomendación de distribución y cantidad de equipos.</t>
  </si>
  <si>
    <t>Definición de parámetros RF iniciales (canales, potencia).</t>
  </si>
  <si>
    <t>Elaboración de informe técnico del site survey.</t>
  </si>
  <si>
    <t>Generación de planos con ubicación recomendada de Access Points.</t>
  </si>
  <si>
    <t>Documentación de resultados y recomendaciones de implementación.</t>
  </si>
  <si>
    <t>Fase 1: Preparación y Preconfiguración  (CW9800-L)</t>
  </si>
  <si>
    <t>CANTIDAD WLC</t>
  </si>
  <si>
    <t>Actualización del sistema operativo (IOS-XE) de la Wireless LAN Controller a la versión recomendada por el fabricante.</t>
  </si>
  <si>
    <t>Configuración base del equipo (hostname, direccionamiento IP de gestión, credenciales de acceso).</t>
  </si>
  <si>
    <t>Replicación de la configuración inalámbrica existente (SSID, perfiles de seguridad, autenticación y parámetros asociados).</t>
  </si>
  <si>
    <t>Asociación de SSID a VLANs (provistas por el cliente).</t>
  </si>
  <si>
    <t>Validación de compatibilidad de firmware con los Access Points.</t>
  </si>
  <si>
    <t>Fase 2: Integración de Access Points -(CW9172IAP)</t>
  </si>
  <si>
    <t>CANTIDAD AP nuevos</t>
  </si>
  <si>
    <t>Registro preliminar e integración de hasta Access Points  en la controladora.</t>
  </si>
  <si>
    <t>CANTIDAD AP antiguos</t>
  </si>
  <si>
    <t>Asociación de los APs a perfiles y políticas configuradas.</t>
  </si>
  <si>
    <t>Validación de adopción y estado operativo en entorno controlado (cuando aplique).</t>
  </si>
  <si>
    <t>Fase 3: Instalación Física</t>
  </si>
  <si>
    <t>Instalación física de la Wireless LAN Controller en sitio.</t>
  </si>
  <si>
    <t>Instalación y conexión de los Access Points en las ubicaciones definidas.(CUANDO APLIQUE)</t>
  </si>
  <si>
    <t>Conexión de uplinks de red, energía y verificación de enlaces.</t>
  </si>
  <si>
    <t>Fase 4: Pruebas y Validación</t>
  </si>
  <si>
    <t>Ejecución de pruebas de conectividad inalámbrica.</t>
  </si>
  <si>
    <t>Validación de acceso a red (DHCP, autenticación, navegación).</t>
  </si>
  <si>
    <t>Verificación de operación de los APs y cobertura básica.</t>
  </si>
  <si>
    <t>Fase 5: Puesta en Producción</t>
  </si>
  <si>
    <t>Migración controlada del servicio inalámbrico hacia la nueva infraestructura.</t>
  </si>
  <si>
    <t>Monitoreo inicial y ajustes menores si se requieren.</t>
  </si>
  <si>
    <t>Validación final del servicio con el cliente.</t>
  </si>
  <si>
    <t>Desmontale de Controladora antigua</t>
  </si>
  <si>
    <t>Desmontaje de AP antiguios (si aplica)</t>
  </si>
  <si>
    <t>Fase 5: Rollback</t>
  </si>
  <si>
    <t> </t>
  </si>
  <si>
    <t>0.5</t>
  </si>
  <si>
    <t>Implementación Routers de Borde (2)</t>
  </si>
  <si>
    <t>Instalación física Routers de borde</t>
  </si>
  <si>
    <t>Configuración básica, direccionamiento IP, actualización IOS</t>
  </si>
  <si>
    <t>Definición de rutas (protocolos de enrutamiento)</t>
  </si>
  <si>
    <t>Migración, Pruebas y estabilización</t>
  </si>
  <si>
    <t>DNA</t>
  </si>
  <si>
    <t>Instalación física de DNA Appliance</t>
  </si>
  <si>
    <t>Actualización de IOS DNA</t>
  </si>
  <si>
    <t>Configurción básica, direccionamiento IP, Integración con ISE</t>
  </si>
  <si>
    <t xml:space="preserve">Implementación ISE (Identity Services Engine) </t>
  </si>
  <si>
    <t>Instalación física de ISE Appliance</t>
  </si>
  <si>
    <t>Configuración básica, direccionamiento IP, Actualización</t>
  </si>
  <si>
    <t>Creación de Políticas / Autenticación , Authorización</t>
  </si>
  <si>
    <t>Migración Pruebas y estabilización</t>
  </si>
  <si>
    <t>2 Chasis Cisco UCSX 9508</t>
  </si>
  <si>
    <t xml:space="preserve">Instalación física </t>
  </si>
  <si>
    <t>Paso de cableado a MDS y Nexus</t>
  </si>
  <si>
    <t>BANCO GUAYAQUIL  Instalación, configuración y puesta en marcha</t>
  </si>
  <si>
    <t>Instalación física de chasis</t>
  </si>
  <si>
    <t>7 servidores X210cM8 (DB) 24c
6 servidores X210cM8 (DB) 32c</t>
  </si>
  <si>
    <t>Diseño y dimensionamiento de WWPN, WWNN, MACs. IPs y UUID</t>
  </si>
  <si>
    <t xml:space="preserve">Instalacion fisica </t>
  </si>
  <si>
    <t>Reclamacion de licencias en intersight</t>
  </si>
  <si>
    <t>Editar perfil de dominio de UCS</t>
  </si>
  <si>
    <t>Verificar chasis descubiertos</t>
  </si>
  <si>
    <t>Crear perfiles  de chasis</t>
  </si>
  <si>
    <t>Inicio de la configuración del servidor de la serie X/Actualizar el firmware servidores</t>
  </si>
  <si>
    <t>Crear plantillas de perfil de servidor</t>
  </si>
  <si>
    <t>Asignar perfiles a servidores</t>
  </si>
  <si>
    <t>Zonificación y conexión de FABRIC INTERCONNECT a switches MDS</t>
  </si>
  <si>
    <t>Conexión de FABRIC INTERCONNECT a switches Switches Nexus</t>
  </si>
  <si>
    <t>Gestionar las direcciones IP que se utilizarán en Vmware. Management, vMotion</t>
  </si>
  <si>
    <t>Instalación de Hipervisor ESXi</t>
  </si>
  <si>
    <t>Configuración Vmware ESXi (apoyo al cliente)</t>
  </si>
  <si>
    <t xml:space="preserve">Hardening de plataforma física y VMware </t>
  </si>
  <si>
    <t>Pruebas de resiliencia + alta disponibilidad (físico)</t>
  </si>
  <si>
    <t>Pruebas de alta disponibilidad (lógico)</t>
  </si>
  <si>
    <t>AP MERAKI</t>
  </si>
  <si>
    <t xml:space="preserve">Instalación física de 1 ap </t>
  </si>
  <si>
    <t>Instalacion de licencia en la consola Meraki</t>
  </si>
  <si>
    <t xml:space="preserve">Configuracion general en el nuevo equipo </t>
  </si>
  <si>
    <t>STARTUP CATALYST CENTER  (7 horas)</t>
  </si>
  <si>
    <t>Deploy de VM en Hypervisor (2 horas)</t>
  </si>
  <si>
    <t xml:space="preserve">En estas actividades no incluye descubrimiento de equipos. No incluye configuracion y habilitacion de netconf en los equipos </t>
  </si>
  <si>
    <t>Configuración de interfaces, parámetros de DNS, NTP, Network Adapter, Configuración de Maglev user, Validación de conectividad y parámetros configurados (1 hora),</t>
  </si>
  <si>
    <t>Instalación de aplicativos de Catalyst Center (4 horas)</t>
  </si>
  <si>
    <t>Servidor Blade CISCO UCS X215c M8 (8)</t>
  </si>
  <si>
    <t>Configurar el primer Fabric Interconnect para la administración de Cisco UCSM</t>
  </si>
  <si>
    <t>Configurar el segundp Fabric Interconnect para la administración de Cisco UCSM</t>
  </si>
  <si>
    <t>Reclamación de Fabric Interconnects en la plataforma Cisco Intersight</t>
  </si>
  <si>
    <t>Upgrade de Firmware de Fabric Interconnects</t>
  </si>
  <si>
    <t>Creación de perfil de dominio de UCS</t>
  </si>
  <si>
    <t>Verificación de chasis descubierto</t>
  </si>
  <si>
    <t>Creación de perfil de chasis</t>
  </si>
  <si>
    <t>Creación de plantilla de perfil de servidor</t>
  </si>
  <si>
    <t>Creación de pools</t>
  </si>
  <si>
    <t xml:space="preserve">Creación de políticas </t>
  </si>
  <si>
    <t>Actualizar el firmware servidores</t>
  </si>
  <si>
    <t>Configuración de Cluster/ Parchado de VMware ESXi</t>
  </si>
  <si>
    <t>Zonificación de Servidores</t>
  </si>
  <si>
    <t>Configuración VMware ESXi (Hardening)</t>
  </si>
  <si>
    <t>Asociación con vSphere Vcenter</t>
  </si>
  <si>
    <t>Pruebas de resiliencia + alta disponibilidad (físico dsconexiones)</t>
  </si>
  <si>
    <t>Desconexión de fuentes</t>
  </si>
  <si>
    <t>Dsconexión de conexiones redundantes</t>
  </si>
  <si>
    <t>Pruebas de vMotion</t>
  </si>
  <si>
    <t>Remediación de Vulnerabilidades HW</t>
  </si>
  <si>
    <t>Servidor Rack CISCO  UCSC-C245-M8SX (5)</t>
  </si>
  <si>
    <t>Conexión de equipos (mgmt, uplink, etc)</t>
  </si>
  <si>
    <t xml:space="preserve">Instalación de sistema Operativo </t>
  </si>
  <si>
    <t>WLC C9800 y 7 Aps C9120</t>
  </si>
  <si>
    <t>Zonificacion de servidores</t>
  </si>
  <si>
    <t>Instalación y Configuración de  5 Servidores (Lenovo SR250 V3)</t>
  </si>
  <si>
    <t xml:space="preserve"> Instalación física en el gabinete indicado por el cliente</t>
  </si>
  <si>
    <t>cantidad</t>
  </si>
  <si>
    <t>Etiquetado de cables que conectan al servidor (Instalación de cableado LAN y de energía)</t>
  </si>
  <si>
    <t>Actualización de firmware a la última versión recomendada</t>
  </si>
  <si>
    <t>Creación de arreglo de discos (Raid)</t>
  </si>
  <si>
    <t>Configuración de parámetros de red</t>
  </si>
  <si>
    <t>HIPERCONVERGENCIA DELL VXRAIL E660 (3 nodos)</t>
  </si>
  <si>
    <t>Instalación física en rack (3 nodos)</t>
  </si>
  <si>
    <t>Integración a la red LAN (at least 4 VLANS: 1 for management, 1 for vMotion, 1 for vSAN,and at least 1 for guest VMs)</t>
  </si>
  <si>
    <t>Configuración VxRail Cluster + Envio de alertas</t>
  </si>
  <si>
    <t>Instalación y puesta en marcha de virtual Center (vCenter)</t>
  </si>
  <si>
    <t xml:space="preserve">Migración de 120 maquinas virtuales </t>
  </si>
  <si>
    <t>Configuración de RecoverPointr for VM</t>
  </si>
  <si>
    <t>Pruebas de funcionamiento / Pruebas de alta disponibilidad</t>
  </si>
  <si>
    <t>HIPERCONVERGENCIA DELL VXRAIL P670 (4 nodos)</t>
  </si>
  <si>
    <t>Instalación física en rack (4 nodos)</t>
  </si>
  <si>
    <t>Migración de 10 Máquinas virtuales</t>
  </si>
  <si>
    <t>Instalación Base de OS (4 VMs Windows y 9 VMs Linux RH Standard)</t>
  </si>
  <si>
    <t>STORAGE (DELL UNITY XT)</t>
  </si>
  <si>
    <t>Etiquetado de cables (Energía y datos) que conectan al storage</t>
  </si>
  <si>
    <t>Configuración de puerto de administración</t>
  </si>
  <si>
    <t>Configuración de LUN's, HostsMapping</t>
  </si>
  <si>
    <t>Configuración de monitoreo (Herramienta del fabricante)</t>
  </si>
  <si>
    <t>SWITCHES SAN (DELL)</t>
  </si>
  <si>
    <t>Configuración de zonificación</t>
  </si>
  <si>
    <t>Switches TOR (S5224)</t>
  </si>
  <si>
    <t>Instalación física en rack (2 switches)</t>
  </si>
  <si>
    <t>Etiquetado de cables (Energía y datos) que conectan a los switches</t>
  </si>
  <si>
    <t>Configuración base (Usuarios, VLANs, STP, SNMP, SVI)</t>
  </si>
  <si>
    <t>Configuración de Uplinks &amp; Downlinks</t>
  </si>
  <si>
    <t>Startup Equpos Definitivos (ONPREMISE)</t>
  </si>
  <si>
    <t>SERVIDORES RACKEABLES DELL POWEREDGE R650 (23)</t>
  </si>
  <si>
    <t>2 x servidor</t>
  </si>
  <si>
    <t>1 x servidor</t>
  </si>
  <si>
    <t>Configuración de Puerto de monitoreo (IDRAC)</t>
  </si>
  <si>
    <t>2 por servidor</t>
  </si>
  <si>
    <t xml:space="preserve">Configuración de BIOS, Controladora de Discos, </t>
  </si>
  <si>
    <t>1 por servidor</t>
  </si>
  <si>
    <t>Instalación de Sistema Operativo y/o Hypervisor</t>
  </si>
  <si>
    <t>Acompañamiento para migración Ad</t>
  </si>
  <si>
    <t>EN GUAYAQUIL BANCO DEL PACIFICO</t>
  </si>
  <si>
    <t>STARTUP Y PUESTA EN MARCHA DE DATA DOMAIN 6900 60TB</t>
  </si>
  <si>
    <t xml:space="preserve">Instalación y montaje en el Rack físico del equipo ofertado del Data Center </t>
  </si>
  <si>
    <t>Actualización a la última versión del firmware liberado por el fabricante</t>
  </si>
  <si>
    <t>Configuración lógica de la interfaz de administración y las interfaces  de la LAN para los respaldos.</t>
  </si>
  <si>
    <t>Configuración e integración a la herramienta de respaldos del cliente (Veritas, Acronix, Zerto,Veeam)</t>
  </si>
  <si>
    <t>Pruebas de 3 respaldos y hasta 3 restauraciones de máquina virtualvmware o granular de archivos hacia el equipo de almacenamiento ofertado</t>
  </si>
  <si>
    <t>Configuración máximo 3 pools de almacenamiento para 3 tipos de backup en el equipo ofertado</t>
  </si>
  <si>
    <t>Realizar máximo 3 pruebas de clonación a cinta</t>
  </si>
  <si>
    <t>Configuración del servicio de monitoreo</t>
  </si>
  <si>
    <t>INTEGRACION CON VERITAS DM5500</t>
  </si>
  <si>
    <t>STARTUP Y PUESTA EN MARCHA DE DM5500(DATADOMAIN CON SW EMBEBIDO)</t>
  </si>
  <si>
    <t xml:space="preserve">Configuración e integración a la herramienta de respaldos del cliente (Veritas, Acronix, Zerto,Veeam)  </t>
  </si>
  <si>
    <t>Configuración política de respaldos</t>
  </si>
  <si>
    <t>Pruebas de 3 respaldos y hasta 3 restauraciones de máquina virtual vmware o granular de archivos hacia el equipo de almacenamiento ofertado</t>
  </si>
  <si>
    <t>Integración Nodo al cluster  GYQ</t>
  </si>
  <si>
    <t>Instalación física en Rack</t>
  </si>
  <si>
    <t>Upgrade y confihguración del cluser</t>
  </si>
  <si>
    <t>STORAGE DELL ME</t>
  </si>
  <si>
    <t>Presentación de Luns a cluster de vsphere y pruebas de funcionamiento</t>
  </si>
  <si>
    <t>STARTUP SERVIDORES (2) DELL POWEREDGE R640</t>
  </si>
  <si>
    <t>Acompañamiento durante Instalación de Sistema Operativo / Hypervisor</t>
  </si>
  <si>
    <t>Instalación y configuración de vCenter</t>
  </si>
  <si>
    <t>STARTUP STORAGE (1) DELL POWERSTORE 500T</t>
  </si>
  <si>
    <t>SOLUCIÓN DE RESPALDOS</t>
  </si>
  <si>
    <t>LIBRERÍA DE CINTAS ML3 + NAS Synology SA3600</t>
  </si>
  <si>
    <t>Etiquetado de cables (Energía y datos) que conectan a la librería y Nas</t>
  </si>
  <si>
    <t>Configuración de puerto de administración / Actualización de Firmware</t>
  </si>
  <si>
    <t xml:space="preserve">SERVIDOR RACKEABLE (1 DELL PowerEdge R750 ) </t>
  </si>
  <si>
    <t>Instalación de Sistema Operativo Windows (Instalación Base)</t>
  </si>
  <si>
    <t>SOFTWARE DE RESPALDOS VEEAM BACKUP &amp; REPLICATION</t>
  </si>
  <si>
    <t>Instalación y configuración de Veeam Backup Server</t>
  </si>
  <si>
    <t>Respaldo de la configuración de Veeam Backup Server</t>
  </si>
  <si>
    <t>Configuración de Veeam Proxy (físico o virtual)</t>
  </si>
  <si>
    <t>Integración a la SAN/DAS/NAS/LIBRERÍAS del vProxy</t>
  </si>
  <si>
    <t>Integración de clientes a la consola de Veeam (vCenterServer, Hyper-v Host, ESXi Host, System Center)</t>
  </si>
  <si>
    <t>Creación de 5 tareas de respaldo</t>
  </si>
  <si>
    <t>Pruebas de respaldo y restauración (1 máquina virtual) de archivos, tipo imagen, app (en caso que aplique)</t>
  </si>
  <si>
    <t>Afinamiento de la configuración / Alertas preconfiguradas / Afinamiento de la configuración de Veeam</t>
  </si>
  <si>
    <t>SERVIDOR RACKEABLE (DELL) VSAN</t>
  </si>
  <si>
    <t>Instalación de Sistema Operativo / Hypervisor, Configuración VSAN</t>
  </si>
  <si>
    <t>Migración de 20 VMs</t>
  </si>
  <si>
    <t>SERVIDORES RACKEABLES DELL POWEREDGE R650 (2)</t>
  </si>
  <si>
    <t>Instalación y puesta en ,archa de virtual Center (vcenter)</t>
  </si>
  <si>
    <t>STORAGE (DELL UNITY 380 Híbrido 30 TB)</t>
  </si>
  <si>
    <t>Configuración Hipervisor</t>
  </si>
  <si>
    <t>Pruebas y funcionamiento</t>
  </si>
  <si>
    <t>Switches LAN S4148 (2)</t>
  </si>
  <si>
    <t>Instalación Storage Dell EMC ME5024</t>
  </si>
  <si>
    <t>Instalación física de Storage</t>
  </si>
  <si>
    <t>Etiquetado de cables que conectan al Storage</t>
  </si>
  <si>
    <t>Integración del Storage a la red LAN &amp; SAN</t>
  </si>
  <si>
    <t>Actualización de firmware a la versión recomendada / estable / compatible con el ambiente actual del cliente</t>
  </si>
  <si>
    <t xml:space="preserve">Configuración del almacenamiento / Creación de Volúmenes &amp; Aprovisionamiento </t>
  </si>
  <si>
    <t>Creación de cuenta en portal del fabricante / Configuración de herramienta de monitoreo del fabricante (CloudIQ) – Opcional: SupportAssist</t>
  </si>
  <si>
    <t>Switches TOR DELL Serie Z de 48P (2)</t>
  </si>
  <si>
    <t xml:space="preserve">Cluster 4 Nodos DELL PowerFlex R660  COMPUTO </t>
  </si>
  <si>
    <t>Configuración de Puerto de administracion IDRAC</t>
  </si>
  <si>
    <t xml:space="preserve">Configuracion de PowerFlex Manager </t>
  </si>
  <si>
    <t>Configuracion de Sistema Operativo y/o Hypervisor PROXMOX</t>
  </si>
  <si>
    <t>Integración de 4 nodos al clúster de administración.</t>
  </si>
  <si>
    <t>Configurar acceso al clúster de almacenamiento (iSCSI)</t>
  </si>
  <si>
    <t>Instalacion PowerFlex SDC driver</t>
  </si>
  <si>
    <t>Pruebas de funcionamiento.</t>
  </si>
  <si>
    <t>Cluster 4 Nodos DELL PowerFlex R660 ALMACENAMIENTO</t>
  </si>
  <si>
    <t xml:space="preserve">Configuración de Puerto de administracion </t>
  </si>
  <si>
    <t>Descubrimiento de recursos en PowerFlex Manager</t>
  </si>
  <si>
    <t xml:space="preserve">Creacion de plantilla y perfil </t>
  </si>
  <si>
    <t xml:space="preserve">Instalación de Sistema Operativo </t>
  </si>
  <si>
    <t>Integracion con red iSCSI</t>
  </si>
  <si>
    <t xml:space="preserve">Creacion de volumenes y almacenamiento </t>
  </si>
  <si>
    <t>Integracion con nodos de computo</t>
  </si>
  <si>
    <t xml:space="preserve">Pruebas de funcionamiento </t>
  </si>
  <si>
    <t>STORAGE POWERSCALE H700 (1) Almacenamiento</t>
  </si>
  <si>
    <t>Instalación física en rack (nodos PowerScale + discos).</t>
  </si>
  <si>
    <t>Inicialización y unión al clúster OneFS</t>
  </si>
  <si>
    <t>Configuración de SmartConnect para balanceo de carga</t>
  </si>
  <si>
    <t>Creación de shares NFS y SMB.</t>
  </si>
  <si>
    <t>Configuración de protección de datos con FlexProtect.</t>
  </si>
  <si>
    <t>Implementación de snapshots con SnapshotIQ.</t>
  </si>
  <si>
    <t>Configuración de autenticación y control de acceso por políticas.</t>
  </si>
  <si>
    <t>Pruebas de resiliencia por falla de nodos (failover).</t>
  </si>
  <si>
    <t>Servidor de respaldos PowerEdge R660</t>
  </si>
  <si>
    <t>PowerStore DD6410 (1)</t>
  </si>
  <si>
    <t>Instalación del equipo pivote</t>
  </si>
  <si>
    <t>Instalación servidor y almacenamiento externo</t>
  </si>
  <si>
    <t xml:space="preserve">Preparación Servidor </t>
  </si>
  <si>
    <t>Pruebas y validación de máquina pivote y conectividad entre las redes</t>
  </si>
  <si>
    <t>Instalación de agentes QA</t>
  </si>
  <si>
    <t>Revisión y aplicación de pre-requerimientos</t>
  </si>
  <si>
    <t>Instalación de agente servdiores windows</t>
  </si>
  <si>
    <t>Instlaación de agente Angular</t>
  </si>
  <si>
    <t>Instalación de agente Wordpress</t>
  </si>
  <si>
    <t>Instalación de agentes PROD</t>
  </si>
  <si>
    <t>Habilitación SSL para agente</t>
  </si>
  <si>
    <t>Configuración de servidor SaaS</t>
  </si>
  <si>
    <t>Habilitar servicios de monitoreo</t>
  </si>
  <si>
    <t>Configurar visibilidad de Docker</t>
  </si>
  <si>
    <t>Regsitro a consola SaaS AppDynamics</t>
  </si>
  <si>
    <t>Configurar reglas de salud de los servicios de monitoreo</t>
  </si>
  <si>
    <t>Pruebas y presentación de resultados</t>
  </si>
  <si>
    <t>ACTIVIDAD</t>
  </si>
  <si>
    <t>DETALLES</t>
  </si>
  <si>
    <t>Firewalls
ASA</t>
  </si>
  <si>
    <t>Firewalls HA con 2 Contextos + Migración Completa</t>
  </si>
  <si>
    <t xml:space="preserve">Etiquetado temporal de cables de red y desmontaje de switches antiguos
</t>
  </si>
  <si>
    <t>Instalación física</t>
  </si>
  <si>
    <t>Configuración base ASA</t>
  </si>
  <si>
    <t>Configuración HA</t>
  </si>
  <si>
    <t>Configuración Multi-Contexto</t>
  </si>
  <si>
    <t>Migración de servicios</t>
  </si>
  <si>
    <t>Puesta en produccion y Pruebas</t>
  </si>
  <si>
    <t xml:space="preserve">Implementacion FortiGate-60F </t>
  </si>
  <si>
    <t>Configuración básica, direccionamiento IP, Certificados digitales, Politicas de acceso, Acceso VPN</t>
  </si>
  <si>
    <t>Registro en FortiManager*</t>
  </si>
  <si>
    <t>Pruebas y estabilización</t>
  </si>
  <si>
    <t>Capacitacion FW</t>
  </si>
  <si>
    <t>Mantenimiento</t>
  </si>
  <si>
    <t>Firewall (Actualización, limpieza)</t>
  </si>
  <si>
    <t>Implementación Firewall Perimetral FortiGate-100F</t>
  </si>
  <si>
    <t>Actualización de sistema operativo y licenciamiento</t>
  </si>
  <si>
    <t>Configuración básica, direccionamiento IP, Certificados digitales, NAT y politicas de acceso</t>
  </si>
  <si>
    <t>Definición de politicas de filtrado WEB, malware y registro en FortiManager</t>
  </si>
  <si>
    <t>Firewall Fortined (Firewall Perimetral FortiGate-100F) (2)</t>
  </si>
  <si>
    <t>Switch de acceso FS-148F-FPOE (2)</t>
  </si>
  <si>
    <t>Instalación física de 2 SW</t>
  </si>
  <si>
    <t xml:space="preserve">Configuración básica, direccionamiento IP </t>
  </si>
  <si>
    <t>Estabilización: pruebas de funcionamiento</t>
  </si>
  <si>
    <t>Switch Core FS-1024E (1)</t>
  </si>
  <si>
    <t xml:space="preserve">Instalación física de 1 Core </t>
  </si>
  <si>
    <t>APs FAP-431G-N (12)</t>
  </si>
  <si>
    <t>Instalación física de 12 aps</t>
  </si>
  <si>
    <t>Configuración de Access Point</t>
  </si>
  <si>
    <t>Configuración de la red inalámbrica (general)</t>
  </si>
  <si>
    <t>Pruebas de funcionamiento de conectividad</t>
  </si>
  <si>
    <t xml:space="preserve">Memoria técnica </t>
  </si>
  <si>
    <t>Upgrade de Memoria Quito (5 Servers) HP Synergi</t>
  </si>
  <si>
    <t>Movimiento o apagado de maquinas virtuales previo al upgrade</t>
  </si>
  <si>
    <t>Upgrade en Servidor 1</t>
  </si>
  <si>
    <t>Upgrade en Servidor 2</t>
  </si>
  <si>
    <t>Upgrade en Servidor 3</t>
  </si>
  <si>
    <t>Upgrade en Servidor 4</t>
  </si>
  <si>
    <t>Upgrade en Servidor 5</t>
  </si>
  <si>
    <t>Instalación de SFPs y cables Fibre Channel </t>
  </si>
  <si>
    <t>Instalación de 10 SFPs y cables fibre (para rpotenciar 2 switches SAN)</t>
  </si>
  <si>
    <t xml:space="preserve">configuración de zonas </t>
  </si>
  <si>
    <t>STARTUP SERVIDOR HP DL360 G10 GUAYAQUIL (2)</t>
  </si>
  <si>
    <t>Configuración ILO</t>
  </si>
  <si>
    <t>Actualización de frmware a la última versión recomendada</t>
  </si>
  <si>
    <t>Integración a Vcenter</t>
  </si>
  <si>
    <t>Migración máquinas virtuales</t>
  </si>
  <si>
    <t>HPE Storage MSA 2062 FC</t>
  </si>
  <si>
    <t>Instalación Física de Storage</t>
  </si>
  <si>
    <t>StartUp / Configuración de IP / Configuración arreglo de discos</t>
  </si>
  <si>
    <t>Actualización de firmware</t>
  </si>
  <si>
    <t>NAS HPE (StoreEasy)</t>
  </si>
  <si>
    <t>Configuración básica (RAID, ILO)</t>
  </si>
  <si>
    <t>Deploy de Sistema Operativo (WinSrvStg)</t>
  </si>
  <si>
    <t>Configuración Pool</t>
  </si>
  <si>
    <t>Creación de 2 políticas de respaldo</t>
  </si>
  <si>
    <t>STARTUP SERVIDOR HP DL180 G10 GUAYAQUIL</t>
  </si>
  <si>
    <t>Configuración puerto de administración</t>
  </si>
  <si>
    <t>Servidor DL360 Gen 11 (1)</t>
  </si>
  <si>
    <t>Instalación de Sistema Operativo y/o Hypervisor HYPER-V</t>
  </si>
  <si>
    <t xml:space="preserve">SERVIDOR HPE PROLIANT DL360 (2) </t>
  </si>
  <si>
    <t>Migración máquinas virtuales (70 VMs revisar)</t>
  </si>
  <si>
    <t>SERVIDOR HPE PROLIANT DL320 (2) ZFP</t>
  </si>
  <si>
    <t>Swithces SAN SN3600B 8 puertos (2)</t>
  </si>
  <si>
    <t>Instalación física de 2 switches</t>
  </si>
  <si>
    <t>Configuracion base(IP, puertos)</t>
  </si>
  <si>
    <t>Creacion de alias,zonas</t>
  </si>
  <si>
    <t xml:space="preserve">Zonificacion </t>
  </si>
  <si>
    <t>Storage MSA 2072 (1)</t>
  </si>
  <si>
    <t xml:space="preserve">Creacion y asignacion de pools </t>
  </si>
  <si>
    <t>Integracion con Vcenter</t>
  </si>
  <si>
    <t>SERVIDOR DL360 de respaldos (cuenta con Veeam) no se debe contemplar licencias(1)</t>
  </si>
  <si>
    <t>Instalacion de Veeam Backup</t>
  </si>
  <si>
    <t xml:space="preserve">Configuracion de Veeam </t>
  </si>
  <si>
    <t>Configuracion de politicas de respaldo</t>
  </si>
  <si>
    <t xml:space="preserve">2. HPE Synergy Frame 1200 con 12 bahias </t>
  </si>
  <si>
    <t xml:space="preserve">Instalacion fisica en rack </t>
  </si>
  <si>
    <t xml:space="preserve">Instalacion de 2 virtual connects </t>
  </si>
  <si>
    <t xml:space="preserve">Conexión de red </t>
  </si>
  <si>
    <t xml:space="preserve">Configuracion inicial </t>
  </si>
  <si>
    <t xml:space="preserve">Instalacion de firmware recomendado a la ultima version </t>
  </si>
  <si>
    <t xml:space="preserve">Actualizacion de parches </t>
  </si>
  <si>
    <t xml:space="preserve">Servidor Synergy </t>
  </si>
  <si>
    <t>Instalacion 768 GB RAM DDR5 - 5600 MHz</t>
  </si>
  <si>
    <t>Instalacion 2 discos duros de 1.2TB SSD,</t>
  </si>
  <si>
    <t>Instalacion tarjetas de Red CNA con reducción de latencia,</t>
  </si>
  <si>
    <t>Instalacion tarjeta HBA de 32 Gbps con reducción de latencia,</t>
  </si>
  <si>
    <t>Servidores Rackeables HPE DL360  (2)</t>
  </si>
  <si>
    <t>ROUTER PARA DATA CENTER CONEXIÓN RED FUERA DE BANDA (2)</t>
  </si>
  <si>
    <t>Instalación física de 1 router</t>
  </si>
  <si>
    <t>#routers</t>
  </si>
  <si>
    <t>Configuración básica, direccionamiento Ip y enrutamiento</t>
  </si>
  <si>
    <t>Servidores: Rack</t>
  </si>
  <si>
    <t>Servidores: Blade</t>
  </si>
  <si>
    <t>Servidores: Rack- Actualización (Lenovo) 1U y 2U (36)</t>
  </si>
  <si>
    <t>Acompañamiento: consumo de memoria / espacio de disco   </t>
  </si>
  <si>
    <t>Homologación de Versiones de ESXi</t>
  </si>
  <si>
    <t>SERVIDOR IBM Power System S822</t>
  </si>
  <si>
    <t>Homologación de Versiones de SO</t>
  </si>
  <si>
    <t>Servidor (1) ThinkSystem ST650 V3 Tower Server con 2 procesadores, 128GB ram, 2 discos de 2TB</t>
  </si>
  <si>
    <t xml:space="preserve">Configuracion Hipervisor </t>
  </si>
  <si>
    <t>Hardening del sistema</t>
  </si>
  <si>
    <t xml:space="preserve">SITE SURVEY </t>
  </si>
  <si>
    <t>Visita en sitio para inspección y realización de Survey en oficinas(1 humana cuenca)</t>
  </si>
  <si>
    <t>Solo cuando se pide verificar la red se hacen mapas de calor</t>
  </si>
  <si>
    <t>Realización de mapas de calor</t>
  </si>
  <si>
    <t>DETALLE</t>
  </si>
  <si>
    <t>OBSERVACIONES</t>
  </si>
  <si>
    <t>Respaldos</t>
  </si>
  <si>
    <t>Instalación física (Rack + Discos + Controladoras)</t>
  </si>
  <si>
    <t>Puesta en marcha (Inicialización y configuración básica)</t>
  </si>
  <si>
    <t>Actualización de firmware (Controladoras + Discos + Redundancia)</t>
  </si>
  <si>
    <t>Configuración de políticas (RAID, Backup, Seguridad + Perfiles de almacenamiento)</t>
  </si>
  <si>
    <t>Integración a la red SAN y LAN (Zonificación, Multipathing)</t>
  </si>
  <si>
    <t>Acompañamiento en instalación y configuración de entornos virtuales</t>
  </si>
  <si>
    <t>Análisis de versiones y Upgrade del sistema de almacenamiento</t>
  </si>
  <si>
    <t>Almacenamiento principal</t>
  </si>
  <si>
    <t>Instalación física (Rack + Discos NVMe SSD + Controladoras)</t>
  </si>
  <si>
    <t>Puesta en marcha (Inicialización y configuración básica del almacenamiento)</t>
  </si>
  <si>
    <t>Instalación y configuración de entornos virtuales</t>
  </si>
  <si>
    <t>Pruebas de rendimiento y eficiencia</t>
  </si>
  <si>
    <t xml:space="preserve">Análisis de versiones y Upgrade del sistema </t>
  </si>
  <si>
    <t>Configuración de seguridad contra ransomware</t>
  </si>
  <si>
    <t>Implementación de cifrado de datos en tránsito y reposo</t>
  </si>
  <si>
    <t>Configuración de protección de volúmenes WORM</t>
  </si>
  <si>
    <t>Configuración de autenticación y administración</t>
  </si>
  <si>
    <t xml:space="preserve">Configuración de funcionalidades de respaldo y recuperación </t>
  </si>
  <si>
    <t xml:space="preserve">1 Almacenamiento FS7600 IBM
</t>
  </si>
  <si>
    <t>Instalación física (Rack )</t>
  </si>
  <si>
    <t>Instalacion de cableado eléctrico y de red (LAN, SAN).</t>
  </si>
  <si>
    <t>Conectividad de fibra canal, conexión a los conmutadores de SAN</t>
  </si>
  <si>
    <t xml:space="preserve"> Configuración del sistema, incluyendo la creación del
pool de almacenamiento, la implementación del RAID 6
o similar y la definición de la capacidad utilizable real
mínima de 245 TB.</t>
  </si>
  <si>
    <t>Configuración de las interfaces de administración de
todo el equipamiento, protocolos de acceso.</t>
  </si>
  <si>
    <t>Creación y mapeo de LUNS, que serán accedidas por el
clúster del Hipervisor, equipamiento POWER.</t>
  </si>
  <si>
    <t>Swithces: Implementación (Core catalyst, Nexus, Acceso, LAN)</t>
  </si>
  <si>
    <t>Instalación física de Core o/ SW</t>
  </si>
  <si>
    <t>Swithces: Implementación y migración (Core catalyst, Nexus, Acceso, LAN)</t>
  </si>
  <si>
    <t xml:space="preserve">Migración </t>
  </si>
  <si>
    <t>Switch Tipo 1 48 PUERTOS SFPs(1)</t>
  </si>
  <si>
    <t xml:space="preserve">Retiro de switch actual </t>
  </si>
  <si>
    <t xml:space="preserve"> </t>
  </si>
  <si>
    <t xml:space="preserve">Respaldo de configuraciones </t>
  </si>
  <si>
    <t>Switch Tipo 2 48 PUERTOS COBRE (1)</t>
  </si>
  <si>
    <t>Switch Tipo 3 DISTRIBUCION/CORE(1)</t>
  </si>
  <si>
    <t>Retiro de switches actuales</t>
  </si>
  <si>
    <t>Instalación física de 10 Core</t>
  </si>
  <si>
    <t>2 Switches SAN IBM</t>
  </si>
  <si>
    <t>Instalacion de cableado eléctrico y de red (LAN, SAN), siguiendo el diagrama de conectividad</t>
  </si>
  <si>
    <t>Conectividad de fibra canal con el hardware de procesamiento , power 9 existente y los conmutadores SAN actuales</t>
  </si>
  <si>
    <t>Interconectar switch a los switch SAN que posee la institucion en producción (IBM
SAN24B-5).</t>
  </si>
  <si>
    <t>Zonificación</t>
  </si>
  <si>
    <t>STARTUP VEEAM B&amp;R 9.5u4 (QUITO &amp; GYE)</t>
  </si>
  <si>
    <t>Reinstalación de Sistema Operativo en Servidor Veeam</t>
  </si>
  <si>
    <t>Actualización de firmware + Drivers (NAS Servers - HPE StoreEasy 1650)</t>
  </si>
  <si>
    <t>Configuración de Veeam Proxy (físico y virtual) en ambos sitios</t>
  </si>
  <si>
    <t>Integración a la SAN/DAS/NAS del Proxy y vProxy</t>
  </si>
  <si>
    <t>Creación de 5 tareas de respaldo y 5 tareas BackupCopy</t>
  </si>
  <si>
    <t>Pruebas de respaldo y restauración (1 máquina virtual) de archivos, tipo imagen, app (en caso que aplique) y restauración desde BackupCopy</t>
  </si>
  <si>
    <t>Envio de alertas (SNMP, SMTP)</t>
  </si>
  <si>
    <t>STARTUP VEEAM BACKUP</t>
  </si>
  <si>
    <t>Instalación Sistema Operativo Windows Server</t>
  </si>
  <si>
    <t>Respaldo de configuración de Veeam Backup Server</t>
  </si>
  <si>
    <t>Configuración de Veeam Proxy</t>
  </si>
  <si>
    <t>Integración de servidores físicos a la consola de Veeam</t>
  </si>
  <si>
    <t>Creación de 3 tareas de respaldo y 3 tareas de BackupCopy</t>
  </si>
  <si>
    <t>Pruebas de respaldo y restauración (1 máquina virtual) de archivos, tipo imagen, app(en caso que aplique) y restauración de BackupCopy</t>
  </si>
  <si>
    <t>Envío de alertas (SNMP, SMTP)</t>
  </si>
  <si>
    <t>OPCIONALES (VMWARE)</t>
  </si>
  <si>
    <t>Instalación de Sistema Operativo / Hypervisor + Update/Parches</t>
  </si>
  <si>
    <t>Integración a vCenter</t>
  </si>
  <si>
    <t>mantenimiento correctivo 1</t>
  </si>
  <si>
    <t>Migración de 6 Máquinas Virtuales</t>
  </si>
  <si>
    <t>Identificación y validación de las máquinas virtuales activas.</t>
  </si>
  <si>
    <t>Verificación de compatibilidad y requerimientos de migración.</t>
  </si>
  <si>
    <t>Validación y verificación de dependencias.</t>
  </si>
  <si>
    <t>Planificación y coordinación de la migración para minimizar impacto.</t>
  </si>
  <si>
    <t>Preparación de tareas de migración (réplica)</t>
  </si>
  <si>
    <t>Migración de las máquinas virtuales previa planificación de ventana con el cliente</t>
  </si>
  <si>
    <t>Instalación vmwaretools</t>
  </si>
  <si>
    <t xml:space="preserve">Validación del correcto funcionamiento y operación de la MV </t>
  </si>
  <si>
    <t xml:space="preserve">MIGRACION DE 50 MAQUINAS DE VMWARE A PROXMOX </t>
  </si>
  <si>
    <t>Creacion de backup completo (Full) de las 50 maquinas virtuales</t>
  </si>
  <si>
    <t xml:space="preserve">Intalacion VirtIO drivers y Agentes QEMU en la Vms necesarias </t>
  </si>
  <si>
    <t>Apagado de VM en Vmware</t>
  </si>
  <si>
    <t>Restauracion de VMs</t>
  </si>
  <si>
    <t>Migración de 7 Máquinas Virtuales</t>
  </si>
  <si>
    <t xml:space="preserve">Validación y verificación de dependencias </t>
  </si>
  <si>
    <t>Preparación servidor Vinchin</t>
  </si>
  <si>
    <t>Preparación y pruebas con tareas de backup y restauración</t>
  </si>
  <si>
    <t>Creación de full backups de 7 VM medias, enviando a repositorio de CNT por la LAN extendida</t>
  </si>
  <si>
    <t>Ejecución de Backup incremental y restauración instantanea de 7 VM medias previa coordinación con el cliente</t>
  </si>
  <si>
    <t>Crecaión de full backups de 7 VM criticas, enviando a repositorio de CNT por la LAN extendida</t>
  </si>
  <si>
    <t>Ejecución de Backup incremental y restauración instantanea de 7 VM criticas previa coordianción con el cliente</t>
  </si>
  <si>
    <t>Actalización de Vmwaretools si es necesario</t>
  </si>
  <si>
    <t>Validación post-migración (rendimiento, conectividad, integridad de datos).</t>
  </si>
  <si>
    <t>Creacion de MV</t>
  </si>
  <si>
    <t>Fase 1: Preparación</t>
  </si>
  <si>
    <t>#maquinas virtuales</t>
  </si>
  <si>
    <t>Revisión de requerimientos técnicos (CPU, RAM, almacenamiento, red)</t>
  </si>
  <si>
    <t>Validación de infraestructura existente (hosts, datastore, networking)</t>
  </si>
  <si>
    <t>Definición de plantilla(s) de máquina virtual</t>
  </si>
  <si>
    <t>Fase 2: Implementación</t>
  </si>
  <si>
    <t>Creación de las 16 máquinas virtuales en VMware vSphere</t>
  </si>
  <si>
    <t>Asignación de recursos (CPU, memoria, discos)</t>
  </si>
  <si>
    <t>Configuración de redes virtuales (VLANs, port groups)</t>
  </si>
  <si>
    <t xml:space="preserve">horas total </t>
  </si>
  <si>
    <t>Instalación del sistema operativo (si aplica)</t>
  </si>
  <si>
    <t>1,5horas por cada maquina</t>
  </si>
  <si>
    <t>Fase 3: Configuración</t>
  </si>
  <si>
    <t>Configuración inicial del sistema operativo</t>
  </si>
  <si>
    <t>Instalación de VMware Tools</t>
  </si>
  <si>
    <t>Configuración básica (nombre de host, IP, acceso remoto)</t>
  </si>
  <si>
    <t>Integración a dominio (si aplica)</t>
  </si>
  <si>
    <t>Fase 4: Validación</t>
  </si>
  <si>
    <t>Pruebas de conectividad</t>
  </si>
  <si>
    <t>Checklist de configuración</t>
  </si>
  <si>
    <t>Fase 5: Transferencia de conocimiento</t>
  </si>
  <si>
    <t>Acompañamiento a equipo interno durante la implementación</t>
  </si>
  <si>
    <t>Explicación de buenas prácticas básicas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</si>
</sst>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 %"/>
  </numFmts>
  <fonts count="26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Cambria"/>
      <family val="1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8"/>
      <color theme="1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26"/>
      <color theme="1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.5"/>
      <color rgb="FF000000"/>
      <name val="Aptos Narrow"/>
      <family val="2"/>
    </font>
    <font>
      <sz val="10"/>
      <name val="Arial"/>
      <charset val="1"/>
    </font>
    <font>
      <b/>
      <sz val="10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BF4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DBF4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DCE6F1"/>
      </patternFill>
    </fill>
  </fills>
  <borders count="1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/>
      <diagonal/>
    </border>
    <border>
      <left style="medium">
        <color rgb="FF000000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/>
      <top style="thin">
        <color auto="1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auto="1"/>
      </right>
      <top style="medium">
        <color rgb="FF000000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8" fillId="0" borderId="0"/>
    <xf numFmtId="0" fontId="13" fillId="0" borderId="0" applyNumberFormat="0" applyFill="0" applyBorder="0" applyAlignment="0" applyProtection="0"/>
  </cellStyleXfs>
  <cellXfs count="893">
    <xf numFmtId="0" fontId="0" fillId="0" borderId="0" xfId="0"/>
    <xf numFmtId="2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5" fillId="0" borderId="2" xfId="0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2" borderId="13" xfId="0" applyNumberFormat="1" applyFont="1" applyFill="1" applyBorder="1" applyAlignment="1">
      <alignment horizontal="center" vertical="center"/>
    </xf>
    <xf numFmtId="0" fontId="6" fillId="2" borderId="14" xfId="0" applyFont="1" applyFill="1" applyBorder="1"/>
    <xf numFmtId="0" fontId="6" fillId="2" borderId="16" xfId="0" applyFont="1" applyFill="1" applyBorder="1"/>
    <xf numFmtId="0" fontId="6" fillId="2" borderId="19" xfId="0" applyFont="1" applyFill="1" applyBorder="1"/>
    <xf numFmtId="0" fontId="2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6" fillId="2" borderId="7" xfId="0" applyFont="1" applyFill="1" applyBorder="1"/>
    <xf numFmtId="2" fontId="5" fillId="2" borderId="6" xfId="0" applyNumberFormat="1" applyFont="1" applyFill="1" applyBorder="1" applyAlignment="1">
      <alignment horizontal="center" vertical="center"/>
    </xf>
    <xf numFmtId="0" fontId="6" fillId="2" borderId="23" xfId="0" applyFont="1" applyFill="1" applyBorder="1"/>
    <xf numFmtId="2" fontId="5" fillId="2" borderId="13" xfId="0" applyNumberFormat="1" applyFont="1" applyFill="1" applyBorder="1" applyAlignment="1">
      <alignment horizontal="center"/>
    </xf>
    <xf numFmtId="2" fontId="5" fillId="2" borderId="6" xfId="0" applyNumberFormat="1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2" borderId="16" xfId="0" applyFont="1" applyFill="1" applyBorder="1" applyAlignment="1">
      <alignment vertical="center" wrapText="1"/>
    </xf>
    <xf numFmtId="2" fontId="5" fillId="2" borderId="30" xfId="0" applyNumberFormat="1" applyFont="1" applyFill="1" applyBorder="1" applyAlignment="1">
      <alignment horizontal="center"/>
    </xf>
    <xf numFmtId="0" fontId="6" fillId="2" borderId="31" xfId="0" applyFont="1" applyFill="1" applyBorder="1"/>
    <xf numFmtId="0" fontId="5" fillId="0" borderId="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6" fillId="2" borderId="14" xfId="0" applyFont="1" applyFill="1" applyBorder="1" applyAlignment="1">
      <alignment wrapText="1"/>
    </xf>
    <xf numFmtId="2" fontId="5" fillId="0" borderId="34" xfId="0" applyNumberFormat="1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2" fontId="5" fillId="0" borderId="39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2" borderId="43" xfId="0" applyFont="1" applyFill="1" applyBorder="1"/>
    <xf numFmtId="2" fontId="8" fillId="0" borderId="2" xfId="0" applyNumberFormat="1" applyFont="1" applyBorder="1" applyAlignment="1">
      <alignment horizontal="left" vertical="center"/>
    </xf>
    <xf numFmtId="2" fontId="8" fillId="0" borderId="2" xfId="0" applyNumberFormat="1" applyFont="1" applyBorder="1" applyAlignment="1">
      <alignment horizontal="left"/>
    </xf>
    <xf numFmtId="2" fontId="8" fillId="0" borderId="34" xfId="0" applyNumberFormat="1" applyFont="1" applyBorder="1" applyAlignment="1">
      <alignment horizontal="left" vertical="center"/>
    </xf>
    <xf numFmtId="2" fontId="8" fillId="0" borderId="34" xfId="0" applyNumberFormat="1" applyFont="1" applyBorder="1" applyAlignment="1">
      <alignment horizontal="left"/>
    </xf>
    <xf numFmtId="2" fontId="8" fillId="0" borderId="39" xfId="0" applyNumberFormat="1" applyFont="1" applyBorder="1" applyAlignment="1">
      <alignment horizontal="left" vertical="center"/>
    </xf>
    <xf numFmtId="0" fontId="0" fillId="0" borderId="1" xfId="0" applyBorder="1"/>
    <xf numFmtId="2" fontId="8" fillId="2" borderId="1" xfId="0" applyNumberFormat="1" applyFont="1" applyFill="1" applyBorder="1" applyAlignment="1">
      <alignment horizontal="left"/>
    </xf>
    <xf numFmtId="0" fontId="0" fillId="2" borderId="1" xfId="0" applyFill="1" applyBorder="1"/>
    <xf numFmtId="0" fontId="5" fillId="2" borderId="1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6" xfId="0" applyBorder="1"/>
    <xf numFmtId="0" fontId="0" fillId="0" borderId="19" xfId="0" applyBorder="1"/>
    <xf numFmtId="0" fontId="0" fillId="0" borderId="7" xfId="0" applyBorder="1"/>
    <xf numFmtId="0" fontId="6" fillId="2" borderId="6" xfId="0" applyFont="1" applyFill="1" applyBorder="1" applyAlignment="1">
      <alignment horizontal="center"/>
    </xf>
    <xf numFmtId="0" fontId="0" fillId="0" borderId="23" xfId="0" applyBorder="1"/>
    <xf numFmtId="0" fontId="0" fillId="4" borderId="1" xfId="0" applyFill="1" applyBorder="1"/>
    <xf numFmtId="10" fontId="5" fillId="4" borderId="12" xfId="0" applyNumberFormat="1" applyFont="1" applyFill="1" applyBorder="1" applyAlignment="1">
      <alignment horizontal="left" vertical="center" wrapText="1"/>
    </xf>
    <xf numFmtId="10" fontId="5" fillId="4" borderId="10" xfId="0" applyNumberFormat="1" applyFont="1" applyFill="1" applyBorder="1" applyAlignment="1">
      <alignment horizontal="left" vertical="center" wrapText="1"/>
    </xf>
    <xf numFmtId="10" fontId="5" fillId="4" borderId="20" xfId="0" applyNumberFormat="1" applyFont="1" applyFill="1" applyBorder="1" applyAlignment="1">
      <alignment horizontal="left" vertical="center" wrapText="1"/>
    </xf>
    <xf numFmtId="10" fontId="5" fillId="4" borderId="12" xfId="0" applyNumberFormat="1" applyFont="1" applyFill="1" applyBorder="1" applyAlignment="1" applyProtection="1">
      <alignment horizontal="left" vertical="center" wrapText="1"/>
      <protection locked="0"/>
    </xf>
    <xf numFmtId="10" fontId="5" fillId="4" borderId="20" xfId="0" applyNumberFormat="1" applyFont="1" applyFill="1" applyBorder="1" applyAlignment="1" applyProtection="1">
      <alignment horizontal="left" vertical="center" wrapText="1"/>
      <protection locked="0"/>
    </xf>
    <xf numFmtId="10" fontId="5" fillId="4" borderId="10" xfId="0" applyNumberFormat="1" applyFont="1" applyFill="1" applyBorder="1" applyAlignment="1" applyProtection="1">
      <alignment horizontal="left" vertical="center" wrapText="1"/>
      <protection locked="0"/>
    </xf>
    <xf numFmtId="0" fontId="5" fillId="4" borderId="12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20" xfId="0" applyFont="1" applyFill="1" applyBorder="1" applyAlignment="1">
      <alignment horizontal="left" vertical="center" wrapText="1"/>
    </xf>
    <xf numFmtId="10" fontId="5" fillId="4" borderId="29" xfId="0" applyNumberFormat="1" applyFont="1" applyFill="1" applyBorder="1" applyAlignment="1">
      <alignment horizontal="left" vertical="center" wrapText="1"/>
    </xf>
    <xf numFmtId="0" fontId="5" fillId="4" borderId="3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38" xfId="0" applyFont="1" applyFill="1" applyBorder="1" applyAlignment="1">
      <alignment horizontal="left" vertical="center" wrapText="1"/>
    </xf>
    <xf numFmtId="10" fontId="5" fillId="4" borderId="37" xfId="0" applyNumberFormat="1" applyFont="1" applyFill="1" applyBorder="1" applyAlignment="1" applyProtection="1">
      <alignment horizontal="left" vertical="center" wrapText="1"/>
      <protection locked="0"/>
    </xf>
    <xf numFmtId="10" fontId="5" fillId="4" borderId="4" xfId="0" applyNumberFormat="1" applyFont="1" applyFill="1" applyBorder="1" applyAlignment="1">
      <alignment horizontal="left" vertical="center" wrapText="1"/>
    </xf>
    <xf numFmtId="10" fontId="5" fillId="4" borderId="5" xfId="0" applyNumberFormat="1" applyFont="1" applyFill="1" applyBorder="1" applyAlignment="1" applyProtection="1">
      <alignment horizontal="left" vertical="center" wrapText="1"/>
      <protection locked="0"/>
    </xf>
    <xf numFmtId="10" fontId="5" fillId="4" borderId="38" xfId="0" applyNumberFormat="1" applyFont="1" applyFill="1" applyBorder="1" applyAlignment="1" applyProtection="1">
      <alignment horizontal="left" vertical="center" wrapText="1"/>
      <protection locked="0"/>
    </xf>
    <xf numFmtId="10" fontId="5" fillId="4" borderId="18" xfId="0" applyNumberFormat="1" applyFont="1" applyFill="1" applyBorder="1" applyAlignment="1">
      <alignment horizontal="left" vertical="center" wrapText="1"/>
    </xf>
    <xf numFmtId="0" fontId="5" fillId="4" borderId="32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10" fontId="5" fillId="4" borderId="37" xfId="0" applyNumberFormat="1" applyFont="1" applyFill="1" applyBorder="1" applyAlignment="1" applyProtection="1">
      <alignment horizontal="left" vertical="center"/>
      <protection locked="0"/>
    </xf>
    <xf numFmtId="10" fontId="5" fillId="4" borderId="5" xfId="0" applyNumberFormat="1" applyFont="1" applyFill="1" applyBorder="1" applyAlignment="1" applyProtection="1">
      <alignment horizontal="left" vertical="center"/>
      <protection locked="0"/>
    </xf>
    <xf numFmtId="10" fontId="5" fillId="4" borderId="38" xfId="0" applyNumberFormat="1" applyFont="1" applyFill="1" applyBorder="1" applyAlignment="1" applyProtection="1">
      <alignment horizontal="left" vertical="center"/>
      <protection locked="0"/>
    </xf>
    <xf numFmtId="0" fontId="8" fillId="4" borderId="13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0" fillId="4" borderId="13" xfId="0" applyFill="1" applyBorder="1" applyAlignment="1">
      <alignment horizontal="left" vertical="center" wrapText="1"/>
    </xf>
    <xf numFmtId="10" fontId="8" fillId="4" borderId="1" xfId="0" applyNumberFormat="1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/>
    </xf>
    <xf numFmtId="0" fontId="7" fillId="4" borderId="7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2" fontId="5" fillId="4" borderId="13" xfId="0" applyNumberFormat="1" applyFont="1" applyFill="1" applyBorder="1" applyAlignment="1" applyProtection="1">
      <alignment horizontal="center" vertical="center"/>
      <protection locked="0"/>
    </xf>
    <xf numFmtId="2" fontId="5" fillId="4" borderId="1" xfId="0" applyNumberFormat="1" applyFont="1" applyFill="1" applyBorder="1" applyAlignment="1" applyProtection="1">
      <alignment horizontal="center" vertical="center"/>
      <protection locked="0"/>
    </xf>
    <xf numFmtId="2" fontId="5" fillId="4" borderId="6" xfId="0" applyNumberFormat="1" applyFont="1" applyFill="1" applyBorder="1" applyAlignment="1" applyProtection="1">
      <alignment horizontal="center" vertical="center"/>
      <protection locked="0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2" fontId="5" fillId="4" borderId="30" xfId="0" applyNumberFormat="1" applyFont="1" applyFill="1" applyBorder="1" applyAlignment="1" applyProtection="1">
      <alignment horizontal="center" vertical="center"/>
      <protection locked="0"/>
    </xf>
    <xf numFmtId="0" fontId="5" fillId="4" borderId="3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2" fontId="5" fillId="4" borderId="34" xfId="0" applyNumberFormat="1" applyFont="1" applyFill="1" applyBorder="1" applyAlignment="1" applyProtection="1">
      <alignment horizontal="center" vertical="center"/>
      <protection locked="0"/>
    </xf>
    <xf numFmtId="2" fontId="5" fillId="4" borderId="2" xfId="0" applyNumberFormat="1" applyFont="1" applyFill="1" applyBorder="1" applyAlignment="1" applyProtection="1">
      <alignment horizontal="center" vertical="center"/>
      <protection locked="0"/>
    </xf>
    <xf numFmtId="2" fontId="5" fillId="4" borderId="39" xfId="0" applyNumberFormat="1" applyFont="1" applyFill="1" applyBorder="1" applyAlignment="1" applyProtection="1">
      <alignment horizontal="center" vertical="center"/>
      <protection locked="0"/>
    </xf>
    <xf numFmtId="0" fontId="6" fillId="4" borderId="18" xfId="0" applyFont="1" applyFill="1" applyBorder="1" applyAlignment="1">
      <alignment horizontal="center" vertical="center"/>
    </xf>
    <xf numFmtId="2" fontId="5" fillId="4" borderId="18" xfId="0" applyNumberFormat="1" applyFont="1" applyFill="1" applyBorder="1" applyAlignment="1" applyProtection="1">
      <alignment horizontal="center" vertical="center"/>
      <protection locked="0"/>
    </xf>
    <xf numFmtId="0" fontId="5" fillId="4" borderId="3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2" fontId="8" fillId="4" borderId="34" xfId="0" applyNumberFormat="1" applyFont="1" applyFill="1" applyBorder="1" applyAlignment="1" applyProtection="1">
      <alignment horizontal="left" vertical="center"/>
      <protection locked="0"/>
    </xf>
    <xf numFmtId="0" fontId="8" fillId="4" borderId="6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2" fontId="8" fillId="4" borderId="39" xfId="0" applyNumberFormat="1" applyFont="1" applyFill="1" applyBorder="1" applyAlignment="1" applyProtection="1">
      <alignment horizontal="left" vertical="center"/>
      <protection locked="0"/>
    </xf>
    <xf numFmtId="0" fontId="0" fillId="4" borderId="13" xfId="0" applyFill="1" applyBorder="1" applyAlignment="1">
      <alignment horizontal="center" vertical="center"/>
    </xf>
    <xf numFmtId="2" fontId="8" fillId="4" borderId="13" xfId="0" applyNumberFormat="1" applyFont="1" applyFill="1" applyBorder="1" applyAlignment="1" applyProtection="1">
      <alignment horizontal="center" wrapText="1"/>
      <protection locked="0"/>
    </xf>
    <xf numFmtId="2" fontId="8" fillId="4" borderId="37" xfId="0" applyNumberFormat="1" applyFont="1" applyFill="1" applyBorder="1" applyAlignment="1" applyProtection="1">
      <alignment horizontal="center" wrapText="1"/>
      <protection locked="0"/>
    </xf>
    <xf numFmtId="2" fontId="8" fillId="4" borderId="34" xfId="0" applyNumberFormat="1" applyFont="1" applyFill="1" applyBorder="1" applyAlignment="1" applyProtection="1">
      <alignment horizontal="left" wrapText="1"/>
      <protection locked="0"/>
    </xf>
    <xf numFmtId="2" fontId="8" fillId="4" borderId="1" xfId="0" applyNumberFormat="1" applyFont="1" applyFill="1" applyBorder="1" applyAlignment="1" applyProtection="1">
      <alignment horizontal="center" vertical="center"/>
      <protection locked="0"/>
    </xf>
    <xf numFmtId="2" fontId="8" fillId="4" borderId="5" xfId="0" applyNumberFormat="1" applyFont="1" applyFill="1" applyBorder="1" applyAlignment="1" applyProtection="1">
      <alignment horizontal="center" vertical="center"/>
      <protection locked="0"/>
    </xf>
    <xf numFmtId="2" fontId="8" fillId="4" borderId="2" xfId="0" applyNumberFormat="1" applyFont="1" applyFill="1" applyBorder="1" applyAlignment="1" applyProtection="1">
      <alignment horizontal="left" vertical="center"/>
      <protection locked="0"/>
    </xf>
    <xf numFmtId="0" fontId="6" fillId="4" borderId="7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3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5" fillId="4" borderId="6" xfId="0" applyFont="1" applyFill="1" applyBorder="1" applyAlignment="1" applyProtection="1">
      <alignment horizontal="center" vertical="center"/>
      <protection locked="0"/>
    </xf>
    <xf numFmtId="0" fontId="5" fillId="4" borderId="14" xfId="0" applyFont="1" applyFill="1" applyBorder="1" applyAlignment="1" applyProtection="1">
      <alignment horizontal="center" vertical="center"/>
      <protection locked="0"/>
    </xf>
    <xf numFmtId="0" fontId="5" fillId="4" borderId="16" xfId="0" applyFont="1" applyFill="1" applyBorder="1" applyAlignment="1" applyProtection="1">
      <alignment horizontal="center" vertical="center"/>
      <protection locked="0"/>
    </xf>
    <xf numFmtId="0" fontId="5" fillId="4" borderId="23" xfId="0" applyFont="1" applyFill="1" applyBorder="1" applyAlignment="1" applyProtection="1">
      <alignment horizontal="center" vertical="center"/>
      <protection locked="0"/>
    </xf>
    <xf numFmtId="0" fontId="5" fillId="4" borderId="30" xfId="0" applyFont="1" applyFill="1" applyBorder="1" applyAlignment="1" applyProtection="1">
      <alignment horizontal="center" vertical="center"/>
      <protection locked="0"/>
    </xf>
    <xf numFmtId="0" fontId="5" fillId="4" borderId="8" xfId="0" applyFont="1" applyFill="1" applyBorder="1" applyAlignment="1">
      <alignment horizontal="center" vertical="center"/>
    </xf>
    <xf numFmtId="0" fontId="5" fillId="4" borderId="34" xfId="0" applyFont="1" applyFill="1" applyBorder="1" applyAlignment="1" applyProtection="1">
      <alignment horizontal="center" vertical="center"/>
      <protection locked="0"/>
    </xf>
    <xf numFmtId="0" fontId="5" fillId="4" borderId="2" xfId="0" applyFont="1" applyFill="1" applyBorder="1" applyAlignment="1" applyProtection="1">
      <alignment horizontal="center" vertical="center"/>
      <protection locked="0"/>
    </xf>
    <xf numFmtId="0" fontId="5" fillId="4" borderId="39" xfId="0" applyFont="1" applyFill="1" applyBorder="1" applyAlignment="1" applyProtection="1">
      <alignment horizontal="center" vertical="center"/>
      <protection locked="0"/>
    </xf>
    <xf numFmtId="0" fontId="5" fillId="4" borderId="35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 applyProtection="1">
      <alignment horizontal="center" vertical="center"/>
      <protection locked="0"/>
    </xf>
    <xf numFmtId="0" fontId="5" fillId="4" borderId="8" xfId="0" applyFont="1" applyFill="1" applyBorder="1" applyAlignment="1" applyProtection="1">
      <alignment horizontal="center" vertical="center"/>
      <protection locked="0"/>
    </xf>
    <xf numFmtId="0" fontId="8" fillId="4" borderId="34" xfId="0" applyFont="1" applyFill="1" applyBorder="1" applyAlignment="1" applyProtection="1">
      <alignment horizontal="center" vertical="center"/>
      <protection locked="0"/>
    </xf>
    <xf numFmtId="0" fontId="8" fillId="4" borderId="8" xfId="0" applyFont="1" applyFill="1" applyBorder="1" applyAlignment="1" applyProtection="1">
      <alignment horizontal="center" vertical="center"/>
      <protection locked="0"/>
    </xf>
    <xf numFmtId="0" fontId="8" fillId="4" borderId="39" xfId="0" applyFont="1" applyFill="1" applyBorder="1" applyAlignment="1" applyProtection="1">
      <alignment horizontal="center" vertical="center"/>
      <protection locked="0"/>
    </xf>
    <xf numFmtId="0" fontId="8" fillId="4" borderId="34" xfId="0" applyFont="1" applyFill="1" applyBorder="1" applyAlignment="1" applyProtection="1">
      <alignment horizontal="center" wrapText="1"/>
      <protection locked="0"/>
    </xf>
    <xf numFmtId="0" fontId="8" fillId="4" borderId="3" xfId="0" applyFont="1" applyFill="1" applyBorder="1" applyAlignment="1" applyProtection="1">
      <alignment horizontal="center" vertical="center"/>
      <protection locked="0"/>
    </xf>
    <xf numFmtId="0" fontId="8" fillId="4" borderId="2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horizontal="center" vertical="center"/>
    </xf>
    <xf numFmtId="0" fontId="5" fillId="4" borderId="13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horizontal="left" vertical="center" wrapText="1"/>
    </xf>
    <xf numFmtId="10" fontId="5" fillId="4" borderId="13" xfId="0" applyNumberFormat="1" applyFont="1" applyFill="1" applyBorder="1" applyAlignment="1">
      <alignment horizontal="left" vertical="center" wrapText="1"/>
    </xf>
    <xf numFmtId="2" fontId="5" fillId="4" borderId="13" xfId="0" applyNumberFormat="1" applyFont="1" applyFill="1" applyBorder="1" applyAlignment="1" applyProtection="1">
      <alignment horizontal="center"/>
      <protection locked="0"/>
    </xf>
    <xf numFmtId="10" fontId="5" fillId="4" borderId="6" xfId="0" applyNumberFormat="1" applyFont="1" applyFill="1" applyBorder="1" applyAlignment="1">
      <alignment horizontal="left" vertical="center" wrapText="1"/>
    </xf>
    <xf numFmtId="2" fontId="5" fillId="4" borderId="6" xfId="0" applyNumberFormat="1" applyFont="1" applyFill="1" applyBorder="1" applyAlignment="1" applyProtection="1">
      <alignment horizontal="center"/>
      <protection locked="0"/>
    </xf>
    <xf numFmtId="10" fontId="5" fillId="4" borderId="1" xfId="0" applyNumberFormat="1" applyFont="1" applyFill="1" applyBorder="1" applyAlignment="1">
      <alignment horizontal="left" vertical="center" wrapText="1"/>
    </xf>
    <xf numFmtId="2" fontId="5" fillId="4" borderId="1" xfId="0" applyNumberFormat="1" applyFont="1" applyFill="1" applyBorder="1" applyAlignment="1" applyProtection="1">
      <alignment horizontal="center"/>
      <protection locked="0"/>
    </xf>
    <xf numFmtId="0" fontId="5" fillId="4" borderId="1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10" fontId="5" fillId="4" borderId="13" xfId="0" applyNumberFormat="1" applyFont="1" applyFill="1" applyBorder="1" applyAlignment="1" applyProtection="1">
      <alignment horizontal="left"/>
      <protection locked="0"/>
    </xf>
    <xf numFmtId="0" fontId="6" fillId="4" borderId="7" xfId="0" applyFont="1" applyFill="1" applyBorder="1" applyAlignment="1">
      <alignment horizontal="left"/>
    </xf>
    <xf numFmtId="0" fontId="6" fillId="4" borderId="7" xfId="0" applyFont="1" applyFill="1" applyBorder="1"/>
    <xf numFmtId="0" fontId="6" fillId="4" borderId="7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5" fillId="4" borderId="13" xfId="0" applyFont="1" applyFill="1" applyBorder="1" applyAlignment="1" applyProtection="1">
      <alignment horizontal="center"/>
      <protection locked="0"/>
    </xf>
    <xf numFmtId="0" fontId="5" fillId="4" borderId="6" xfId="0" applyFont="1" applyFill="1" applyBorder="1" applyAlignment="1" applyProtection="1">
      <alignment horizontal="center"/>
      <protection locked="0"/>
    </xf>
    <xf numFmtId="0" fontId="5" fillId="4" borderId="1" xfId="0" applyFont="1" applyFill="1" applyBorder="1" applyAlignment="1" applyProtection="1">
      <alignment horizontal="center"/>
      <protection locked="0"/>
    </xf>
    <xf numFmtId="0" fontId="6" fillId="4" borderId="13" xfId="0" applyFont="1" applyFill="1" applyBorder="1" applyAlignment="1">
      <alignment horizontal="center"/>
    </xf>
    <xf numFmtId="10" fontId="5" fillId="4" borderId="13" xfId="0" applyNumberFormat="1" applyFont="1" applyFill="1" applyBorder="1" applyAlignment="1" applyProtection="1">
      <alignment horizontal="left" wrapText="1"/>
      <protection locked="0"/>
    </xf>
    <xf numFmtId="10" fontId="5" fillId="4" borderId="1" xfId="1" applyNumberFormat="1" applyFont="1" applyFill="1" applyBorder="1" applyAlignment="1">
      <alignment horizontal="left" vertical="center" wrapText="1"/>
    </xf>
    <xf numFmtId="2" fontId="5" fillId="4" borderId="1" xfId="1" applyNumberFormat="1" applyFont="1" applyFill="1" applyBorder="1" applyAlignment="1" applyProtection="1">
      <alignment horizontal="center"/>
      <protection locked="0"/>
    </xf>
    <xf numFmtId="2" fontId="5" fillId="4" borderId="1" xfId="1" applyNumberFormat="1" applyFont="1" applyFill="1" applyBorder="1" applyAlignment="1">
      <alignment horizontal="center"/>
    </xf>
    <xf numFmtId="0" fontId="5" fillId="4" borderId="1" xfId="1" applyFont="1" applyFill="1" applyBorder="1" applyAlignment="1" applyProtection="1">
      <alignment horizontal="center"/>
      <protection locked="0"/>
    </xf>
    <xf numFmtId="10" fontId="5" fillId="4" borderId="6" xfId="1" applyNumberFormat="1" applyFont="1" applyFill="1" applyBorder="1" applyAlignment="1" applyProtection="1">
      <alignment horizontal="left" wrapText="1"/>
      <protection locked="0"/>
    </xf>
    <xf numFmtId="2" fontId="5" fillId="4" borderId="6" xfId="1" applyNumberFormat="1" applyFont="1" applyFill="1" applyBorder="1" applyAlignment="1" applyProtection="1">
      <alignment horizontal="center"/>
      <protection locked="0"/>
    </xf>
    <xf numFmtId="2" fontId="5" fillId="4" borderId="6" xfId="1" applyNumberFormat="1" applyFont="1" applyFill="1" applyBorder="1" applyAlignment="1">
      <alignment horizontal="center"/>
    </xf>
    <xf numFmtId="0" fontId="5" fillId="4" borderId="6" xfId="1" applyFont="1" applyFill="1" applyBorder="1" applyAlignment="1" applyProtection="1">
      <alignment horizontal="center"/>
      <protection locked="0"/>
    </xf>
    <xf numFmtId="0" fontId="5" fillId="4" borderId="60" xfId="0" applyFont="1" applyFill="1" applyBorder="1" applyAlignment="1" applyProtection="1">
      <alignment horizontal="center"/>
      <protection locked="0"/>
    </xf>
    <xf numFmtId="0" fontId="5" fillId="4" borderId="59" xfId="0" applyFont="1" applyFill="1" applyBorder="1" applyAlignment="1" applyProtection="1">
      <alignment horizontal="center"/>
      <protection locked="0"/>
    </xf>
    <xf numFmtId="0" fontId="6" fillId="4" borderId="59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62" xfId="0" applyFont="1" applyFill="1" applyBorder="1" applyAlignment="1">
      <alignment horizontal="center"/>
    </xf>
    <xf numFmtId="10" fontId="8" fillId="4" borderId="44" xfId="0" applyNumberFormat="1" applyFont="1" applyFill="1" applyBorder="1" applyAlignment="1">
      <alignment horizontal="left" vertical="center" wrapText="1"/>
    </xf>
    <xf numFmtId="2" fontId="8" fillId="4" borderId="2" xfId="0" applyNumberFormat="1" applyFont="1" applyFill="1" applyBorder="1" applyAlignment="1" applyProtection="1">
      <alignment horizontal="left"/>
      <protection locked="0"/>
    </xf>
    <xf numFmtId="10" fontId="8" fillId="4" borderId="56" xfId="0" applyNumberFormat="1" applyFont="1" applyFill="1" applyBorder="1" applyAlignment="1" applyProtection="1">
      <alignment horizontal="left"/>
      <protection locked="0"/>
    </xf>
    <xf numFmtId="0" fontId="8" fillId="4" borderId="44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/>
    </xf>
    <xf numFmtId="10" fontId="8" fillId="4" borderId="56" xfId="0" applyNumberFormat="1" applyFont="1" applyFill="1" applyBorder="1" applyAlignment="1" applyProtection="1">
      <alignment horizontal="left" wrapText="1"/>
      <protection locked="0"/>
    </xf>
    <xf numFmtId="0" fontId="0" fillId="2" borderId="10" xfId="0" applyFill="1" applyBorder="1"/>
    <xf numFmtId="0" fontId="8" fillId="4" borderId="2" xfId="0" applyFont="1" applyFill="1" applyBorder="1" applyAlignment="1" applyProtection="1">
      <alignment horizontal="center"/>
      <protection locked="0"/>
    </xf>
    <xf numFmtId="0" fontId="8" fillId="4" borderId="3" xfId="0" applyFont="1" applyFill="1" applyBorder="1" applyAlignment="1" applyProtection="1">
      <alignment horizontal="center"/>
      <protection locked="0"/>
    </xf>
    <xf numFmtId="0" fontId="8" fillId="4" borderId="2" xfId="0" applyFont="1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10" fontId="5" fillId="4" borderId="1" xfId="0" applyNumberFormat="1" applyFont="1" applyFill="1" applyBorder="1" applyAlignment="1" applyProtection="1">
      <alignment horizontal="left" vertical="center" wrapText="1"/>
      <protection locked="0"/>
    </xf>
    <xf numFmtId="0" fontId="6" fillId="4" borderId="1" xfId="0" applyFon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2" fillId="2" borderId="20" xfId="0" applyFont="1" applyFill="1" applyBorder="1" applyAlignment="1">
      <alignment horizontal="center" vertical="center" wrapText="1"/>
    </xf>
    <xf numFmtId="10" fontId="5" fillId="4" borderId="7" xfId="0" applyNumberFormat="1" applyFont="1" applyFill="1" applyBorder="1" applyAlignment="1">
      <alignment horizontal="left" vertical="center" wrapText="1"/>
    </xf>
    <xf numFmtId="10" fontId="5" fillId="4" borderId="18" xfId="0" applyNumberFormat="1" applyFont="1" applyFill="1" applyBorder="1" applyAlignment="1" applyProtection="1">
      <alignment horizontal="left" vertical="center"/>
      <protection locked="0"/>
    </xf>
    <xf numFmtId="10" fontId="5" fillId="4" borderId="6" xfId="0" applyNumberFormat="1" applyFont="1" applyFill="1" applyBorder="1" applyAlignment="1" applyProtection="1">
      <alignment horizontal="left" vertical="center"/>
      <protection locked="0"/>
    </xf>
    <xf numFmtId="0" fontId="0" fillId="2" borderId="20" xfId="0" applyFill="1" applyBorder="1" applyAlignment="1">
      <alignment vertical="center"/>
    </xf>
    <xf numFmtId="0" fontId="6" fillId="4" borderId="7" xfId="0" applyFont="1" applyFill="1" applyBorder="1" applyAlignment="1">
      <alignment horizontal="left" vertical="center"/>
    </xf>
    <xf numFmtId="0" fontId="0" fillId="2" borderId="7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10" fontId="4" fillId="4" borderId="57" xfId="0" applyNumberFormat="1" applyFont="1" applyFill="1" applyBorder="1" applyAlignment="1">
      <alignment horizontal="left" vertical="center" wrapText="1"/>
    </xf>
    <xf numFmtId="0" fontId="0" fillId="2" borderId="57" xfId="0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0" fontId="6" fillId="4" borderId="13" xfId="0" applyFont="1" applyFill="1" applyBorder="1" applyAlignment="1">
      <alignment vertical="center"/>
    </xf>
    <xf numFmtId="0" fontId="6" fillId="4" borderId="18" xfId="0" applyFont="1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0" fontId="0" fillId="4" borderId="2" xfId="0" applyFill="1" applyBorder="1" applyAlignment="1">
      <alignment horizontal="left" indent="4"/>
    </xf>
    <xf numFmtId="0" fontId="0" fillId="4" borderId="34" xfId="0" applyFill="1" applyBorder="1" applyAlignment="1">
      <alignment horizontal="left" indent="4"/>
    </xf>
    <xf numFmtId="2" fontId="8" fillId="4" borderId="34" xfId="0" applyNumberFormat="1" applyFont="1" applyFill="1" applyBorder="1" applyAlignment="1" applyProtection="1">
      <alignment horizontal="left"/>
      <protection locked="0"/>
    </xf>
    <xf numFmtId="0" fontId="8" fillId="4" borderId="34" xfId="0" applyFont="1" applyFill="1" applyBorder="1" applyAlignment="1" applyProtection="1">
      <alignment horizontal="center"/>
      <protection locked="0"/>
    </xf>
    <xf numFmtId="0" fontId="11" fillId="4" borderId="50" xfId="0" applyFont="1" applyFill="1" applyBorder="1" applyAlignment="1">
      <alignment horizontal="left" indent="4"/>
    </xf>
    <xf numFmtId="2" fontId="8" fillId="4" borderId="50" xfId="0" applyNumberFormat="1" applyFont="1" applyFill="1" applyBorder="1" applyAlignment="1" applyProtection="1">
      <alignment horizontal="left"/>
      <protection locked="0"/>
    </xf>
    <xf numFmtId="2" fontId="8" fillId="0" borderId="50" xfId="0" applyNumberFormat="1" applyFont="1" applyBorder="1" applyAlignment="1">
      <alignment horizontal="left"/>
    </xf>
    <xf numFmtId="0" fontId="8" fillId="4" borderId="50" xfId="0" applyFont="1" applyFill="1" applyBorder="1" applyAlignment="1" applyProtection="1">
      <alignment horizontal="center"/>
      <protection locked="0"/>
    </xf>
    <xf numFmtId="2" fontId="8" fillId="4" borderId="34" xfId="0" applyNumberFormat="1" applyFont="1" applyFill="1" applyBorder="1" applyAlignment="1" applyProtection="1">
      <alignment horizontal="center"/>
      <protection locked="0"/>
    </xf>
    <xf numFmtId="2" fontId="8" fillId="4" borderId="2" xfId="0" applyNumberFormat="1" applyFont="1" applyFill="1" applyBorder="1" applyAlignment="1" applyProtection="1">
      <alignment horizontal="center"/>
      <protection locked="0"/>
    </xf>
    <xf numFmtId="2" fontId="8" fillId="4" borderId="50" xfId="0" applyNumberFormat="1" applyFont="1" applyFill="1" applyBorder="1" applyAlignment="1" applyProtection="1">
      <alignment horizontal="center"/>
      <protection locked="0"/>
    </xf>
    <xf numFmtId="0" fontId="6" fillId="4" borderId="6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6" fillId="4" borderId="13" xfId="0" applyFont="1" applyFill="1" applyBorder="1" applyAlignment="1">
      <alignment vertical="center" wrapText="1"/>
    </xf>
    <xf numFmtId="0" fontId="6" fillId="4" borderId="18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vertical="center" wrapText="1"/>
    </xf>
    <xf numFmtId="2" fontId="5" fillId="4" borderId="13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34" xfId="0" applyFont="1" applyFill="1" applyBorder="1" applyAlignment="1" applyProtection="1">
      <alignment horizontal="center" vertical="center" wrapText="1"/>
      <protection locked="0"/>
    </xf>
    <xf numFmtId="0" fontId="5" fillId="4" borderId="64" xfId="0" applyFont="1" applyFill="1" applyBorder="1" applyAlignment="1" applyProtection="1">
      <alignment horizontal="center" vertical="center" wrapText="1"/>
      <protection locked="0"/>
    </xf>
    <xf numFmtId="2" fontId="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0" fontId="5" fillId="4" borderId="65" xfId="0" applyFont="1" applyFill="1" applyBorder="1" applyAlignment="1" applyProtection="1">
      <alignment horizontal="center" vertical="center" wrapText="1"/>
      <protection locked="0"/>
    </xf>
    <xf numFmtId="2" fontId="5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39" xfId="0" applyFont="1" applyFill="1" applyBorder="1" applyAlignment="1" applyProtection="1">
      <alignment horizontal="center" vertical="center" wrapText="1"/>
      <protection locked="0"/>
    </xf>
    <xf numFmtId="0" fontId="5" fillId="4" borderId="66" xfId="0" applyFont="1" applyFill="1" applyBorder="1" applyAlignment="1" applyProtection="1">
      <alignment horizontal="center" vertical="center" wrapText="1"/>
      <protection locked="0"/>
    </xf>
    <xf numFmtId="0" fontId="5" fillId="4" borderId="3" xfId="0" applyFont="1" applyFill="1" applyBorder="1" applyAlignment="1" applyProtection="1">
      <alignment horizontal="center" vertical="center" wrapText="1"/>
      <protection locked="0"/>
    </xf>
    <xf numFmtId="2" fontId="5" fillId="4" borderId="18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50" xfId="0" applyFont="1" applyFill="1" applyBorder="1" applyAlignment="1" applyProtection="1">
      <alignment horizontal="center" vertical="center" wrapText="1"/>
      <protection locked="0"/>
    </xf>
    <xf numFmtId="0" fontId="5" fillId="4" borderId="36" xfId="0" applyFont="1" applyFill="1" applyBorder="1" applyAlignment="1" applyProtection="1">
      <alignment horizontal="center" vertical="center" wrapText="1"/>
      <protection locked="0"/>
    </xf>
    <xf numFmtId="2" fontId="5" fillId="4" borderId="57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8" xfId="0" applyFont="1" applyFill="1" applyBorder="1" applyAlignment="1" applyProtection="1">
      <alignment horizontal="center" vertical="center" wrapText="1"/>
      <protection locked="0"/>
    </xf>
    <xf numFmtId="0" fontId="5" fillId="4" borderId="13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2" fontId="8" fillId="2" borderId="37" xfId="0" applyNumberFormat="1" applyFont="1" applyFill="1" applyBorder="1" applyAlignment="1">
      <alignment horizontal="center" vertical="center" wrapText="1"/>
    </xf>
    <xf numFmtId="2" fontId="8" fillId="2" borderId="34" xfId="0" applyNumberFormat="1" applyFont="1" applyFill="1" applyBorder="1" applyAlignment="1">
      <alignment horizontal="center" vertical="center" wrapText="1"/>
    </xf>
    <xf numFmtId="2" fontId="8" fillId="2" borderId="5" xfId="0" applyNumberFormat="1" applyFont="1" applyFill="1" applyBorder="1" applyAlignment="1">
      <alignment horizontal="center" vertical="center" wrapText="1"/>
    </xf>
    <xf numFmtId="2" fontId="8" fillId="2" borderId="2" xfId="0" applyNumberFormat="1" applyFont="1" applyFill="1" applyBorder="1" applyAlignment="1">
      <alignment horizontal="center" vertical="center" wrapText="1"/>
    </xf>
    <xf numFmtId="2" fontId="8" fillId="2" borderId="38" xfId="0" applyNumberFormat="1" applyFont="1" applyFill="1" applyBorder="1" applyAlignment="1">
      <alignment horizontal="center" vertical="center" wrapText="1"/>
    </xf>
    <xf numFmtId="2" fontId="8" fillId="2" borderId="39" xfId="0" applyNumberFormat="1" applyFont="1" applyFill="1" applyBorder="1" applyAlignment="1">
      <alignment horizontal="center" vertical="center" wrapText="1"/>
    </xf>
    <xf numFmtId="2" fontId="8" fillId="2" borderId="35" xfId="0" applyNumberFormat="1" applyFont="1" applyFill="1" applyBorder="1" applyAlignment="1">
      <alignment horizontal="center" vertical="center" wrapText="1"/>
    </xf>
    <xf numFmtId="2" fontId="8" fillId="2" borderId="50" xfId="0" applyNumberFormat="1" applyFont="1" applyFill="1" applyBorder="1" applyAlignment="1">
      <alignment horizontal="center" vertical="center" wrapText="1"/>
    </xf>
    <xf numFmtId="2" fontId="8" fillId="2" borderId="58" xfId="0" applyNumberFormat="1" applyFont="1" applyFill="1" applyBorder="1" applyAlignment="1">
      <alignment horizontal="center" vertical="center" wrapText="1"/>
    </xf>
    <xf numFmtId="2" fontId="8" fillId="2" borderId="8" xfId="0" applyNumberFormat="1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4" xfId="0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2" fontId="5" fillId="4" borderId="7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54" xfId="0" applyNumberFormat="1" applyFont="1" applyFill="1" applyBorder="1" applyAlignment="1">
      <alignment horizontal="center" vertical="center" wrapText="1"/>
    </xf>
    <xf numFmtId="2" fontId="8" fillId="2" borderId="3" xfId="0" applyNumberFormat="1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left" wrapText="1"/>
    </xf>
    <xf numFmtId="0" fontId="8" fillId="4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/>
    </xf>
    <xf numFmtId="0" fontId="8" fillId="4" borderId="77" xfId="0" applyFont="1" applyFill="1" applyBorder="1" applyAlignment="1">
      <alignment horizontal="center"/>
    </xf>
    <xf numFmtId="0" fontId="0" fillId="2" borderId="27" xfId="0" applyFill="1" applyBorder="1" applyAlignment="1">
      <alignment vertical="center"/>
    </xf>
    <xf numFmtId="0" fontId="8" fillId="4" borderId="1" xfId="0" applyFont="1" applyFill="1" applyBorder="1" applyAlignment="1">
      <alignment horizontal="center"/>
    </xf>
    <xf numFmtId="0" fontId="5" fillId="4" borderId="78" xfId="0" applyFont="1" applyFill="1" applyBorder="1" applyAlignment="1" applyProtection="1">
      <alignment horizontal="center" vertical="center" wrapText="1"/>
      <protection locked="0"/>
    </xf>
    <xf numFmtId="0" fontId="8" fillId="4" borderId="78" xfId="0" applyFont="1" applyFill="1" applyBorder="1" applyAlignment="1">
      <alignment horizontal="center"/>
    </xf>
    <xf numFmtId="0" fontId="8" fillId="4" borderId="81" xfId="0" applyFont="1" applyFill="1" applyBorder="1" applyAlignment="1">
      <alignment horizontal="left" wrapText="1"/>
    </xf>
    <xf numFmtId="0" fontId="8" fillId="4" borderId="50" xfId="0" applyFont="1" applyFill="1" applyBorder="1" applyAlignment="1">
      <alignment horizontal="left"/>
    </xf>
    <xf numFmtId="0" fontId="8" fillId="2" borderId="50" xfId="0" applyFont="1" applyFill="1" applyBorder="1" applyAlignment="1">
      <alignment horizontal="left"/>
    </xf>
    <xf numFmtId="0" fontId="8" fillId="4" borderId="50" xfId="0" applyFont="1" applyFill="1" applyBorder="1" applyAlignment="1">
      <alignment horizontal="center"/>
    </xf>
    <xf numFmtId="0" fontId="8" fillId="4" borderId="82" xfId="0" applyFont="1" applyFill="1" applyBorder="1" applyAlignment="1">
      <alignment horizontal="center"/>
    </xf>
    <xf numFmtId="0" fontId="5" fillId="4" borderId="16" xfId="0" applyFont="1" applyFill="1" applyBorder="1" applyAlignment="1" applyProtection="1">
      <alignment horizontal="center" vertical="center" wrapText="1"/>
      <protection locked="0"/>
    </xf>
    <xf numFmtId="0" fontId="5" fillId="4" borderId="83" xfId="0" applyFont="1" applyFill="1" applyBorder="1" applyAlignment="1" applyProtection="1">
      <alignment horizontal="center" vertical="center" wrapText="1"/>
      <protection locked="0"/>
    </xf>
    <xf numFmtId="0" fontId="5" fillId="4" borderId="19" xfId="0" applyFont="1" applyFill="1" applyBorder="1" applyAlignment="1" applyProtection="1">
      <alignment horizontal="center" vertical="center" wrapText="1"/>
      <protection locked="0"/>
    </xf>
    <xf numFmtId="0" fontId="8" fillId="4" borderId="84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7" fillId="4" borderId="57" xfId="0" applyFont="1" applyFill="1" applyBorder="1" applyAlignment="1">
      <alignment horizontal="left" vertical="center"/>
    </xf>
    <xf numFmtId="2" fontId="8" fillId="2" borderId="2" xfId="0" applyNumberFormat="1" applyFont="1" applyFill="1" applyBorder="1" applyAlignment="1">
      <alignment horizontal="left"/>
    </xf>
    <xf numFmtId="2" fontId="8" fillId="2" borderId="34" xfId="0" applyNumberFormat="1" applyFont="1" applyFill="1" applyBorder="1" applyAlignment="1">
      <alignment horizontal="left"/>
    </xf>
    <xf numFmtId="2" fontId="8" fillId="2" borderId="50" xfId="0" applyNumberFormat="1" applyFont="1" applyFill="1" applyBorder="1" applyAlignment="1">
      <alignment horizontal="left"/>
    </xf>
    <xf numFmtId="0" fontId="8" fillId="4" borderId="36" xfId="0" applyFont="1" applyFill="1" applyBorder="1" applyAlignment="1" applyProtection="1">
      <alignment horizontal="center"/>
      <protection locked="0"/>
    </xf>
    <xf numFmtId="10" fontId="8" fillId="4" borderId="47" xfId="0" applyNumberFormat="1" applyFont="1" applyFill="1" applyBorder="1" applyAlignment="1">
      <alignment horizontal="left" vertical="center" wrapText="1"/>
    </xf>
    <xf numFmtId="10" fontId="8" fillId="4" borderId="52" xfId="0" applyNumberFormat="1" applyFont="1" applyFill="1" applyBorder="1" applyAlignment="1">
      <alignment horizontal="left" vertical="center" wrapText="1"/>
    </xf>
    <xf numFmtId="10" fontId="8" fillId="4" borderId="87" xfId="0" applyNumberFormat="1" applyFont="1" applyFill="1" applyBorder="1" applyAlignment="1" applyProtection="1">
      <alignment horizontal="left"/>
      <protection locked="0"/>
    </xf>
    <xf numFmtId="2" fontId="8" fillId="4" borderId="3" xfId="0" applyNumberFormat="1" applyFont="1" applyFill="1" applyBorder="1" applyAlignment="1" applyProtection="1">
      <alignment horizontal="left"/>
      <protection locked="0"/>
    </xf>
    <xf numFmtId="2" fontId="8" fillId="2" borderId="3" xfId="0" applyNumberFormat="1" applyFont="1" applyFill="1" applyBorder="1" applyAlignment="1">
      <alignment horizontal="left"/>
    </xf>
    <xf numFmtId="10" fontId="8" fillId="4" borderId="84" xfId="0" applyNumberFormat="1" applyFont="1" applyFill="1" applyBorder="1" applyAlignment="1">
      <alignment horizontal="left" vertical="center" wrapText="1"/>
    </xf>
    <xf numFmtId="0" fontId="0" fillId="4" borderId="59" xfId="0" applyFill="1" applyBorder="1"/>
    <xf numFmtId="0" fontId="0" fillId="2" borderId="59" xfId="0" applyFill="1" applyBorder="1"/>
    <xf numFmtId="0" fontId="8" fillId="4" borderId="2" xfId="0" applyFont="1" applyFill="1" applyBorder="1" applyAlignment="1">
      <alignment horizontal="left" wrapText="1"/>
    </xf>
    <xf numFmtId="0" fontId="8" fillId="2" borderId="2" xfId="0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8" fillId="4" borderId="78" xfId="0" applyFont="1" applyFill="1" applyBorder="1" applyAlignment="1">
      <alignment horizontal="center" wrapText="1"/>
    </xf>
    <xf numFmtId="0" fontId="8" fillId="4" borderId="78" xfId="0" applyFont="1" applyFill="1" applyBorder="1" applyAlignment="1" applyProtection="1">
      <alignment horizontal="center"/>
      <protection locked="0"/>
    </xf>
    <xf numFmtId="0" fontId="8" fillId="4" borderId="85" xfId="0" applyFont="1" applyFill="1" applyBorder="1" applyAlignment="1">
      <alignment horizontal="left" wrapText="1"/>
    </xf>
    <xf numFmtId="0" fontId="8" fillId="4" borderId="34" xfId="0" applyFont="1" applyFill="1" applyBorder="1" applyAlignment="1">
      <alignment horizontal="left" wrapText="1"/>
    </xf>
    <xf numFmtId="0" fontId="8" fillId="2" borderId="34" xfId="0" applyFont="1" applyFill="1" applyBorder="1" applyAlignment="1">
      <alignment horizontal="left" wrapText="1"/>
    </xf>
    <xf numFmtId="0" fontId="8" fillId="4" borderId="80" xfId="0" applyFont="1" applyFill="1" applyBorder="1" applyAlignment="1">
      <alignment horizontal="center" wrapText="1"/>
    </xf>
    <xf numFmtId="0" fontId="8" fillId="4" borderId="13" xfId="0" applyFont="1" applyFill="1" applyBorder="1" applyAlignment="1">
      <alignment horizontal="center" wrapText="1"/>
    </xf>
    <xf numFmtId="0" fontId="0" fillId="4" borderId="13" xfId="0" applyFill="1" applyBorder="1" applyAlignment="1">
      <alignment wrapText="1"/>
    </xf>
    <xf numFmtId="0" fontId="0" fillId="2" borderId="24" xfId="0" applyFill="1" applyBorder="1"/>
    <xf numFmtId="0" fontId="0" fillId="2" borderId="25" xfId="0" applyFill="1" applyBorder="1"/>
    <xf numFmtId="0" fontId="0" fillId="4" borderId="18" xfId="0" applyFill="1" applyBorder="1" applyAlignment="1">
      <alignment wrapText="1"/>
    </xf>
    <xf numFmtId="0" fontId="0" fillId="2" borderId="76" xfId="0" applyFill="1" applyBorder="1"/>
    <xf numFmtId="0" fontId="2" fillId="2" borderId="62" xfId="0" applyFont="1" applyFill="1" applyBorder="1" applyAlignment="1">
      <alignment horizontal="center" vertical="center" wrapText="1"/>
    </xf>
    <xf numFmtId="0" fontId="0" fillId="2" borderId="21" xfId="0" applyFill="1" applyBorder="1"/>
    <xf numFmtId="0" fontId="8" fillId="4" borderId="80" xfId="0" applyFont="1" applyFill="1" applyBorder="1" applyAlignment="1" applyProtection="1">
      <alignment horizontal="center"/>
      <protection locked="0"/>
    </xf>
    <xf numFmtId="0" fontId="8" fillId="4" borderId="83" xfId="0" applyFont="1" applyFill="1" applyBorder="1" applyAlignment="1" applyProtection="1">
      <alignment horizontal="center"/>
      <protection locked="0"/>
    </xf>
    <xf numFmtId="0" fontId="8" fillId="4" borderId="86" xfId="0" applyFont="1" applyFill="1" applyBorder="1" applyAlignment="1">
      <alignment horizontal="left" vertical="center" wrapText="1"/>
    </xf>
    <xf numFmtId="0" fontId="8" fillId="4" borderId="39" xfId="0" applyFont="1" applyFill="1" applyBorder="1" applyAlignment="1">
      <alignment horizontal="left" wrapText="1"/>
    </xf>
    <xf numFmtId="0" fontId="8" fillId="2" borderId="39" xfId="0" applyFont="1" applyFill="1" applyBorder="1" applyAlignment="1">
      <alignment horizontal="left" wrapText="1"/>
    </xf>
    <xf numFmtId="0" fontId="8" fillId="4" borderId="79" xfId="0" applyFont="1" applyFill="1" applyBorder="1" applyAlignment="1">
      <alignment horizontal="center" wrapText="1"/>
    </xf>
    <xf numFmtId="0" fontId="8" fillId="4" borderId="6" xfId="0" applyFont="1" applyFill="1" applyBorder="1" applyAlignment="1">
      <alignment horizontal="center" wrapText="1"/>
    </xf>
    <xf numFmtId="0" fontId="0" fillId="4" borderId="6" xfId="0" applyFill="1" applyBorder="1" applyAlignment="1">
      <alignment wrapText="1"/>
    </xf>
    <xf numFmtId="0" fontId="0" fillId="2" borderId="27" xfId="0" applyFill="1" applyBorder="1"/>
    <xf numFmtId="0" fontId="0" fillId="4" borderId="7" xfId="0" applyFill="1" applyBorder="1"/>
    <xf numFmtId="0" fontId="0" fillId="4" borderId="63" xfId="0" applyFill="1" applyBorder="1"/>
    <xf numFmtId="0" fontId="0" fillId="2" borderId="7" xfId="0" applyFill="1" applyBorder="1"/>
    <xf numFmtId="0" fontId="0" fillId="2" borderId="63" xfId="0" applyFill="1" applyBorder="1"/>
    <xf numFmtId="2" fontId="8" fillId="4" borderId="1" xfId="0" applyNumberFormat="1" applyFont="1" applyFill="1" applyBorder="1" applyAlignment="1" applyProtection="1">
      <alignment horizontal="left"/>
      <protection locked="0"/>
    </xf>
    <xf numFmtId="0" fontId="8" fillId="4" borderId="1" xfId="0" applyFont="1" applyFill="1" applyBorder="1" applyAlignment="1" applyProtection="1">
      <alignment horizontal="center"/>
      <protection locked="0"/>
    </xf>
    <xf numFmtId="10" fontId="8" fillId="4" borderId="13" xfId="0" applyNumberFormat="1" applyFont="1" applyFill="1" applyBorder="1" applyAlignment="1">
      <alignment horizontal="left" vertical="center" wrapText="1"/>
    </xf>
    <xf numFmtId="2" fontId="8" fillId="4" borderId="13" xfId="0" applyNumberFormat="1" applyFont="1" applyFill="1" applyBorder="1" applyAlignment="1" applyProtection="1">
      <alignment horizontal="left"/>
      <protection locked="0"/>
    </xf>
    <xf numFmtId="2" fontId="8" fillId="2" borderId="13" xfId="0" applyNumberFormat="1" applyFont="1" applyFill="1" applyBorder="1" applyAlignment="1">
      <alignment horizontal="left"/>
    </xf>
    <xf numFmtId="0" fontId="8" fillId="4" borderId="13" xfId="0" applyFont="1" applyFill="1" applyBorder="1" applyAlignment="1" applyProtection="1">
      <alignment horizontal="center"/>
      <protection locked="0"/>
    </xf>
    <xf numFmtId="0" fontId="0" fillId="2" borderId="14" xfId="0" applyFill="1" applyBorder="1"/>
    <xf numFmtId="0" fontId="0" fillId="2" borderId="16" xfId="0" applyFill="1" applyBorder="1"/>
    <xf numFmtId="0" fontId="0" fillId="2" borderId="19" xfId="0" applyFill="1" applyBorder="1"/>
    <xf numFmtId="0" fontId="6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6" fillId="4" borderId="13" xfId="0" applyFont="1" applyFill="1" applyBorder="1" applyAlignment="1">
      <alignment wrapText="1"/>
    </xf>
    <xf numFmtId="0" fontId="6" fillId="4" borderId="13" xfId="0" applyFont="1" applyFill="1" applyBorder="1" applyAlignment="1">
      <alignment horizontal="center" wrapText="1"/>
    </xf>
    <xf numFmtId="0" fontId="6" fillId="2" borderId="13" xfId="0" applyFont="1" applyFill="1" applyBorder="1" applyAlignment="1">
      <alignment horizontal="center" wrapText="1"/>
    </xf>
    <xf numFmtId="0" fontId="6" fillId="2" borderId="16" xfId="0" applyFont="1" applyFill="1" applyBorder="1" applyAlignment="1">
      <alignment wrapText="1"/>
    </xf>
    <xf numFmtId="0" fontId="6" fillId="4" borderId="18" xfId="0" applyFont="1" applyFill="1" applyBorder="1" applyAlignment="1">
      <alignment wrapText="1"/>
    </xf>
    <xf numFmtId="0" fontId="6" fillId="4" borderId="18" xfId="0" applyFont="1" applyFill="1" applyBorder="1" applyAlignment="1">
      <alignment horizontal="center" wrapText="1"/>
    </xf>
    <xf numFmtId="0" fontId="6" fillId="2" borderId="18" xfId="0" applyFont="1" applyFill="1" applyBorder="1" applyAlignment="1">
      <alignment horizontal="center" wrapText="1"/>
    </xf>
    <xf numFmtId="0" fontId="6" fillId="2" borderId="19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6" borderId="1" xfId="0" applyFont="1" applyFill="1" applyBorder="1" applyAlignment="1" applyProtection="1">
      <alignment horizontal="center"/>
      <protection locked="0"/>
    </xf>
    <xf numFmtId="0" fontId="0" fillId="6" borderId="1" xfId="0" applyFill="1" applyBorder="1"/>
    <xf numFmtId="10" fontId="8" fillId="6" borderId="1" xfId="0" applyNumberFormat="1" applyFont="1" applyFill="1" applyBorder="1" applyAlignment="1" applyProtection="1">
      <alignment vertical="center" wrapText="1"/>
      <protection locked="0"/>
    </xf>
    <xf numFmtId="10" fontId="8" fillId="6" borderId="1" xfId="0" applyNumberFormat="1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2" fontId="8" fillId="6" borderId="1" xfId="0" applyNumberFormat="1" applyFont="1" applyFill="1" applyBorder="1" applyAlignment="1" applyProtection="1">
      <alignment horizontal="center"/>
      <protection locked="0"/>
    </xf>
    <xf numFmtId="2" fontId="8" fillId="0" borderId="1" xfId="0" applyNumberFormat="1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88" xfId="0" applyFont="1" applyFill="1" applyBorder="1" applyAlignment="1">
      <alignment horizontal="center"/>
    </xf>
    <xf numFmtId="0" fontId="8" fillId="4" borderId="8" xfId="0" applyFont="1" applyFill="1" applyBorder="1" applyAlignment="1" applyProtection="1">
      <alignment horizontal="center"/>
      <protection locked="0"/>
    </xf>
    <xf numFmtId="10" fontId="8" fillId="4" borderId="86" xfId="0" applyNumberFormat="1" applyFont="1" applyFill="1" applyBorder="1" applyAlignment="1">
      <alignment horizontal="left" vertical="center" wrapText="1"/>
    </xf>
    <xf numFmtId="2" fontId="8" fillId="4" borderId="39" xfId="0" applyNumberFormat="1" applyFont="1" applyFill="1" applyBorder="1" applyAlignment="1" applyProtection="1">
      <alignment horizontal="left"/>
      <protection locked="0"/>
    </xf>
    <xf numFmtId="2" fontId="8" fillId="2" borderId="39" xfId="0" applyNumberFormat="1" applyFont="1" applyFill="1" applyBorder="1" applyAlignment="1">
      <alignment horizontal="left"/>
    </xf>
    <xf numFmtId="0" fontId="8" fillId="4" borderId="39" xfId="0" applyFont="1" applyFill="1" applyBorder="1" applyAlignment="1" applyProtection="1">
      <alignment horizontal="center"/>
      <protection locked="0"/>
    </xf>
    <xf numFmtId="0" fontId="0" fillId="0" borderId="0" xfId="0" applyAlignment="1">
      <alignment wrapText="1"/>
    </xf>
    <xf numFmtId="10" fontId="8" fillId="4" borderId="56" xfId="0" applyNumberFormat="1" applyFont="1" applyFill="1" applyBorder="1" applyAlignment="1">
      <alignment horizontal="left"/>
    </xf>
    <xf numFmtId="2" fontId="8" fillId="4" borderId="2" xfId="0" applyNumberFormat="1" applyFont="1" applyFill="1" applyBorder="1" applyAlignment="1">
      <alignment horizontal="left"/>
    </xf>
    <xf numFmtId="0" fontId="0" fillId="2" borderId="68" xfId="0" applyFill="1" applyBorder="1" applyAlignment="1">
      <alignment vertical="center"/>
    </xf>
    <xf numFmtId="0" fontId="0" fillId="2" borderId="53" xfId="0" applyFill="1" applyBorder="1" applyAlignment="1">
      <alignment vertical="center"/>
    </xf>
    <xf numFmtId="0" fontId="0" fillId="2" borderId="69" xfId="0" applyFill="1" applyBorder="1" applyAlignment="1">
      <alignment vertical="center"/>
    </xf>
    <xf numFmtId="0" fontId="0" fillId="2" borderId="68" xfId="0" applyFill="1" applyBorder="1"/>
    <xf numFmtId="0" fontId="0" fillId="2" borderId="53" xfId="0" applyFill="1" applyBorder="1"/>
    <xf numFmtId="0" fontId="0" fillId="2" borderId="69" xfId="0" applyFill="1" applyBorder="1"/>
    <xf numFmtId="10" fontId="8" fillId="4" borderId="85" xfId="0" applyNumberFormat="1" applyFont="1" applyFill="1" applyBorder="1" applyAlignment="1">
      <alignment horizontal="left"/>
    </xf>
    <xf numFmtId="2" fontId="8" fillId="4" borderId="34" xfId="0" applyNumberFormat="1" applyFont="1" applyFill="1" applyBorder="1" applyAlignment="1">
      <alignment horizontal="left"/>
    </xf>
    <xf numFmtId="0" fontId="8" fillId="4" borderId="34" xfId="0" applyFont="1" applyFill="1" applyBorder="1" applyAlignment="1">
      <alignment horizontal="center"/>
    </xf>
    <xf numFmtId="10" fontId="8" fillId="4" borderId="81" xfId="0" applyNumberFormat="1" applyFont="1" applyFill="1" applyBorder="1" applyAlignment="1">
      <alignment horizontal="left"/>
    </xf>
    <xf numFmtId="2" fontId="8" fillId="4" borderId="50" xfId="0" applyNumberFormat="1" applyFont="1" applyFill="1" applyBorder="1" applyAlignment="1">
      <alignment horizontal="left"/>
    </xf>
    <xf numFmtId="10" fontId="8" fillId="4" borderId="56" xfId="0" applyNumberFormat="1" applyFont="1" applyFill="1" applyBorder="1" applyAlignment="1">
      <alignment horizontal="left" wrapText="1"/>
    </xf>
    <xf numFmtId="2" fontId="8" fillId="2" borderId="1" xfId="0" applyNumberFormat="1" applyFont="1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2" fontId="8" fillId="2" borderId="13" xfId="0" applyNumberFormat="1" applyFont="1" applyFill="1" applyBorder="1" applyAlignment="1">
      <alignment horizontal="left" wrapText="1"/>
    </xf>
    <xf numFmtId="0" fontId="0" fillId="0" borderId="14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9" xfId="0" applyBorder="1" applyAlignment="1">
      <alignment wrapText="1"/>
    </xf>
    <xf numFmtId="0" fontId="3" fillId="2" borderId="6" xfId="0" applyFont="1" applyFill="1" applyBorder="1" applyAlignment="1">
      <alignment horizontal="center" vertical="center" wrapText="1"/>
    </xf>
    <xf numFmtId="2" fontId="8" fillId="2" borderId="6" xfId="0" applyNumberFormat="1" applyFont="1" applyFill="1" applyBorder="1" applyAlignment="1">
      <alignment horizontal="left" wrapText="1"/>
    </xf>
    <xf numFmtId="0" fontId="0" fillId="0" borderId="23" xfId="0" applyBorder="1" applyAlignment="1">
      <alignment wrapText="1"/>
    </xf>
    <xf numFmtId="0" fontId="8" fillId="4" borderId="89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left" vertical="center" wrapText="1"/>
    </xf>
    <xf numFmtId="2" fontId="8" fillId="2" borderId="90" xfId="0" applyNumberFormat="1" applyFont="1" applyFill="1" applyBorder="1" applyAlignment="1">
      <alignment horizontal="left"/>
    </xf>
    <xf numFmtId="0" fontId="8" fillId="4" borderId="90" xfId="0" applyFont="1" applyFill="1" applyBorder="1" applyAlignment="1">
      <alignment horizontal="center"/>
    </xf>
    <xf numFmtId="0" fontId="8" fillId="4" borderId="39" xfId="0" applyFont="1" applyFill="1" applyBorder="1" applyAlignment="1">
      <alignment horizontal="center"/>
    </xf>
    <xf numFmtId="0" fontId="8" fillId="4" borderId="91" xfId="0" applyFont="1" applyFill="1" applyBorder="1" applyAlignment="1">
      <alignment horizontal="center"/>
    </xf>
    <xf numFmtId="0" fontId="0" fillId="0" borderId="25" xfId="0" applyBorder="1" applyAlignment="1">
      <alignment wrapText="1"/>
    </xf>
    <xf numFmtId="0" fontId="8" fillId="4" borderId="92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 wrapText="1"/>
    </xf>
    <xf numFmtId="2" fontId="8" fillId="4" borderId="6" xfId="0" applyNumberFormat="1" applyFont="1" applyFill="1" applyBorder="1" applyAlignment="1" applyProtection="1">
      <alignment horizontal="center" vertical="center"/>
      <protection locked="0"/>
    </xf>
    <xf numFmtId="2" fontId="8" fillId="4" borderId="38" xfId="0" applyNumberFormat="1" applyFont="1" applyFill="1" applyBorder="1" applyAlignment="1" applyProtection="1">
      <alignment horizontal="center" vertical="center"/>
      <protection locked="0"/>
    </xf>
    <xf numFmtId="0" fontId="0" fillId="4" borderId="39" xfId="0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2" fontId="8" fillId="0" borderId="18" xfId="0" applyNumberFormat="1" applyFont="1" applyBorder="1" applyAlignment="1">
      <alignment horizontal="left"/>
    </xf>
    <xf numFmtId="0" fontId="12" fillId="2" borderId="6" xfId="0" applyFont="1" applyFill="1" applyBorder="1" applyAlignment="1">
      <alignment horizontal="center" vertical="center" wrapText="1"/>
    </xf>
    <xf numFmtId="0" fontId="0" fillId="0" borderId="96" xfId="0" applyBorder="1" applyAlignment="1">
      <alignment wrapText="1"/>
    </xf>
    <xf numFmtId="0" fontId="5" fillId="0" borderId="1" xfId="0" applyFont="1" applyBorder="1" applyAlignment="1">
      <alignment horizontal="left" wrapText="1"/>
    </xf>
    <xf numFmtId="2" fontId="5" fillId="0" borderId="1" xfId="0" applyNumberFormat="1" applyFont="1" applyBorder="1" applyAlignment="1">
      <alignment horizontal="left" wrapText="1"/>
    </xf>
    <xf numFmtId="2" fontId="5" fillId="4" borderId="1" xfId="0" applyNumberFormat="1" applyFont="1" applyFill="1" applyBorder="1" applyAlignment="1" applyProtection="1">
      <alignment horizontal="left" wrapText="1"/>
      <protection locked="0"/>
    </xf>
    <xf numFmtId="0" fontId="5" fillId="4" borderId="1" xfId="0" applyFont="1" applyFill="1" applyBorder="1" applyAlignment="1" applyProtection="1">
      <alignment horizontal="center" wrapText="1"/>
      <protection locked="0"/>
    </xf>
    <xf numFmtId="2" fontId="5" fillId="4" borderId="6" xfId="0" applyNumberFormat="1" applyFont="1" applyFill="1" applyBorder="1" applyAlignment="1" applyProtection="1">
      <alignment horizontal="left" wrapText="1"/>
      <protection locked="0"/>
    </xf>
    <xf numFmtId="2" fontId="5" fillId="0" borderId="6" xfId="0" applyNumberFormat="1" applyFont="1" applyBorder="1" applyAlignment="1">
      <alignment horizontal="left" wrapText="1"/>
    </xf>
    <xf numFmtId="0" fontId="5" fillId="4" borderId="6" xfId="0" applyFont="1" applyFill="1" applyBorder="1" applyAlignment="1" applyProtection="1">
      <alignment horizontal="center" wrapText="1"/>
      <protection locked="0"/>
    </xf>
    <xf numFmtId="0" fontId="6" fillId="4" borderId="10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left" vertical="center" wrapText="1"/>
    </xf>
    <xf numFmtId="0" fontId="6" fillId="4" borderId="20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left"/>
    </xf>
    <xf numFmtId="0" fontId="5" fillId="4" borderId="13" xfId="0" applyFont="1" applyFill="1" applyBorder="1" applyAlignment="1">
      <alignment horizontal="left" wrapText="1"/>
    </xf>
    <xf numFmtId="0" fontId="5" fillId="4" borderId="13" xfId="0" applyFont="1" applyFill="1" applyBorder="1" applyAlignment="1">
      <alignment horizontal="left"/>
    </xf>
    <xf numFmtId="0" fontId="5" fillId="4" borderId="18" xfId="0" applyFont="1" applyFill="1" applyBorder="1" applyAlignment="1">
      <alignment horizontal="left" wrapText="1"/>
    </xf>
    <xf numFmtId="0" fontId="8" fillId="0" borderId="18" xfId="0" applyFont="1" applyBorder="1" applyAlignment="1">
      <alignment horizontal="left"/>
    </xf>
    <xf numFmtId="0" fontId="5" fillId="4" borderId="18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wrapText="1"/>
    </xf>
    <xf numFmtId="0" fontId="5" fillId="4" borderId="6" xfId="0" applyFont="1" applyFill="1" applyBorder="1" applyAlignment="1">
      <alignment horizontal="left" wrapText="1"/>
    </xf>
    <xf numFmtId="0" fontId="5" fillId="4" borderId="6" xfId="0" applyFont="1" applyFill="1" applyBorder="1" applyAlignment="1">
      <alignment horizontal="left"/>
    </xf>
    <xf numFmtId="0" fontId="8" fillId="0" borderId="6" xfId="0" applyFont="1" applyBorder="1" applyAlignment="1">
      <alignment horizontal="left"/>
    </xf>
    <xf numFmtId="0" fontId="5" fillId="4" borderId="6" xfId="0" applyFont="1" applyFill="1" applyBorder="1" applyAlignment="1">
      <alignment horizontal="center" wrapText="1"/>
    </xf>
    <xf numFmtId="0" fontId="6" fillId="4" borderId="7" xfId="0" applyFont="1" applyFill="1" applyBorder="1" applyAlignment="1">
      <alignment wrapText="1"/>
    </xf>
    <xf numFmtId="0" fontId="5" fillId="4" borderId="44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center"/>
    </xf>
    <xf numFmtId="0" fontId="8" fillId="2" borderId="1" xfId="0" applyFont="1" applyFill="1" applyBorder="1" applyAlignment="1" applyProtection="1">
      <alignment vertical="center" wrapText="1"/>
      <protection locked="0"/>
    </xf>
    <xf numFmtId="0" fontId="5" fillId="4" borderId="47" xfId="0" applyFont="1" applyFill="1" applyBorder="1" applyAlignment="1">
      <alignment horizontal="left" vertical="center" wrapText="1"/>
    </xf>
    <xf numFmtId="0" fontId="5" fillId="4" borderId="34" xfId="0" applyFont="1" applyFill="1" applyBorder="1" applyAlignment="1">
      <alignment horizontal="left" wrapText="1"/>
    </xf>
    <xf numFmtId="0" fontId="8" fillId="0" borderId="34" xfId="0" applyFont="1" applyBorder="1" applyAlignment="1">
      <alignment horizontal="left"/>
    </xf>
    <xf numFmtId="0" fontId="5" fillId="4" borderId="34" xfId="0" applyFont="1" applyFill="1" applyBorder="1" applyAlignment="1">
      <alignment horizontal="center" wrapText="1"/>
    </xf>
    <xf numFmtId="0" fontId="8" fillId="2" borderId="16" xfId="0" applyFont="1" applyFill="1" applyBorder="1" applyAlignment="1" applyProtection="1">
      <alignment vertical="center" wrapText="1"/>
      <protection locked="0"/>
    </xf>
    <xf numFmtId="0" fontId="5" fillId="4" borderId="52" xfId="0" applyFont="1" applyFill="1" applyBorder="1" applyAlignment="1">
      <alignment horizontal="left" vertical="center" wrapText="1"/>
    </xf>
    <xf numFmtId="0" fontId="5" fillId="4" borderId="50" xfId="0" applyFont="1" applyFill="1" applyBorder="1" applyAlignment="1">
      <alignment horizontal="left"/>
    </xf>
    <xf numFmtId="0" fontId="8" fillId="0" borderId="50" xfId="0" applyFont="1" applyBorder="1" applyAlignment="1">
      <alignment horizontal="left"/>
    </xf>
    <xf numFmtId="0" fontId="5" fillId="4" borderId="50" xfId="0" applyFont="1" applyFill="1" applyBorder="1" applyAlignment="1">
      <alignment horizontal="center"/>
    </xf>
    <xf numFmtId="0" fontId="8" fillId="2" borderId="19" xfId="0" applyFont="1" applyFill="1" applyBorder="1" applyAlignment="1" applyProtection="1">
      <alignment vertical="center" wrapText="1"/>
      <protection locked="0"/>
    </xf>
    <xf numFmtId="0" fontId="8" fillId="2" borderId="7" xfId="0" applyFont="1" applyFill="1" applyBorder="1" applyAlignment="1" applyProtection="1">
      <alignment vertical="center" wrapText="1"/>
      <protection locked="0"/>
    </xf>
    <xf numFmtId="0" fontId="0" fillId="4" borderId="1" xfId="0" applyFill="1" applyBorder="1" applyAlignment="1">
      <alignment horizontal="center" wrapText="1"/>
    </xf>
    <xf numFmtId="2" fontId="8" fillId="4" borderId="13" xfId="0" applyNumberFormat="1" applyFont="1" applyFill="1" applyBorder="1" applyAlignment="1">
      <alignment horizontal="left" vertical="center" wrapText="1"/>
    </xf>
    <xf numFmtId="2" fontId="8" fillId="4" borderId="1" xfId="0" applyNumberFormat="1" applyFont="1" applyFill="1" applyBorder="1" applyAlignment="1">
      <alignment horizontal="left" vertical="center" wrapText="1"/>
    </xf>
    <xf numFmtId="2" fontId="8" fillId="4" borderId="6" xfId="0" applyNumberFormat="1" applyFont="1" applyFill="1" applyBorder="1" applyAlignment="1">
      <alignment horizontal="left" vertical="center" wrapText="1"/>
    </xf>
    <xf numFmtId="10" fontId="8" fillId="4" borderId="6" xfId="0" applyNumberFormat="1" applyFont="1" applyFill="1" applyBorder="1" applyAlignment="1">
      <alignment horizontal="left" vertical="center" wrapText="1"/>
    </xf>
    <xf numFmtId="10" fontId="8" fillId="4" borderId="85" xfId="0" applyNumberFormat="1" applyFont="1" applyFill="1" applyBorder="1" applyAlignment="1">
      <alignment horizontal="left" vertical="center" wrapText="1"/>
    </xf>
    <xf numFmtId="10" fontId="8" fillId="4" borderId="56" xfId="0" applyNumberFormat="1" applyFont="1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2" fontId="8" fillId="4" borderId="13" xfId="0" applyNumberFormat="1" applyFont="1" applyFill="1" applyBorder="1" applyAlignment="1">
      <alignment horizontal="center" wrapText="1"/>
    </xf>
    <xf numFmtId="2" fontId="8" fillId="4" borderId="1" xfId="0" applyNumberFormat="1" applyFont="1" applyFill="1" applyBorder="1" applyAlignment="1">
      <alignment horizontal="center" wrapText="1"/>
    </xf>
    <xf numFmtId="2" fontId="8" fillId="4" borderId="6" xfId="0" applyNumberFormat="1" applyFont="1" applyFill="1" applyBorder="1" applyAlignment="1">
      <alignment horizontal="center" wrapText="1"/>
    </xf>
    <xf numFmtId="2" fontId="8" fillId="4" borderId="90" xfId="0" applyNumberFormat="1" applyFont="1" applyFill="1" applyBorder="1" applyAlignment="1">
      <alignment horizontal="center"/>
    </xf>
    <xf numFmtId="2" fontId="8" fillId="4" borderId="2" xfId="0" applyNumberFormat="1" applyFont="1" applyFill="1" applyBorder="1" applyAlignment="1">
      <alignment horizontal="center"/>
    </xf>
    <xf numFmtId="2" fontId="8" fillId="4" borderId="39" xfId="0" applyNumberFormat="1" applyFont="1" applyFill="1" applyBorder="1" applyAlignment="1">
      <alignment horizontal="center"/>
    </xf>
    <xf numFmtId="2" fontId="8" fillId="4" borderId="34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4" borderId="13" xfId="0" applyFill="1" applyBorder="1"/>
    <xf numFmtId="0" fontId="0" fillId="0" borderId="13" xfId="0" applyBorder="1"/>
    <xf numFmtId="0" fontId="0" fillId="4" borderId="18" xfId="0" applyFill="1" applyBorder="1"/>
    <xf numFmtId="0" fontId="0" fillId="0" borderId="18" xfId="0" applyBorder="1"/>
    <xf numFmtId="0" fontId="0" fillId="0" borderId="6" xfId="0" applyBorder="1" applyAlignment="1">
      <alignment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3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4" borderId="18" xfId="0" applyFill="1" applyBorder="1" applyAlignment="1">
      <alignment vertical="center" wrapText="1"/>
    </xf>
    <xf numFmtId="0" fontId="0" fillId="4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3" xfId="0" applyFill="1" applyBorder="1" applyAlignment="1">
      <alignment horizontal="center" wrapText="1"/>
    </xf>
    <xf numFmtId="0" fontId="0" fillId="2" borderId="13" xfId="0" applyFill="1" applyBorder="1" applyAlignment="1">
      <alignment wrapText="1"/>
    </xf>
    <xf numFmtId="0" fontId="0" fillId="4" borderId="18" xfId="0" applyFill="1" applyBorder="1" applyAlignment="1">
      <alignment horizontal="center" wrapText="1"/>
    </xf>
    <xf numFmtId="0" fontId="0" fillId="2" borderId="18" xfId="0" applyFill="1" applyBorder="1" applyAlignment="1">
      <alignment wrapText="1"/>
    </xf>
    <xf numFmtId="10" fontId="8" fillId="4" borderId="99" xfId="0" applyNumberFormat="1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horizontal="center"/>
    </xf>
    <xf numFmtId="0" fontId="0" fillId="4" borderId="6" xfId="0" applyFill="1" applyBorder="1" applyAlignment="1">
      <alignment vertical="center" wrapText="1"/>
    </xf>
    <xf numFmtId="0" fontId="0" fillId="4" borderId="6" xfId="0" applyFill="1" applyBorder="1" applyAlignment="1">
      <alignment horizontal="center" wrapText="1"/>
    </xf>
    <xf numFmtId="0" fontId="0" fillId="2" borderId="6" xfId="0" applyFill="1" applyBorder="1" applyAlignment="1">
      <alignment wrapText="1"/>
    </xf>
    <xf numFmtId="0" fontId="5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vertical="center" wrapText="1"/>
    </xf>
    <xf numFmtId="0" fontId="2" fillId="2" borderId="59" xfId="0" applyFont="1" applyFill="1" applyBorder="1" applyAlignment="1">
      <alignment horizontal="center" vertical="center" wrapText="1"/>
    </xf>
    <xf numFmtId="10" fontId="5" fillId="4" borderId="44" xfId="0" applyNumberFormat="1" applyFont="1" applyFill="1" applyBorder="1" applyAlignment="1">
      <alignment horizontal="left" vertical="center" wrapText="1"/>
    </xf>
    <xf numFmtId="2" fontId="5" fillId="4" borderId="2" xfId="0" applyNumberFormat="1" applyFont="1" applyFill="1" applyBorder="1" applyAlignment="1" applyProtection="1">
      <alignment horizontal="left" vertical="center"/>
      <protection locked="0"/>
    </xf>
    <xf numFmtId="2" fontId="5" fillId="4" borderId="2" xfId="0" applyNumberFormat="1" applyFont="1" applyFill="1" applyBorder="1" applyAlignment="1">
      <alignment horizontal="left" vertical="center"/>
    </xf>
    <xf numFmtId="2" fontId="5" fillId="2" borderId="2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0" fillId="2" borderId="13" xfId="0" applyFill="1" applyBorder="1"/>
    <xf numFmtId="0" fontId="0" fillId="2" borderId="18" xfId="0" applyFill="1" applyBorder="1"/>
    <xf numFmtId="2" fontId="8" fillId="4" borderId="6" xfId="0" applyNumberFormat="1" applyFont="1" applyFill="1" applyBorder="1" applyAlignment="1" applyProtection="1">
      <alignment horizontal="left"/>
      <protection locked="0"/>
    </xf>
    <xf numFmtId="2" fontId="8" fillId="2" borderId="6" xfId="0" applyNumberFormat="1" applyFont="1" applyFill="1" applyBorder="1" applyAlignment="1">
      <alignment horizontal="left"/>
    </xf>
    <xf numFmtId="0" fontId="8" fillId="4" borderId="6" xfId="0" applyFont="1" applyFill="1" applyBorder="1" applyAlignment="1" applyProtection="1">
      <alignment horizontal="center"/>
      <protection locked="0"/>
    </xf>
    <xf numFmtId="0" fontId="0" fillId="2" borderId="23" xfId="0" applyFill="1" applyBorder="1"/>
    <xf numFmtId="0" fontId="6" fillId="2" borderId="18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8" fillId="0" borderId="54" xfId="0" applyFont="1" applyBorder="1"/>
    <xf numFmtId="10" fontId="8" fillId="4" borderId="99" xfId="0" applyNumberFormat="1" applyFont="1" applyFill="1" applyBorder="1" applyAlignment="1" applyProtection="1">
      <alignment horizontal="left" wrapText="1"/>
      <protection locked="0"/>
    </xf>
    <xf numFmtId="0" fontId="6" fillId="4" borderId="12" xfId="0" applyFont="1" applyFill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0" fontId="6" fillId="4" borderId="17" xfId="0" applyFont="1" applyFill="1" applyBorder="1" applyAlignment="1">
      <alignment vertical="center"/>
    </xf>
    <xf numFmtId="0" fontId="6" fillId="4" borderId="20" xfId="0" applyFont="1" applyFill="1" applyBorder="1" applyAlignment="1">
      <alignment vertical="center"/>
    </xf>
    <xf numFmtId="0" fontId="8" fillId="4" borderId="3" xfId="0" applyFont="1" applyFill="1" applyBorder="1"/>
    <xf numFmtId="0" fontId="8" fillId="4" borderId="54" xfId="0" applyFont="1" applyFill="1" applyBorder="1"/>
    <xf numFmtId="0" fontId="8" fillId="4" borderId="34" xfId="0" applyFont="1" applyFill="1" applyBorder="1" applyAlignment="1">
      <alignment wrapText="1"/>
    </xf>
    <xf numFmtId="0" fontId="8" fillId="4" borderId="37" xfId="0" applyFont="1" applyFill="1" applyBorder="1" applyAlignment="1">
      <alignment wrapText="1"/>
    </xf>
    <xf numFmtId="0" fontId="8" fillId="0" borderId="37" xfId="0" applyFont="1" applyBorder="1"/>
    <xf numFmtId="0" fontId="8" fillId="4" borderId="1" xfId="0" applyFont="1" applyFill="1" applyBorder="1"/>
    <xf numFmtId="0" fontId="8" fillId="0" borderId="1" xfId="0" applyFont="1" applyBorder="1"/>
    <xf numFmtId="0" fontId="8" fillId="4" borderId="77" xfId="0" applyFont="1" applyFill="1" applyBorder="1"/>
    <xf numFmtId="0" fontId="8" fillId="4" borderId="82" xfId="0" applyFont="1" applyFill="1" applyBorder="1"/>
    <xf numFmtId="0" fontId="0" fillId="2" borderId="76" xfId="0" applyFill="1" applyBorder="1" applyAlignment="1">
      <alignment vertical="center"/>
    </xf>
    <xf numFmtId="0" fontId="8" fillId="4" borderId="58" xfId="0" applyFont="1" applyFill="1" applyBorder="1"/>
    <xf numFmtId="0" fontId="8" fillId="0" borderId="58" xfId="0" applyFont="1" applyBorder="1"/>
    <xf numFmtId="0" fontId="8" fillId="4" borderId="37" xfId="0" applyFont="1" applyFill="1" applyBorder="1"/>
    <xf numFmtId="0" fontId="8" fillId="4" borderId="18" xfId="0" applyFont="1" applyFill="1" applyBorder="1"/>
    <xf numFmtId="0" fontId="8" fillId="0" borderId="18" xfId="0" applyFont="1" applyBorder="1"/>
    <xf numFmtId="0" fontId="6" fillId="4" borderId="13" xfId="0" applyFont="1" applyFill="1" applyBorder="1"/>
    <xf numFmtId="0" fontId="6" fillId="2" borderId="13" xfId="0" applyFont="1" applyFill="1" applyBorder="1" applyAlignment="1">
      <alignment horizontal="center"/>
    </xf>
    <xf numFmtId="0" fontId="6" fillId="4" borderId="60" xfId="0" applyFont="1" applyFill="1" applyBorder="1" applyAlignment="1">
      <alignment horizontal="center"/>
    </xf>
    <xf numFmtId="0" fontId="6" fillId="4" borderId="18" xfId="0" applyFont="1" applyFill="1" applyBorder="1"/>
    <xf numFmtId="0" fontId="6" fillId="4" borderId="18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4" borderId="61" xfId="0" applyFont="1" applyFill="1" applyBorder="1" applyAlignment="1">
      <alignment horizontal="center"/>
    </xf>
    <xf numFmtId="0" fontId="5" fillId="4" borderId="62" xfId="0" applyFont="1" applyFill="1" applyBorder="1" applyAlignment="1" applyProtection="1">
      <alignment horizontal="center"/>
      <protection locked="0"/>
    </xf>
    <xf numFmtId="0" fontId="0" fillId="0" borderId="6" xfId="0" applyBorder="1"/>
    <xf numFmtId="0" fontId="6" fillId="4" borderId="6" xfId="0" applyFont="1" applyFill="1" applyBorder="1" applyAlignment="1">
      <alignment wrapText="1"/>
    </xf>
    <xf numFmtId="0" fontId="6" fillId="4" borderId="6" xfId="0" applyFont="1" applyFill="1" applyBorder="1"/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wrapText="1"/>
    </xf>
    <xf numFmtId="0" fontId="0" fillId="4" borderId="7" xfId="0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left"/>
    </xf>
    <xf numFmtId="10" fontId="8" fillId="4" borderId="18" xfId="0" applyNumberFormat="1" applyFont="1" applyFill="1" applyBorder="1" applyAlignment="1">
      <alignment horizontal="left" vertical="center" wrapText="1"/>
    </xf>
    <xf numFmtId="2" fontId="8" fillId="4" borderId="18" xfId="0" applyNumberFormat="1" applyFont="1" applyFill="1" applyBorder="1" applyAlignment="1" applyProtection="1">
      <alignment horizontal="left"/>
      <protection locked="0"/>
    </xf>
    <xf numFmtId="0" fontId="8" fillId="4" borderId="18" xfId="0" applyFont="1" applyFill="1" applyBorder="1" applyAlignment="1" applyProtection="1">
      <alignment horizontal="center"/>
      <protection locked="0"/>
    </xf>
    <xf numFmtId="2" fontId="8" fillId="4" borderId="13" xfId="0" applyNumberFormat="1" applyFont="1" applyFill="1" applyBorder="1" applyAlignment="1" applyProtection="1">
      <alignment horizontal="center" vertical="center"/>
      <protection locked="0"/>
    </xf>
    <xf numFmtId="2" fontId="8" fillId="0" borderId="13" xfId="0" applyNumberFormat="1" applyFont="1" applyBorder="1" applyAlignment="1">
      <alignment horizontal="center" vertical="center"/>
    </xf>
    <xf numFmtId="0" fontId="8" fillId="4" borderId="13" xfId="0" applyFont="1" applyFill="1" applyBorder="1" applyAlignment="1" applyProtection="1">
      <alignment horizontal="center" vertical="center"/>
      <protection locked="0"/>
    </xf>
    <xf numFmtId="0" fontId="0" fillId="0" borderId="24" xfId="0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0" fillId="0" borderId="25" xfId="0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0" fontId="8" fillId="4" borderId="6" xfId="0" applyFont="1" applyFill="1" applyBorder="1" applyAlignment="1" applyProtection="1">
      <alignment horizontal="center" vertical="center"/>
      <protection locked="0"/>
    </xf>
    <xf numFmtId="0" fontId="0" fillId="0" borderId="27" xfId="0" applyBorder="1" applyAlignment="1">
      <alignment horizontal="center" vertical="center"/>
    </xf>
    <xf numFmtId="2" fontId="8" fillId="4" borderId="18" xfId="0" applyNumberFormat="1" applyFont="1" applyFill="1" applyBorder="1" applyAlignment="1" applyProtection="1">
      <alignment horizontal="center" vertical="center"/>
      <protection locked="0"/>
    </xf>
    <xf numFmtId="2" fontId="8" fillId="0" borderId="18" xfId="0" applyNumberFormat="1" applyFont="1" applyBorder="1" applyAlignment="1">
      <alignment horizontal="center" vertical="center"/>
    </xf>
    <xf numFmtId="0" fontId="8" fillId="4" borderId="18" xfId="0" applyFont="1" applyFill="1" applyBorder="1" applyAlignment="1" applyProtection="1">
      <alignment horizontal="center" vertical="center"/>
      <protection locked="0"/>
    </xf>
    <xf numFmtId="0" fontId="0" fillId="0" borderId="7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0" fontId="8" fillId="4" borderId="13" xfId="0" applyNumberFormat="1" applyFont="1" applyFill="1" applyBorder="1" applyAlignment="1" applyProtection="1">
      <alignment horizontal="left" vertical="center" wrapText="1"/>
      <protection locked="0"/>
    </xf>
    <xf numFmtId="10" fontId="8" fillId="4" borderId="1" xfId="0" applyNumberFormat="1" applyFont="1" applyFill="1" applyBorder="1" applyAlignment="1" applyProtection="1">
      <alignment horizontal="left" vertical="center" wrapText="1"/>
      <protection locked="0"/>
    </xf>
    <xf numFmtId="0" fontId="0" fillId="4" borderId="63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 wrapText="1"/>
    </xf>
    <xf numFmtId="0" fontId="0" fillId="4" borderId="59" xfId="0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 applyProtection="1">
      <alignment horizontal="center" wrapText="1"/>
      <protection locked="0"/>
    </xf>
    <xf numFmtId="0" fontId="8" fillId="4" borderId="13" xfId="0" applyFont="1" applyFill="1" applyBorder="1" applyAlignment="1">
      <alignment horizontal="left"/>
    </xf>
    <xf numFmtId="10" fontId="8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/>
    </xf>
    <xf numFmtId="10" fontId="8" fillId="4" borderId="18" xfId="0" applyNumberFormat="1" applyFont="1" applyFill="1" applyBorder="1" applyAlignment="1">
      <alignment horizontal="left" vertical="center"/>
    </xf>
    <xf numFmtId="0" fontId="8" fillId="4" borderId="13" xfId="0" applyFont="1" applyFill="1" applyBorder="1" applyAlignment="1">
      <alignment horizontal="center"/>
    </xf>
    <xf numFmtId="0" fontId="8" fillId="4" borderId="14" xfId="0" applyFont="1" applyFill="1" applyBorder="1" applyAlignment="1" applyProtection="1">
      <alignment horizontal="center"/>
      <protection locked="0"/>
    </xf>
    <xf numFmtId="0" fontId="8" fillId="4" borderId="16" xfId="0" applyFont="1" applyFill="1" applyBorder="1" applyAlignment="1" applyProtection="1">
      <alignment horizontal="center"/>
      <protection locked="0"/>
    </xf>
    <xf numFmtId="0" fontId="8" fillId="4" borderId="18" xfId="0" applyFont="1" applyFill="1" applyBorder="1" applyAlignment="1">
      <alignment horizontal="center"/>
    </xf>
    <xf numFmtId="0" fontId="8" fillId="4" borderId="19" xfId="0" applyFont="1" applyFill="1" applyBorder="1" applyAlignment="1" applyProtection="1">
      <alignment horizontal="center"/>
      <protection locked="0"/>
    </xf>
    <xf numFmtId="0" fontId="2" fillId="2" borderId="6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10" fontId="8" fillId="4" borderId="7" xfId="0" applyNumberFormat="1" applyFont="1" applyFill="1" applyBorder="1" applyAlignment="1" applyProtection="1">
      <alignment horizontal="left" vertical="center" wrapText="1"/>
      <protection locked="0"/>
    </xf>
    <xf numFmtId="2" fontId="8" fillId="4" borderId="7" xfId="0" applyNumberFormat="1" applyFont="1" applyFill="1" applyBorder="1" applyAlignment="1" applyProtection="1">
      <alignment horizontal="center" vertical="center"/>
      <protection locked="0"/>
    </xf>
    <xf numFmtId="2" fontId="8" fillId="0" borderId="7" xfId="0" applyNumberFormat="1" applyFont="1" applyBorder="1" applyAlignment="1">
      <alignment horizontal="center" vertical="center"/>
    </xf>
    <xf numFmtId="0" fontId="8" fillId="4" borderId="7" xfId="0" applyFont="1" applyFill="1" applyBorder="1" applyAlignment="1" applyProtection="1">
      <alignment horizontal="center" vertical="center"/>
      <protection locked="0"/>
    </xf>
    <xf numFmtId="0" fontId="0" fillId="0" borderId="104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7" fillId="0" borderId="16" xfId="2" applyFont="1" applyBorder="1" applyAlignment="1">
      <alignment horizontal="center"/>
    </xf>
    <xf numFmtId="0" fontId="15" fillId="0" borderId="55" xfId="0" applyFont="1" applyBorder="1" applyAlignment="1">
      <alignment horizontal="center" vertical="center"/>
    </xf>
    <xf numFmtId="0" fontId="17" fillId="0" borderId="19" xfId="2" applyFont="1" applyBorder="1" applyAlignment="1">
      <alignment horizontal="center"/>
    </xf>
    <xf numFmtId="0" fontId="19" fillId="0" borderId="0" xfId="0" applyFont="1"/>
    <xf numFmtId="0" fontId="19" fillId="0" borderId="15" xfId="0" applyFont="1" applyBorder="1" applyAlignment="1">
      <alignment horizontal="center" vertical="center"/>
    </xf>
    <xf numFmtId="0" fontId="20" fillId="0" borderId="16" xfId="2" applyFont="1" applyBorder="1" applyAlignment="1">
      <alignment horizontal="center"/>
    </xf>
    <xf numFmtId="0" fontId="19" fillId="0" borderId="55" xfId="0" applyFont="1" applyBorder="1" applyAlignment="1">
      <alignment horizontal="center" vertical="center"/>
    </xf>
    <xf numFmtId="0" fontId="20" fillId="0" borderId="19" xfId="2" applyFont="1" applyBorder="1" applyAlignment="1">
      <alignment horizontal="center"/>
    </xf>
    <xf numFmtId="0" fontId="18" fillId="7" borderId="11" xfId="0" applyFont="1" applyFill="1" applyBorder="1" applyAlignment="1">
      <alignment horizontal="center" vertical="center"/>
    </xf>
    <xf numFmtId="0" fontId="18" fillId="7" borderId="14" xfId="0" applyFont="1" applyFill="1" applyBorder="1" applyAlignment="1">
      <alignment horizontal="center" vertical="center"/>
    </xf>
    <xf numFmtId="0" fontId="13" fillId="0" borderId="16" xfId="2" applyBorder="1" applyAlignment="1">
      <alignment horizontal="center"/>
    </xf>
    <xf numFmtId="0" fontId="0" fillId="8" borderId="0" xfId="0" applyFill="1"/>
    <xf numFmtId="10" fontId="4" fillId="9" borderId="28" xfId="0" applyNumberFormat="1" applyFont="1" applyFill="1" applyBorder="1" applyAlignment="1">
      <alignment horizontal="left" vertical="center" wrapText="1"/>
    </xf>
    <xf numFmtId="0" fontId="0" fillId="5" borderId="0" xfId="0" applyFill="1"/>
    <xf numFmtId="0" fontId="10" fillId="2" borderId="6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6" borderId="1" xfId="0" applyFont="1" applyFill="1" applyBorder="1"/>
    <xf numFmtId="10" fontId="4" fillId="4" borderId="40" xfId="0" applyNumberFormat="1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0" fontId="5" fillId="4" borderId="38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 applyProtection="1">
      <alignment horizontal="left" vertical="center"/>
      <protection locked="0"/>
    </xf>
    <xf numFmtId="2" fontId="5" fillId="4" borderId="1" xfId="0" applyNumberFormat="1" applyFont="1" applyFill="1" applyBorder="1" applyAlignment="1" applyProtection="1">
      <alignment horizontal="left" vertical="center"/>
      <protection locked="0"/>
    </xf>
    <xf numFmtId="2" fontId="5" fillId="0" borderId="1" xfId="0" applyNumberFormat="1" applyFont="1" applyBorder="1" applyAlignment="1">
      <alignment horizontal="center"/>
    </xf>
    <xf numFmtId="2" fontId="5" fillId="4" borderId="1" xfId="0" applyNumberFormat="1" applyFont="1" applyFill="1" applyBorder="1" applyAlignment="1" applyProtection="1">
      <alignment horizontal="left" vertical="center" wrapText="1"/>
      <protection locked="0"/>
    </xf>
    <xf numFmtId="2" fontId="4" fillId="4" borderId="13" xfId="0" applyNumberFormat="1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/>
    </xf>
    <xf numFmtId="2" fontId="5" fillId="4" borderId="18" xfId="0" applyNumberFormat="1" applyFont="1" applyFill="1" applyBorder="1" applyAlignment="1" applyProtection="1">
      <alignment horizontal="left" vertical="center"/>
      <protection locked="0"/>
    </xf>
    <xf numFmtId="2" fontId="5" fillId="0" borderId="18" xfId="0" applyNumberFormat="1" applyFont="1" applyBorder="1" applyAlignment="1">
      <alignment horizontal="center"/>
    </xf>
    <xf numFmtId="0" fontId="5" fillId="4" borderId="18" xfId="0" applyFont="1" applyFill="1" applyBorder="1" applyAlignment="1" applyProtection="1">
      <alignment horizontal="center" vertical="center"/>
      <protection locked="0"/>
    </xf>
    <xf numFmtId="0" fontId="5" fillId="4" borderId="18" xfId="0" applyFont="1" applyFill="1" applyBorder="1" applyAlignment="1">
      <alignment horizontal="center" vertical="center"/>
    </xf>
    <xf numFmtId="0" fontId="7" fillId="4" borderId="48" xfId="0" applyFont="1" applyFill="1" applyBorder="1" applyAlignment="1">
      <alignment horizontal="left" vertical="center" wrapText="1"/>
    </xf>
    <xf numFmtId="0" fontId="6" fillId="2" borderId="25" xfId="0" applyFont="1" applyFill="1" applyBorder="1"/>
    <xf numFmtId="0" fontId="6" fillId="2" borderId="27" xfId="0" applyFont="1" applyFill="1" applyBorder="1"/>
    <xf numFmtId="0" fontId="6" fillId="2" borderId="53" xfId="0" applyFont="1" applyFill="1" applyBorder="1"/>
    <xf numFmtId="0" fontId="21" fillId="0" borderId="0" xfId="0" applyFont="1"/>
    <xf numFmtId="2" fontId="5" fillId="0" borderId="10" xfId="0" applyNumberFormat="1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0" fontId="10" fillId="0" borderId="0" xfId="0" applyFont="1"/>
    <xf numFmtId="0" fontId="22" fillId="0" borderId="0" xfId="0" applyFont="1"/>
    <xf numFmtId="0" fontId="8" fillId="10" borderId="5" xfId="0" applyFont="1" applyFill="1" applyBorder="1" applyAlignment="1">
      <alignment wrapText="1"/>
    </xf>
    <xf numFmtId="0" fontId="8" fillId="0" borderId="5" xfId="0" applyFont="1" applyBorder="1"/>
    <xf numFmtId="0" fontId="8" fillId="10" borderId="54" xfId="0" applyFont="1" applyFill="1" applyBorder="1" applyAlignment="1">
      <alignment wrapText="1"/>
    </xf>
    <xf numFmtId="0" fontId="5" fillId="11" borderId="1" xfId="0" applyFont="1" applyFill="1" applyBorder="1"/>
    <xf numFmtId="0" fontId="5" fillId="11" borderId="10" xfId="0" applyFont="1" applyFill="1" applyBorder="1"/>
    <xf numFmtId="0" fontId="5" fillId="0" borderId="10" xfId="0" applyFont="1" applyBorder="1"/>
    <xf numFmtId="0" fontId="5" fillId="11" borderId="21" xfId="0" applyFont="1" applyFill="1" applyBorder="1"/>
    <xf numFmtId="0" fontId="5" fillId="0" borderId="21" xfId="0" applyFont="1" applyBorder="1"/>
    <xf numFmtId="0" fontId="5" fillId="11" borderId="105" xfId="0" applyFont="1" applyFill="1" applyBorder="1"/>
    <xf numFmtId="0" fontId="5" fillId="0" borderId="105" xfId="0" applyFont="1" applyBorder="1"/>
    <xf numFmtId="0" fontId="5" fillId="11" borderId="1" xfId="0" applyFont="1" applyFill="1" applyBorder="1" applyAlignment="1">
      <alignment wrapText="1"/>
    </xf>
    <xf numFmtId="0" fontId="23" fillId="0" borderId="1" xfId="0" applyFont="1" applyBorder="1"/>
    <xf numFmtId="0" fontId="8" fillId="10" borderId="1" xfId="0" applyFont="1" applyFill="1" applyBorder="1" applyAlignment="1">
      <alignment wrapText="1"/>
    </xf>
    <xf numFmtId="10" fontId="5" fillId="4" borderId="54" xfId="0" applyNumberFormat="1" applyFont="1" applyFill="1" applyBorder="1" applyAlignment="1" applyProtection="1">
      <alignment horizontal="left" vertical="center" wrapText="1"/>
      <protection locked="0"/>
    </xf>
    <xf numFmtId="2" fontId="5" fillId="4" borderId="3" xfId="0" applyNumberFormat="1" applyFont="1" applyFill="1" applyBorder="1" applyAlignment="1" applyProtection="1">
      <alignment horizontal="center" vertical="center"/>
      <protection locked="0"/>
    </xf>
    <xf numFmtId="0" fontId="8" fillId="12" borderId="84" xfId="0" applyFont="1" applyFill="1" applyBorder="1" applyAlignment="1">
      <alignment wrapText="1"/>
    </xf>
    <xf numFmtId="0" fontId="8" fillId="12" borderId="56" xfId="0" applyFont="1" applyFill="1" applyBorder="1"/>
    <xf numFmtId="0" fontId="8" fillId="12" borderId="87" xfId="0" applyFont="1" applyFill="1" applyBorder="1"/>
    <xf numFmtId="0" fontId="8" fillId="10" borderId="3" xfId="0" applyFont="1" applyFill="1" applyBorder="1" applyAlignment="1">
      <alignment wrapText="1"/>
    </xf>
    <xf numFmtId="0" fontId="8" fillId="14" borderId="84" xfId="0" applyFont="1" applyFill="1" applyBorder="1" applyAlignment="1">
      <alignment wrapText="1"/>
    </xf>
    <xf numFmtId="0" fontId="8" fillId="15" borderId="3" xfId="0" applyFont="1" applyFill="1" applyBorder="1" applyAlignment="1">
      <alignment wrapText="1"/>
    </xf>
    <xf numFmtId="0" fontId="8" fillId="15" borderId="54" xfId="0" applyFont="1" applyFill="1" applyBorder="1" applyAlignment="1">
      <alignment wrapText="1"/>
    </xf>
    <xf numFmtId="0" fontId="8" fillId="14" borderId="54" xfId="0" applyFont="1" applyFill="1" applyBorder="1"/>
    <xf numFmtId="0" fontId="8" fillId="13" borderId="2" xfId="0" applyFont="1" applyFill="1" applyBorder="1"/>
    <xf numFmtId="0" fontId="8" fillId="13" borderId="3" xfId="0" applyFont="1" applyFill="1" applyBorder="1"/>
    <xf numFmtId="0" fontId="8" fillId="14" borderId="3" xfId="0" applyFont="1" applyFill="1" applyBorder="1"/>
    <xf numFmtId="0" fontId="6" fillId="2" borderId="0" xfId="0" applyFont="1" applyFill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left" vertical="center" wrapText="1"/>
    </xf>
    <xf numFmtId="0" fontId="6" fillId="2" borderId="6" xfId="0" applyFont="1" applyFill="1" applyBorder="1"/>
    <xf numFmtId="10" fontId="5" fillId="4" borderId="21" xfId="0" applyNumberFormat="1" applyFont="1" applyFill="1" applyBorder="1" applyAlignment="1">
      <alignment horizontal="left" vertical="center" wrapText="1"/>
    </xf>
    <xf numFmtId="2" fontId="5" fillId="4" borderId="7" xfId="0" applyNumberFormat="1" applyFont="1" applyFill="1" applyBorder="1" applyAlignment="1" applyProtection="1">
      <alignment horizontal="center" vertical="center"/>
      <protection locked="0"/>
    </xf>
    <xf numFmtId="0" fontId="5" fillId="4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0" fontId="5" fillId="4" borderId="7" xfId="0" applyFont="1" applyFill="1" applyBorder="1" applyAlignment="1" applyProtection="1">
      <alignment horizontal="center" vertical="center"/>
      <protection locked="0"/>
    </xf>
    <xf numFmtId="0" fontId="6" fillId="2" borderId="43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wrapText="1"/>
    </xf>
    <xf numFmtId="0" fontId="8" fillId="12" borderId="3" xfId="0" applyFont="1" applyFill="1" applyBorder="1"/>
    <xf numFmtId="0" fontId="8" fillId="12" borderId="5" xfId="0" applyFont="1" applyFill="1" applyBorder="1"/>
    <xf numFmtId="0" fontId="8" fillId="12" borderId="54" xfId="0" applyFont="1" applyFill="1" applyBorder="1"/>
    <xf numFmtId="0" fontId="5" fillId="5" borderId="1" xfId="0" applyFont="1" applyFill="1" applyBorder="1" applyAlignment="1">
      <alignment wrapText="1"/>
    </xf>
    <xf numFmtId="0" fontId="24" fillId="5" borderId="2" xfId="0" applyFont="1" applyFill="1" applyBorder="1" applyAlignment="1">
      <alignment wrapText="1"/>
    </xf>
    <xf numFmtId="0" fontId="5" fillId="5" borderId="10" xfId="0" applyFont="1" applyFill="1" applyBorder="1" applyAlignment="1">
      <alignment wrapText="1"/>
    </xf>
    <xf numFmtId="0" fontId="5" fillId="5" borderId="7" xfId="0" applyFont="1" applyFill="1" applyBorder="1" applyAlignment="1">
      <alignment wrapText="1"/>
    </xf>
    <xf numFmtId="0" fontId="24" fillId="5" borderId="3" xfId="0" applyFont="1" applyFill="1" applyBorder="1" applyAlignment="1">
      <alignment wrapText="1"/>
    </xf>
    <xf numFmtId="0" fontId="5" fillId="5" borderId="21" xfId="0" applyFont="1" applyFill="1" applyBorder="1" applyAlignment="1">
      <alignment wrapText="1"/>
    </xf>
    <xf numFmtId="0" fontId="8" fillId="5" borderId="3" xfId="0" applyFont="1" applyFill="1" applyBorder="1"/>
    <xf numFmtId="0" fontId="8" fillId="5" borderId="5" xfId="0" applyFont="1" applyFill="1" applyBorder="1"/>
    <xf numFmtId="0" fontId="8" fillId="5" borderId="54" xfId="0" applyFont="1" applyFill="1" applyBorder="1"/>
    <xf numFmtId="0" fontId="8" fillId="5" borderId="3" xfId="0" applyFont="1" applyFill="1" applyBorder="1" applyAlignment="1">
      <alignment wrapText="1"/>
    </xf>
    <xf numFmtId="0" fontId="8" fillId="5" borderId="54" xfId="0" applyFont="1" applyFill="1" applyBorder="1" applyAlignment="1">
      <alignment wrapText="1"/>
    </xf>
    <xf numFmtId="0" fontId="24" fillId="5" borderId="1" xfId="0" applyFont="1" applyFill="1" applyBorder="1" applyAlignment="1">
      <alignment wrapText="1"/>
    </xf>
    <xf numFmtId="0" fontId="8" fillId="12" borderId="7" xfId="0" applyFont="1" applyFill="1" applyBorder="1" applyAlignment="1">
      <alignment wrapText="1"/>
    </xf>
    <xf numFmtId="0" fontId="0" fillId="5" borderId="1" xfId="0" applyFill="1" applyBorder="1"/>
    <xf numFmtId="0" fontId="8" fillId="5" borderId="7" xfId="0" applyFont="1" applyFill="1" applyBorder="1" applyAlignment="1">
      <alignment wrapText="1"/>
    </xf>
    <xf numFmtId="0" fontId="25" fillId="5" borderId="21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wrapText="1"/>
    </xf>
    <xf numFmtId="0" fontId="8" fillId="12" borderId="10" xfId="0" applyFont="1" applyFill="1" applyBorder="1"/>
    <xf numFmtId="0" fontId="8" fillId="0" borderId="10" xfId="0" applyFont="1" applyBorder="1"/>
    <xf numFmtId="0" fontId="5" fillId="12" borderId="6" xfId="0" applyFont="1" applyFill="1" applyBorder="1" applyAlignment="1">
      <alignment wrapText="1"/>
    </xf>
    <xf numFmtId="0" fontId="8" fillId="12" borderId="21" xfId="0" applyFont="1" applyFill="1" applyBorder="1"/>
    <xf numFmtId="0" fontId="8" fillId="0" borderId="21" xfId="0" applyFont="1" applyBorder="1"/>
    <xf numFmtId="0" fontId="8" fillId="12" borderId="2" xfId="0" applyFont="1" applyFill="1" applyBorder="1"/>
    <xf numFmtId="2" fontId="8" fillId="4" borderId="7" xfId="0" applyNumberFormat="1" applyFont="1" applyFill="1" applyBorder="1" applyAlignment="1" applyProtection="1">
      <alignment horizontal="left"/>
      <protection locked="0"/>
    </xf>
    <xf numFmtId="0" fontId="8" fillId="4" borderId="7" xfId="0" applyFont="1" applyFill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4" borderId="43" xfId="0" applyFont="1" applyFill="1" applyBorder="1" applyAlignment="1" applyProtection="1">
      <alignment horizontal="center"/>
      <protection locked="0"/>
    </xf>
    <xf numFmtId="0" fontId="0" fillId="0" borderId="7" xfId="0" applyBorder="1" applyAlignment="1">
      <alignment wrapText="1"/>
    </xf>
    <xf numFmtId="0" fontId="10" fillId="4" borderId="1" xfId="0" applyFont="1" applyFill="1" applyBorder="1" applyAlignment="1">
      <alignment wrapText="1"/>
    </xf>
    <xf numFmtId="0" fontId="12" fillId="12" borderId="106" xfId="0" applyFont="1" applyFill="1" applyBorder="1" applyAlignment="1">
      <alignment horizontal="center" wrapText="1"/>
    </xf>
    <xf numFmtId="0" fontId="12" fillId="12" borderId="107" xfId="0" applyFont="1" applyFill="1" applyBorder="1" applyAlignment="1">
      <alignment horizontal="center" wrapText="1"/>
    </xf>
    <xf numFmtId="0" fontId="12" fillId="12" borderId="108" xfId="0" applyFont="1" applyFill="1" applyBorder="1" applyAlignment="1">
      <alignment horizontal="center" wrapText="1"/>
    </xf>
    <xf numFmtId="0" fontId="7" fillId="4" borderId="28" xfId="0" applyFont="1" applyFill="1" applyBorder="1" applyAlignment="1">
      <alignment horizontal="left" vertical="center" wrapText="1"/>
    </xf>
    <xf numFmtId="0" fontId="7" fillId="4" borderId="40" xfId="0" applyFont="1" applyFill="1" applyBorder="1" applyAlignment="1">
      <alignment horizontal="left" vertical="center" wrapText="1"/>
    </xf>
    <xf numFmtId="0" fontId="7" fillId="4" borderId="41" xfId="0" applyFont="1" applyFill="1" applyBorder="1" applyAlignment="1">
      <alignment horizontal="left" vertical="center" wrapText="1"/>
    </xf>
    <xf numFmtId="0" fontId="10" fillId="4" borderId="28" xfId="0" applyFont="1" applyFill="1" applyBorder="1" applyAlignment="1">
      <alignment horizontal="left" vertical="center" wrapText="1"/>
    </xf>
    <xf numFmtId="0" fontId="10" fillId="4" borderId="40" xfId="0" applyFont="1" applyFill="1" applyBorder="1" applyAlignment="1">
      <alignment horizontal="left" vertical="center" wrapText="1"/>
    </xf>
    <xf numFmtId="0" fontId="10" fillId="4" borderId="41" xfId="0" applyFont="1" applyFill="1" applyBorder="1" applyAlignment="1">
      <alignment horizontal="left" vertical="center" wrapText="1"/>
    </xf>
    <xf numFmtId="10" fontId="4" fillId="4" borderId="11" xfId="0" applyNumberFormat="1" applyFont="1" applyFill="1" applyBorder="1" applyAlignment="1" applyProtection="1">
      <alignment horizontal="left" vertical="center" wrapText="1"/>
      <protection locked="0"/>
    </xf>
    <xf numFmtId="10" fontId="4" fillId="4" borderId="15" xfId="0" applyNumberFormat="1" applyFont="1" applyFill="1" applyBorder="1" applyAlignment="1" applyProtection="1">
      <alignment horizontal="left" vertical="center" wrapText="1"/>
      <protection locked="0"/>
    </xf>
    <xf numFmtId="10" fontId="4" fillId="4" borderId="22" xfId="0" applyNumberFormat="1" applyFont="1" applyFill="1" applyBorder="1" applyAlignment="1" applyProtection="1">
      <alignment horizontal="left" vertical="center" wrapText="1"/>
      <protection locked="0"/>
    </xf>
    <xf numFmtId="10" fontId="4" fillId="4" borderId="11" xfId="0" applyNumberFormat="1" applyFont="1" applyFill="1" applyBorder="1" applyAlignment="1">
      <alignment horizontal="left" vertical="center" wrapText="1"/>
    </xf>
    <xf numFmtId="10" fontId="4" fillId="4" borderId="15" xfId="0" applyNumberFormat="1" applyFont="1" applyFill="1" applyBorder="1" applyAlignment="1">
      <alignment horizontal="left" vertical="center" wrapText="1"/>
    </xf>
    <xf numFmtId="10" fontId="4" fillId="4" borderId="22" xfId="0" applyNumberFormat="1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vertical="center"/>
    </xf>
    <xf numFmtId="0" fontId="7" fillId="4" borderId="15" xfId="0" applyFont="1" applyFill="1" applyBorder="1" applyAlignment="1">
      <alignment vertical="center"/>
    </xf>
    <xf numFmtId="0" fontId="7" fillId="4" borderId="22" xfId="0" applyFont="1" applyFill="1" applyBorder="1" applyAlignment="1">
      <alignment vertical="center"/>
    </xf>
    <xf numFmtId="0" fontId="7" fillId="4" borderId="11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7" fillId="4" borderId="101" xfId="0" applyFont="1" applyFill="1" applyBorder="1" applyAlignment="1">
      <alignment horizontal="left" vertical="center" wrapText="1"/>
    </xf>
    <xf numFmtId="0" fontId="7" fillId="4" borderId="102" xfId="0" applyFont="1" applyFill="1" applyBorder="1" applyAlignment="1">
      <alignment horizontal="left" vertical="center" wrapText="1"/>
    </xf>
    <xf numFmtId="10" fontId="4" fillId="4" borderId="28" xfId="0" applyNumberFormat="1" applyFont="1" applyFill="1" applyBorder="1" applyAlignment="1" applyProtection="1">
      <alignment horizontal="left" vertical="center" wrapText="1"/>
      <protection locked="0"/>
    </xf>
    <xf numFmtId="10" fontId="4" fillId="4" borderId="40" xfId="0" applyNumberFormat="1" applyFont="1" applyFill="1" applyBorder="1" applyAlignment="1" applyProtection="1">
      <alignment horizontal="left" vertical="center" wrapText="1"/>
      <protection locked="0"/>
    </xf>
    <xf numFmtId="0" fontId="7" fillId="4" borderId="28" xfId="0" applyFont="1" applyFill="1" applyBorder="1" applyAlignment="1">
      <alignment horizontal="left" vertical="center"/>
    </xf>
    <xf numFmtId="0" fontId="7" fillId="4" borderId="40" xfId="0" applyFont="1" applyFill="1" applyBorder="1" applyAlignment="1">
      <alignment horizontal="left" vertical="center"/>
    </xf>
    <xf numFmtId="10" fontId="4" fillId="4" borderId="28" xfId="0" applyNumberFormat="1" applyFont="1" applyFill="1" applyBorder="1" applyAlignment="1">
      <alignment horizontal="left" vertical="center" wrapText="1"/>
    </xf>
    <xf numFmtId="10" fontId="4" fillId="4" borderId="40" xfId="0" applyNumberFormat="1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wrapText="1"/>
    </xf>
    <xf numFmtId="0" fontId="6" fillId="2" borderId="16" xfId="0" applyFont="1" applyFill="1" applyBorder="1" applyAlignment="1">
      <alignment horizontal="center" wrapText="1"/>
    </xf>
    <xf numFmtId="0" fontId="6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10" fontId="4" fillId="4" borderId="26" xfId="0" applyNumberFormat="1" applyFont="1" applyFill="1" applyBorder="1" applyAlignment="1">
      <alignment horizontal="left" vertical="center" wrapText="1"/>
    </xf>
    <xf numFmtId="10" fontId="4" fillId="4" borderId="1" xfId="0" applyNumberFormat="1" applyFont="1" applyFill="1" applyBorder="1" applyAlignment="1">
      <alignment horizontal="left" vertical="center" wrapText="1"/>
    </xf>
    <xf numFmtId="10" fontId="1" fillId="3" borderId="9" xfId="0" applyNumberFormat="1" applyFont="1" applyFill="1" applyBorder="1" applyAlignment="1">
      <alignment horizontal="center" vertical="center" wrapText="1"/>
    </xf>
    <xf numFmtId="10" fontId="1" fillId="3" borderId="0" xfId="0" applyNumberFormat="1" applyFont="1" applyFill="1" applyAlignment="1">
      <alignment horizontal="center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4" fillId="4" borderId="22" xfId="0" applyFont="1" applyFill="1" applyBorder="1" applyAlignment="1">
      <alignment horizontal="left" vertical="center" wrapText="1"/>
    </xf>
    <xf numFmtId="10" fontId="4" fillId="4" borderId="102" xfId="0" applyNumberFormat="1" applyFont="1" applyFill="1" applyBorder="1" applyAlignment="1">
      <alignment horizontal="left" vertical="center" wrapText="1"/>
    </xf>
    <xf numFmtId="0" fontId="4" fillId="4" borderId="26" xfId="0" applyFont="1" applyFill="1" applyBorder="1" applyAlignment="1">
      <alignment horizontal="left" vertical="center" wrapText="1"/>
    </xf>
    <xf numFmtId="10" fontId="4" fillId="4" borderId="55" xfId="0" applyNumberFormat="1" applyFont="1" applyFill="1" applyBorder="1" applyAlignment="1">
      <alignment horizontal="left" vertical="center" wrapText="1"/>
    </xf>
    <xf numFmtId="0" fontId="6" fillId="2" borderId="31" xfId="0" applyFont="1" applyFill="1" applyBorder="1" applyAlignment="1">
      <alignment horizontal="left" vertical="center" wrapText="1"/>
    </xf>
    <xf numFmtId="0" fontId="6" fillId="2" borderId="97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vertical="center" wrapText="1"/>
    </xf>
    <xf numFmtId="0" fontId="7" fillId="4" borderId="15" xfId="0" applyFont="1" applyFill="1" applyBorder="1" applyAlignment="1">
      <alignment vertical="center" wrapText="1"/>
    </xf>
    <xf numFmtId="0" fontId="7" fillId="4" borderId="22" xfId="0" applyFont="1" applyFill="1" applyBorder="1" applyAlignment="1">
      <alignment vertical="center" wrapText="1"/>
    </xf>
    <xf numFmtId="0" fontId="7" fillId="4" borderId="11" xfId="0" applyFont="1" applyFill="1" applyBorder="1" applyAlignment="1">
      <alignment horizontal="left" vertical="center"/>
    </xf>
    <xf numFmtId="0" fontId="7" fillId="4" borderId="22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 applyProtection="1">
      <alignment horizontal="left" vertical="center" wrapText="1"/>
      <protection locked="0"/>
    </xf>
    <xf numFmtId="0" fontId="8" fillId="2" borderId="97" xfId="0" applyFont="1" applyFill="1" applyBorder="1" applyAlignment="1" applyProtection="1">
      <alignment horizontal="left" vertical="center" wrapText="1"/>
      <protection locked="0"/>
    </xf>
    <xf numFmtId="0" fontId="8" fillId="2" borderId="98" xfId="0" applyFont="1" applyFill="1" applyBorder="1" applyAlignment="1" applyProtection="1">
      <alignment horizontal="left" vertical="center" wrapText="1"/>
      <protection locked="0"/>
    </xf>
    <xf numFmtId="0" fontId="6" fillId="4" borderId="30" xfId="0" applyFont="1" applyFill="1" applyBorder="1" applyAlignment="1">
      <alignment horizontal="center"/>
    </xf>
    <xf numFmtId="0" fontId="6" fillId="4" borderId="57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10" fillId="4" borderId="73" xfId="0" applyFont="1" applyFill="1" applyBorder="1" applyAlignment="1">
      <alignment horizontal="center" vertical="center" wrapText="1"/>
    </xf>
    <xf numFmtId="0" fontId="10" fillId="4" borderId="74" xfId="0" applyFont="1" applyFill="1" applyBorder="1" applyAlignment="1">
      <alignment horizontal="center" vertical="center" wrapText="1"/>
    </xf>
    <xf numFmtId="0" fontId="10" fillId="4" borderId="75" xfId="0" applyFont="1" applyFill="1" applyBorder="1" applyAlignment="1">
      <alignment horizontal="center" vertical="center" wrapText="1"/>
    </xf>
    <xf numFmtId="0" fontId="7" fillId="4" borderId="70" xfId="0" applyFont="1" applyFill="1" applyBorder="1" applyAlignment="1">
      <alignment horizontal="left" vertical="center" wrapText="1"/>
    </xf>
    <xf numFmtId="0" fontId="7" fillId="4" borderId="71" xfId="0" applyFont="1" applyFill="1" applyBorder="1" applyAlignment="1">
      <alignment horizontal="left" vertical="center" wrapText="1"/>
    </xf>
    <xf numFmtId="10" fontId="4" fillId="4" borderId="46" xfId="0" applyNumberFormat="1" applyFont="1" applyFill="1" applyBorder="1" applyAlignment="1">
      <alignment horizontal="left" vertical="center" wrapText="1"/>
    </xf>
    <xf numFmtId="10" fontId="4" fillId="4" borderId="51" xfId="0" applyNumberFormat="1" applyFont="1" applyFill="1" applyBorder="1" applyAlignment="1">
      <alignment horizontal="left" vertical="center" wrapText="1"/>
    </xf>
    <xf numFmtId="10" fontId="4" fillId="4" borderId="45" xfId="0" applyNumberFormat="1" applyFont="1" applyFill="1" applyBorder="1" applyAlignment="1">
      <alignment horizontal="left" vertical="center" wrapText="1"/>
    </xf>
    <xf numFmtId="10" fontId="4" fillId="4" borderId="46" xfId="0" applyNumberFormat="1" applyFont="1" applyFill="1" applyBorder="1" applyAlignment="1" applyProtection="1">
      <alignment horizontal="left" vertical="center"/>
      <protection locked="0"/>
    </xf>
    <xf numFmtId="0" fontId="9" fillId="3" borderId="67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20" xfId="0" applyFont="1" applyFill="1" applyBorder="1" applyAlignment="1">
      <alignment horizontal="left" vertical="center" wrapText="1"/>
    </xf>
    <xf numFmtId="0" fontId="9" fillId="3" borderId="70" xfId="0" applyFont="1" applyFill="1" applyBorder="1" applyAlignment="1">
      <alignment horizontal="center" vertical="center" wrapText="1"/>
    </xf>
    <xf numFmtId="0" fontId="9" fillId="3" borderId="71" xfId="0" applyFont="1" applyFill="1" applyBorder="1" applyAlignment="1">
      <alignment horizontal="center" vertical="center" wrapText="1"/>
    </xf>
    <xf numFmtId="0" fontId="9" fillId="3" borderId="72" xfId="0" applyFont="1" applyFill="1" applyBorder="1" applyAlignment="1">
      <alignment horizontal="center" vertical="center" wrapText="1"/>
    </xf>
    <xf numFmtId="10" fontId="1" fillId="3" borderId="71" xfId="0" applyNumberFormat="1" applyFont="1" applyFill="1" applyBorder="1" applyAlignment="1">
      <alignment horizontal="center" vertical="center" wrapText="1"/>
    </xf>
    <xf numFmtId="10" fontId="1" fillId="3" borderId="72" xfId="0" applyNumberFormat="1" applyFont="1" applyFill="1" applyBorder="1" applyAlignment="1">
      <alignment horizontal="center" vertical="center" wrapText="1"/>
    </xf>
    <xf numFmtId="10" fontId="4" fillId="4" borderId="12" xfId="0" applyNumberFormat="1" applyFont="1" applyFill="1" applyBorder="1" applyAlignment="1">
      <alignment horizontal="left" vertical="center" wrapText="1"/>
    </xf>
    <xf numFmtId="10" fontId="4" fillId="4" borderId="10" xfId="0" applyNumberFormat="1" applyFont="1" applyFill="1" applyBorder="1" applyAlignment="1">
      <alignment horizontal="left" vertical="center" wrapText="1"/>
    </xf>
    <xf numFmtId="10" fontId="4" fillId="4" borderId="17" xfId="0" applyNumberFormat="1" applyFont="1" applyFill="1" applyBorder="1" applyAlignment="1">
      <alignment horizontal="left" vertical="center" wrapText="1"/>
    </xf>
    <xf numFmtId="10" fontId="1" fillId="3" borderId="70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0" fontId="12" fillId="4" borderId="103" xfId="0" applyNumberFormat="1" applyFont="1" applyFill="1" applyBorder="1" applyAlignment="1">
      <alignment horizontal="left" vertical="center" wrapText="1"/>
    </xf>
    <xf numFmtId="10" fontId="12" fillId="4" borderId="101" xfId="0" applyNumberFormat="1" applyFont="1" applyFill="1" applyBorder="1" applyAlignment="1">
      <alignment horizontal="left" vertical="center" wrapText="1"/>
    </xf>
    <xf numFmtId="10" fontId="12" fillId="4" borderId="102" xfId="0" applyNumberFormat="1" applyFont="1" applyFill="1" applyBorder="1" applyAlignment="1">
      <alignment horizontal="left" vertical="center" wrapText="1"/>
    </xf>
    <xf numFmtId="10" fontId="12" fillId="4" borderId="100" xfId="0" applyNumberFormat="1" applyFont="1" applyFill="1" applyBorder="1" applyAlignment="1">
      <alignment horizontal="left" vertical="center" wrapText="1"/>
    </xf>
    <xf numFmtId="10" fontId="12" fillId="4" borderId="100" xfId="0" applyNumberFormat="1" applyFont="1" applyFill="1" applyBorder="1" applyAlignment="1" applyProtection="1">
      <alignment horizontal="left" vertical="center" wrapText="1"/>
      <protection locked="0"/>
    </xf>
    <xf numFmtId="10" fontId="12" fillId="4" borderId="101" xfId="0" applyNumberFormat="1" applyFont="1" applyFill="1" applyBorder="1" applyAlignment="1" applyProtection="1">
      <alignment horizontal="left" vertical="center" wrapText="1"/>
      <protection locked="0"/>
    </xf>
    <xf numFmtId="10" fontId="12" fillId="4" borderId="42" xfId="0" applyNumberFormat="1" applyFont="1" applyFill="1" applyBorder="1" applyAlignment="1" applyProtection="1">
      <alignment horizontal="left" vertical="center" wrapText="1"/>
      <protection locked="0"/>
    </xf>
    <xf numFmtId="10" fontId="4" fillId="4" borderId="11" xfId="0" applyNumberFormat="1" applyFont="1" applyFill="1" applyBorder="1" applyAlignment="1">
      <alignment horizontal="center" vertical="center" wrapText="1"/>
    </xf>
    <xf numFmtId="10" fontId="4" fillId="4" borderId="26" xfId="0" applyNumberFormat="1" applyFont="1" applyFill="1" applyBorder="1" applyAlignment="1">
      <alignment horizontal="center" vertical="center" wrapText="1"/>
    </xf>
    <xf numFmtId="10" fontId="4" fillId="4" borderId="15" xfId="0" applyNumberFormat="1" applyFont="1" applyFill="1" applyBorder="1" applyAlignment="1">
      <alignment horizontal="center" vertical="center"/>
    </xf>
    <xf numFmtId="10" fontId="4" fillId="4" borderId="55" xfId="0" applyNumberFormat="1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57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10" fontId="4" fillId="4" borderId="11" xfId="0" applyNumberFormat="1" applyFont="1" applyFill="1" applyBorder="1" applyAlignment="1">
      <alignment vertical="center" wrapText="1"/>
    </xf>
    <xf numFmtId="10" fontId="4" fillId="4" borderId="15" xfId="0" applyNumberFormat="1" applyFont="1" applyFill="1" applyBorder="1" applyAlignment="1">
      <alignment vertical="center" wrapText="1"/>
    </xf>
    <xf numFmtId="10" fontId="4" fillId="4" borderId="22" xfId="0" applyNumberFormat="1" applyFont="1" applyFill="1" applyBorder="1" applyAlignment="1">
      <alignment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4" borderId="40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horizontal="center" vertical="center" wrapText="1"/>
    </xf>
    <xf numFmtId="0" fontId="4" fillId="4" borderId="46" xfId="0" applyFont="1" applyFill="1" applyBorder="1" applyAlignment="1">
      <alignment horizontal="center" vertical="center" wrapText="1"/>
    </xf>
    <xf numFmtId="0" fontId="4" fillId="4" borderId="51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10" fillId="4" borderId="57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57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vertical="center" wrapText="1"/>
    </xf>
    <xf numFmtId="0" fontId="7" fillId="4" borderId="57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 wrapText="1"/>
    </xf>
    <xf numFmtId="10" fontId="12" fillId="4" borderId="11" xfId="0" applyNumberFormat="1" applyFont="1" applyFill="1" applyBorder="1" applyAlignment="1">
      <alignment horizontal="center" vertical="center" wrapText="1"/>
    </xf>
    <xf numFmtId="10" fontId="12" fillId="4" borderId="15" xfId="0" applyNumberFormat="1" applyFont="1" applyFill="1" applyBorder="1" applyAlignment="1">
      <alignment horizontal="center" vertical="center" wrapText="1"/>
    </xf>
    <xf numFmtId="10" fontId="12" fillId="4" borderId="22" xfId="0" applyNumberFormat="1" applyFont="1" applyFill="1" applyBorder="1" applyAlignment="1">
      <alignment horizontal="center" vertical="center" wrapText="1"/>
    </xf>
    <xf numFmtId="10" fontId="12" fillId="4" borderId="45" xfId="0" applyNumberFormat="1" applyFont="1" applyFill="1" applyBorder="1" applyAlignment="1">
      <alignment horizontal="center" vertical="center" wrapText="1"/>
    </xf>
    <xf numFmtId="10" fontId="12" fillId="4" borderId="46" xfId="0" applyNumberFormat="1" applyFont="1" applyFill="1" applyBorder="1" applyAlignment="1">
      <alignment horizontal="center" vertical="center" wrapText="1"/>
    </xf>
    <xf numFmtId="10" fontId="12" fillId="4" borderId="45" xfId="0" applyNumberFormat="1" applyFont="1" applyFill="1" applyBorder="1" applyAlignment="1">
      <alignment horizontal="left" vertical="center" wrapText="1"/>
    </xf>
    <xf numFmtId="10" fontId="12" fillId="4" borderId="46" xfId="0" applyNumberFormat="1" applyFont="1" applyFill="1" applyBorder="1" applyAlignment="1">
      <alignment horizontal="left" vertical="center" wrapText="1"/>
    </xf>
    <xf numFmtId="164" fontId="4" fillId="4" borderId="93" xfId="0" applyNumberFormat="1" applyFont="1" applyFill="1" applyBorder="1" applyAlignment="1">
      <alignment horizontal="center" vertical="center" wrapText="1"/>
    </xf>
    <xf numFmtId="164" fontId="4" fillId="4" borderId="94" xfId="0" applyNumberFormat="1" applyFont="1" applyFill="1" applyBorder="1" applyAlignment="1">
      <alignment horizontal="center" vertical="center" wrapText="1"/>
    </xf>
    <xf numFmtId="0" fontId="5" fillId="4" borderId="95" xfId="0" applyFont="1" applyFill="1" applyBorder="1" applyAlignment="1" applyProtection="1">
      <alignment horizontal="center" vertical="center" wrapText="1"/>
      <protection locked="0"/>
    </xf>
    <xf numFmtId="0" fontId="5" fillId="4" borderId="77" xfId="0" applyFont="1" applyFill="1" applyBorder="1" applyAlignment="1" applyProtection="1">
      <alignment horizontal="center" vertical="center" wrapText="1"/>
      <protection locked="0"/>
    </xf>
    <xf numFmtId="0" fontId="0" fillId="5" borderId="6" xfId="0" applyFill="1" applyBorder="1" applyAlignment="1">
      <alignment horizontal="center" vertical="center" wrapText="1"/>
    </xf>
    <xf numFmtId="0" fontId="0" fillId="5" borderId="57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10" fontId="4" fillId="4" borderId="6" xfId="0" applyNumberFormat="1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5" xfId="0" applyFont="1" applyFill="1" applyBorder="1" applyAlignment="1">
      <alignment horizontal="left" vertical="center"/>
    </xf>
    <xf numFmtId="0" fontId="10" fillId="4" borderId="22" xfId="0" applyFont="1" applyFill="1" applyBorder="1" applyAlignment="1">
      <alignment horizontal="left" vertical="center"/>
    </xf>
    <xf numFmtId="0" fontId="10" fillId="6" borderId="62" xfId="0" applyFont="1" applyFill="1" applyBorder="1" applyAlignment="1">
      <alignment horizontal="center" vertical="center" wrapText="1"/>
    </xf>
    <xf numFmtId="0" fontId="10" fillId="6" borderId="109" xfId="0" applyFont="1" applyFill="1" applyBorder="1" applyAlignment="1">
      <alignment horizontal="center" vertical="center" wrapText="1"/>
    </xf>
    <xf numFmtId="0" fontId="10" fillId="6" borderId="63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57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10" fontId="12" fillId="6" borderId="6" xfId="0" applyNumberFormat="1" applyFont="1" applyFill="1" applyBorder="1" applyAlignment="1">
      <alignment horizontal="center" vertical="center" wrapText="1"/>
    </xf>
    <xf numFmtId="10" fontId="12" fillId="6" borderId="57" xfId="0" applyNumberFormat="1" applyFont="1" applyFill="1" applyBorder="1" applyAlignment="1">
      <alignment horizontal="center" vertical="center" wrapText="1"/>
    </xf>
    <xf numFmtId="10" fontId="12" fillId="6" borderId="7" xfId="0" applyNumberFormat="1" applyFont="1" applyFill="1" applyBorder="1" applyAlignment="1">
      <alignment horizontal="center" vertical="center" wrapText="1"/>
    </xf>
    <xf numFmtId="0" fontId="7" fillId="4" borderId="72" xfId="0" applyFont="1" applyFill="1" applyBorder="1" applyAlignment="1">
      <alignment horizontal="left" vertical="center" wrapText="1"/>
    </xf>
    <xf numFmtId="0" fontId="10" fillId="6" borderId="30" xfId="0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vertical="center" wrapText="1"/>
    </xf>
    <xf numFmtId="0" fontId="4" fillId="4" borderId="46" xfId="0" applyFont="1" applyFill="1" applyBorder="1" applyAlignment="1">
      <alignment vertical="center" wrapText="1"/>
    </xf>
    <xf numFmtId="10" fontId="4" fillId="4" borderId="45" xfId="0" applyNumberFormat="1" applyFont="1" applyFill="1" applyBorder="1" applyAlignment="1">
      <alignment horizontal="center" vertical="center" wrapText="1"/>
    </xf>
    <xf numFmtId="10" fontId="4" fillId="4" borderId="46" xfId="0" applyNumberFormat="1" applyFont="1" applyFill="1" applyBorder="1" applyAlignment="1">
      <alignment horizontal="center" vertical="center" wrapText="1"/>
    </xf>
    <xf numFmtId="10" fontId="4" fillId="4" borderId="51" xfId="0" applyNumberFormat="1" applyFont="1" applyFill="1" applyBorder="1" applyAlignment="1">
      <alignment horizontal="center" vertical="center" wrapText="1"/>
    </xf>
    <xf numFmtId="10" fontId="4" fillId="4" borderId="28" xfId="0" applyNumberFormat="1" applyFont="1" applyFill="1" applyBorder="1" applyAlignment="1">
      <alignment horizontal="center" vertical="center" wrapText="1"/>
    </xf>
    <xf numFmtId="10" fontId="4" fillId="4" borderId="40" xfId="0" applyNumberFormat="1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5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</cellXfs>
  <cellStyles count="3">
    <cellStyle name="Hyperlink" xfId="2" xr:uid="{00000000-000B-0000-0000-000008000000}"/>
    <cellStyle name="Normal" xfId="0" builtinId="0"/>
    <cellStyle name="Normal 3" xfId="1" xr:uid="{D1CA2055-814F-43F3-8A8A-6449CC87DFBC}"/>
  </cellStyles>
  <dxfs count="0"/>
  <tableStyles count="0" defaultTableStyle="TableStyleMedium2" defaultPivotStyle="PivotStyleMedium9"/>
  <colors>
    <mruColors>
      <color rgb="FFDBF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854E-BEE9-4691-BE8D-A7AB34F412C4}">
  <dimension ref="B2:G13"/>
  <sheetViews>
    <sheetView zoomScale="88" workbookViewId="0">
      <selection activeCell="C12" sqref="C12"/>
    </sheetView>
  </sheetViews>
  <sheetFormatPr defaultColWidth="8.7109375" defaultRowHeight="24"/>
  <cols>
    <col min="2" max="2" width="10" style="620" customWidth="1"/>
    <col min="3" max="3" width="43.42578125" style="621" customWidth="1"/>
    <col min="7" max="7" width="47.7109375" customWidth="1"/>
  </cols>
  <sheetData>
    <row r="2" spans="2:7" ht="35.25" customHeight="1">
      <c r="B2" s="633" t="s">
        <v>0</v>
      </c>
      <c r="C2" s="634" t="s">
        <v>1</v>
      </c>
      <c r="D2" s="628"/>
      <c r="E2" s="628"/>
      <c r="F2" s="633" t="s">
        <v>0</v>
      </c>
      <c r="G2" s="634" t="s">
        <v>1</v>
      </c>
    </row>
    <row r="3" spans="2:7" ht="35.25" customHeight="1">
      <c r="B3" s="629">
        <v>1</v>
      </c>
      <c r="C3" s="630" t="str">
        <f>HYPERLINK("#'ARUBA'!A2","Aruba")</f>
        <v>Aruba</v>
      </c>
      <c r="D3" s="628"/>
      <c r="E3" s="628"/>
      <c r="F3" s="629">
        <v>9</v>
      </c>
      <c r="G3" s="630" t="str">
        <f>HYPERLINK("#'HPE'!A2","HPE")</f>
        <v>HPE</v>
      </c>
    </row>
    <row r="4" spans="2:7" ht="35.25" customHeight="1">
      <c r="B4" s="629">
        <v>2</v>
      </c>
      <c r="C4" s="630" t="str">
        <f>HYPERLINK("#'AZURE'!A2","Azure")</f>
        <v>Azure</v>
      </c>
      <c r="D4" s="628"/>
      <c r="E4" s="628"/>
      <c r="F4" s="629">
        <v>10</v>
      </c>
      <c r="G4" s="630" t="str">
        <f>HYPERLINK("#'ROUTER'!A2","Router")</f>
        <v>Router</v>
      </c>
    </row>
    <row r="5" spans="2:7" ht="35.25" customHeight="1">
      <c r="B5" s="629">
        <v>3</v>
      </c>
      <c r="C5" s="630" t="str">
        <f>HYPERLINK("#'CISCO'!A2","Cisco")</f>
        <v>Cisco</v>
      </c>
      <c r="D5" s="628"/>
      <c r="E5" s="628"/>
      <c r="F5" s="629">
        <v>11</v>
      </c>
      <c r="G5" s="630" t="str">
        <f>HYPERLINK("#'SERVIDORES'!A2","Servidores")</f>
        <v>Servidores</v>
      </c>
    </row>
    <row r="6" spans="2:7" ht="35.25" customHeight="1">
      <c r="B6" s="629">
        <v>4</v>
      </c>
      <c r="C6" s="630" t="str">
        <f>HYPERLINK("#'DELL'!A2","Dell")</f>
        <v>Dell</v>
      </c>
      <c r="D6" s="628"/>
      <c r="E6" s="628"/>
      <c r="F6" s="629">
        <v>12</v>
      </c>
      <c r="G6" s="630" t="str">
        <f>HYPERLINK("#'SITE SURVEY'!A2","Site Survey")</f>
        <v>Site Survey</v>
      </c>
    </row>
    <row r="7" spans="2:7" ht="35.25" customHeight="1">
      <c r="B7" s="629">
        <v>5</v>
      </c>
      <c r="C7" s="635" t="str">
        <f>HYPERLINK("#'EQUIPO PIVOTE'!A2","Equipo pivote")</f>
        <v>Equipo pivote</v>
      </c>
      <c r="D7" s="628"/>
      <c r="E7" s="628"/>
      <c r="F7" s="629">
        <v>13</v>
      </c>
      <c r="G7" s="630" t="str">
        <f>HYPERLINK("#'STORAGE'!A2","Storage")</f>
        <v>Storage</v>
      </c>
    </row>
    <row r="8" spans="2:7" ht="35.25" customHeight="1">
      <c r="B8" s="629">
        <v>6</v>
      </c>
      <c r="C8" s="630" t="str">
        <f>HYPERLINK("#'Firewalls'!A2","Firewalls")</f>
        <v>Firewalls</v>
      </c>
      <c r="D8" s="628"/>
      <c r="E8" s="628"/>
      <c r="F8" s="629">
        <v>14</v>
      </c>
      <c r="G8" s="630" t="str">
        <f>HYPERLINK("#'SWITCHES'!A2","Switches")</f>
        <v>Switches</v>
      </c>
    </row>
    <row r="9" spans="2:7" ht="35.25" customHeight="1">
      <c r="B9" s="629">
        <v>7</v>
      </c>
      <c r="C9" s="630" t="str">
        <f>HYPERLINK("#'FORTI'!A2","Forti")</f>
        <v>Forti</v>
      </c>
      <c r="D9" s="628"/>
      <c r="E9" s="628"/>
      <c r="F9" s="629">
        <v>15</v>
      </c>
      <c r="G9" s="630" t="str">
        <f>HYPERLINK("#'VEEAM'!A2","Veeam")</f>
        <v>Veeam</v>
      </c>
    </row>
    <row r="10" spans="2:7" ht="35.25" customHeight="1">
      <c r="B10" s="629">
        <v>8</v>
      </c>
      <c r="C10" s="630" t="str">
        <f>HYPERLINK("#'HP'!A2","HP")</f>
        <v>HP</v>
      </c>
      <c r="D10" s="628"/>
      <c r="E10" s="628"/>
      <c r="F10" s="631">
        <v>16</v>
      </c>
      <c r="G10" s="632" t="str">
        <f>HYPERLINK("#'VMWARE'!A2","Vmware")</f>
        <v>Vmware</v>
      </c>
    </row>
    <row r="12" spans="2:7" ht="35.25" customHeight="1"/>
    <row r="13" spans="2:7" ht="23.2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DC1AB-7D41-496E-A3F5-40A93B0E9205}">
  <dimension ref="B1:N24"/>
  <sheetViews>
    <sheetView topLeftCell="A10" zoomScale="85" zoomScaleNormal="85" workbookViewId="0">
      <selection activeCell="N15" sqref="N15"/>
    </sheetView>
  </sheetViews>
  <sheetFormatPr defaultColWidth="8.7109375" defaultRowHeight="15"/>
  <cols>
    <col min="2" max="2" width="19.85546875" style="159" customWidth="1"/>
    <col min="3" max="3" width="29.140625" style="361" customWidth="1"/>
    <col min="4" max="4" width="15.7109375" style="159" bestFit="1" customWidth="1"/>
    <col min="5" max="8" width="9.140625" style="159"/>
    <col min="9" max="10" width="9.140625" style="37"/>
    <col min="11" max="11" width="12.85546875" style="159" customWidth="1"/>
    <col min="12" max="12" width="16.28515625" style="159" customWidth="1"/>
    <col min="13" max="13" width="14.140625" style="159" customWidth="1"/>
    <col min="14" max="14" width="27.28515625" style="37" customWidth="1"/>
  </cols>
  <sheetData>
    <row r="1" spans="2:14" ht="47.25">
      <c r="B1" s="12" t="s">
        <v>2</v>
      </c>
      <c r="C1" s="609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/>
      <c r="J1" s="12" t="s">
        <v>9</v>
      </c>
      <c r="K1" s="12" t="s">
        <v>10</v>
      </c>
      <c r="L1" s="12" t="s">
        <v>11</v>
      </c>
      <c r="M1" s="12" t="s">
        <v>12</v>
      </c>
      <c r="N1" s="13" t="s">
        <v>13</v>
      </c>
    </row>
    <row r="2" spans="2:14">
      <c r="B2" s="784" t="s">
        <v>14</v>
      </c>
      <c r="C2" s="453" t="s">
        <v>15</v>
      </c>
      <c r="D2" s="454" t="s">
        <v>16</v>
      </c>
      <c r="E2" s="454" t="s">
        <v>16</v>
      </c>
      <c r="F2" s="454"/>
      <c r="G2" s="454"/>
      <c r="H2" s="454"/>
      <c r="I2" s="430"/>
      <c r="J2" s="430"/>
      <c r="K2" s="151">
        <v>1</v>
      </c>
      <c r="L2" s="151"/>
      <c r="M2" s="151"/>
      <c r="N2" s="46"/>
    </row>
    <row r="3" spans="2:14">
      <c r="B3" s="785"/>
      <c r="C3" s="142" t="s">
        <v>17</v>
      </c>
      <c r="D3" s="452"/>
      <c r="E3" s="452" t="s">
        <v>16</v>
      </c>
      <c r="F3" s="452"/>
      <c r="G3" s="452"/>
      <c r="H3" s="452"/>
      <c r="I3" s="429"/>
      <c r="J3" s="429"/>
      <c r="K3" s="152">
        <v>1</v>
      </c>
      <c r="L3" s="152"/>
      <c r="M3" s="152"/>
      <c r="N3" s="47"/>
    </row>
    <row r="4" spans="2:14" ht="25.5">
      <c r="B4" s="785"/>
      <c r="C4" s="142" t="s">
        <v>18</v>
      </c>
      <c r="D4" s="452"/>
      <c r="E4" s="452" t="s">
        <v>16</v>
      </c>
      <c r="F4" s="452"/>
      <c r="G4" s="452"/>
      <c r="H4" s="452"/>
      <c r="I4" s="429"/>
      <c r="J4" s="429"/>
      <c r="K4" s="152">
        <v>1</v>
      </c>
      <c r="L4" s="152"/>
      <c r="M4" s="152"/>
      <c r="N4" s="47"/>
    </row>
    <row r="5" spans="2:14" ht="25.5">
      <c r="B5" s="785"/>
      <c r="C5" s="142" t="s">
        <v>19</v>
      </c>
      <c r="D5" s="452"/>
      <c r="E5" s="452" t="s">
        <v>16</v>
      </c>
      <c r="F5" s="450"/>
      <c r="G5" s="450"/>
      <c r="H5" s="450"/>
      <c r="I5" s="429"/>
      <c r="J5" s="429"/>
      <c r="K5" s="152">
        <v>1</v>
      </c>
      <c r="L5" s="451"/>
      <c r="M5" s="451"/>
      <c r="N5" s="47"/>
    </row>
    <row r="6" spans="2:14">
      <c r="B6" s="785"/>
      <c r="C6" s="460" t="s">
        <v>20</v>
      </c>
      <c r="D6" s="461"/>
      <c r="E6" s="461" t="s">
        <v>16</v>
      </c>
      <c r="F6" s="460"/>
      <c r="G6" s="460"/>
      <c r="H6" s="460"/>
      <c r="I6" s="462"/>
      <c r="J6" s="462"/>
      <c r="K6" s="153"/>
      <c r="L6" s="463"/>
      <c r="M6" s="463">
        <v>2</v>
      </c>
      <c r="N6" s="51"/>
    </row>
    <row r="7" spans="2:14">
      <c r="B7" s="784" t="s">
        <v>21</v>
      </c>
      <c r="C7" s="453" t="s">
        <v>22</v>
      </c>
      <c r="D7" s="453"/>
      <c r="E7" s="453" t="s">
        <v>23</v>
      </c>
      <c r="F7" s="453"/>
      <c r="G7" s="453"/>
      <c r="H7" s="453"/>
      <c r="I7" s="430"/>
      <c r="J7" s="430"/>
      <c r="K7" s="459"/>
      <c r="L7" s="459"/>
      <c r="M7" s="459"/>
      <c r="N7" s="787" t="s">
        <v>24</v>
      </c>
    </row>
    <row r="8" spans="2:14">
      <c r="B8" s="785"/>
      <c r="C8" s="142" t="s">
        <v>25</v>
      </c>
      <c r="D8" s="450"/>
      <c r="E8" s="450" t="s">
        <v>16</v>
      </c>
      <c r="F8" s="450"/>
      <c r="G8" s="450"/>
      <c r="H8" s="450"/>
      <c r="I8" s="429"/>
      <c r="J8" s="429"/>
      <c r="K8" s="451">
        <v>1</v>
      </c>
      <c r="L8" s="451"/>
      <c r="M8" s="451"/>
      <c r="N8" s="788"/>
    </row>
    <row r="9" spans="2:14">
      <c r="B9" s="785"/>
      <c r="C9" s="449" t="s">
        <v>26</v>
      </c>
      <c r="D9" s="450"/>
      <c r="E9" s="450" t="s">
        <v>16</v>
      </c>
      <c r="F9" s="450"/>
      <c r="G9" s="450"/>
      <c r="H9" s="450"/>
      <c r="I9" s="429"/>
      <c r="J9" s="429"/>
      <c r="K9" s="451">
        <v>2</v>
      </c>
      <c r="L9" s="451"/>
      <c r="M9" s="451"/>
      <c r="N9" s="788"/>
    </row>
    <row r="10" spans="2:14" ht="25.5">
      <c r="B10" s="785"/>
      <c r="C10" s="449" t="s">
        <v>27</v>
      </c>
      <c r="D10" s="450"/>
      <c r="E10" s="450" t="s">
        <v>16</v>
      </c>
      <c r="F10" s="450"/>
      <c r="G10" s="450"/>
      <c r="H10" s="450"/>
      <c r="I10" s="429"/>
      <c r="J10" s="429"/>
      <c r="K10" s="451">
        <v>6</v>
      </c>
      <c r="L10" s="451"/>
      <c r="M10" s="451"/>
      <c r="N10" s="788"/>
    </row>
    <row r="11" spans="2:14" ht="25.5">
      <c r="B11" s="785"/>
      <c r="C11" s="449" t="s">
        <v>28</v>
      </c>
      <c r="D11" s="450"/>
      <c r="E11" s="450" t="s">
        <v>16</v>
      </c>
      <c r="F11" s="450"/>
      <c r="G11" s="450"/>
      <c r="H11" s="450"/>
      <c r="I11" s="429"/>
      <c r="J11" s="429"/>
      <c r="K11" s="451">
        <v>8</v>
      </c>
      <c r="L11" s="451"/>
      <c r="M11" s="451"/>
      <c r="N11" s="788"/>
    </row>
    <row r="12" spans="2:14">
      <c r="B12" s="785"/>
      <c r="C12" s="450" t="s">
        <v>29</v>
      </c>
      <c r="D12" s="450"/>
      <c r="E12" s="450" t="s">
        <v>16</v>
      </c>
      <c r="F12" s="450"/>
      <c r="G12" s="450"/>
      <c r="H12" s="450"/>
      <c r="I12" s="429"/>
      <c r="J12" s="429"/>
      <c r="K12" s="451">
        <v>5</v>
      </c>
      <c r="L12" s="451"/>
      <c r="M12" s="451"/>
      <c r="N12" s="788"/>
    </row>
    <row r="13" spans="2:14" ht="14.25">
      <c r="B13" s="786"/>
      <c r="C13" s="455" t="s">
        <v>30</v>
      </c>
      <c r="D13" s="455"/>
      <c r="E13" s="455" t="s">
        <v>16</v>
      </c>
      <c r="F13" s="455"/>
      <c r="G13" s="455"/>
      <c r="H13" s="455"/>
      <c r="I13" s="456"/>
      <c r="J13" s="456"/>
      <c r="K13" s="457">
        <v>4</v>
      </c>
      <c r="L13" s="457"/>
      <c r="M13" s="457"/>
      <c r="N13" s="789"/>
    </row>
    <row r="14" spans="2:14" ht="72.75">
      <c r="B14" s="790" t="s">
        <v>31</v>
      </c>
      <c r="C14" s="464" t="s">
        <v>32</v>
      </c>
      <c r="D14" s="156"/>
      <c r="E14" s="156"/>
      <c r="F14" s="156"/>
      <c r="G14" s="156"/>
      <c r="H14" s="156"/>
      <c r="I14" s="49"/>
      <c r="J14" s="49"/>
      <c r="K14" s="156">
        <v>0.25</v>
      </c>
      <c r="L14" s="156"/>
      <c r="M14" s="156"/>
      <c r="N14" s="730" t="s">
        <v>33</v>
      </c>
    </row>
    <row r="15" spans="2:14">
      <c r="B15" s="791"/>
      <c r="C15" s="361" t="s">
        <v>34</v>
      </c>
      <c r="K15" s="159">
        <v>0.3</v>
      </c>
    </row>
    <row r="16" spans="2:14" ht="29.25">
      <c r="B16" s="791"/>
      <c r="C16" s="361" t="s">
        <v>35</v>
      </c>
      <c r="K16" s="159">
        <v>0.15</v>
      </c>
    </row>
    <row r="17" spans="2:11" ht="29.25">
      <c r="B17" s="791"/>
      <c r="C17" s="361" t="s">
        <v>36</v>
      </c>
      <c r="K17" s="159">
        <v>0.15</v>
      </c>
    </row>
    <row r="18" spans="2:11" ht="29.25">
      <c r="B18" s="791"/>
      <c r="C18" s="361" t="s">
        <v>37</v>
      </c>
      <c r="K18" s="159">
        <v>0.15</v>
      </c>
    </row>
    <row r="19" spans="2:11">
      <c r="B19" s="791"/>
      <c r="C19" s="361" t="s">
        <v>38</v>
      </c>
      <c r="K19" s="159">
        <v>0.25</v>
      </c>
    </row>
    <row r="20" spans="2:11">
      <c r="B20" s="791"/>
      <c r="C20" s="361" t="s">
        <v>39</v>
      </c>
      <c r="K20" s="159">
        <v>0.25</v>
      </c>
    </row>
    <row r="21" spans="2:11">
      <c r="B21" s="791"/>
      <c r="C21" s="361" t="s">
        <v>40</v>
      </c>
      <c r="K21" s="159">
        <v>0.25</v>
      </c>
    </row>
    <row r="22" spans="2:11">
      <c r="B22" s="791"/>
      <c r="C22" s="361" t="s">
        <v>41</v>
      </c>
      <c r="K22" s="159">
        <v>0.15</v>
      </c>
    </row>
    <row r="23" spans="2:11" ht="29.25">
      <c r="B23" s="791"/>
      <c r="C23" s="361" t="s">
        <v>42</v>
      </c>
      <c r="K23" s="159">
        <v>0.25</v>
      </c>
    </row>
    <row r="24" spans="2:11">
      <c r="B24" s="792"/>
      <c r="C24" s="361" t="s">
        <v>43</v>
      </c>
      <c r="K24" s="159">
        <v>0.5</v>
      </c>
    </row>
  </sheetData>
  <mergeCells count="4">
    <mergeCell ref="B2:B6"/>
    <mergeCell ref="B7:B13"/>
    <mergeCell ref="N7:N13"/>
    <mergeCell ref="B14:B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84D1-6BE5-4C1D-8487-A8613DAB4B13}">
  <dimension ref="B1:N11"/>
  <sheetViews>
    <sheetView workbookViewId="0">
      <selection activeCell="C10" sqref="C10"/>
    </sheetView>
  </sheetViews>
  <sheetFormatPr defaultColWidth="8.7109375" defaultRowHeight="15"/>
  <cols>
    <col min="1" max="1" width="15.7109375" customWidth="1"/>
    <col min="2" max="2" width="17.5703125" style="190" customWidth="1"/>
    <col min="3" max="3" width="51.140625" style="192" customWidth="1"/>
    <col min="4" max="4" width="9.140625" style="192"/>
    <col min="5" max="5" width="9.140625" style="116"/>
    <col min="6" max="8" width="9.140625" style="192"/>
    <col min="9" max="9" width="9.140625" style="193"/>
    <col min="10" max="10" width="9.140625" style="189"/>
    <col min="11" max="11" width="15.140625" style="192" customWidth="1"/>
    <col min="12" max="12" width="19" style="192" customWidth="1"/>
    <col min="13" max="13" width="21.7109375" style="192" customWidth="1"/>
    <col min="14" max="14" width="39.7109375" style="189" customWidth="1"/>
  </cols>
  <sheetData>
    <row r="1" spans="2:14" ht="47.25">
      <c r="B1" s="608" t="s">
        <v>2</v>
      </c>
      <c r="C1" s="608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94"/>
      <c r="J1" s="12" t="s">
        <v>9</v>
      </c>
      <c r="K1" s="12" t="s">
        <v>10</v>
      </c>
      <c r="L1" s="12" t="s">
        <v>11</v>
      </c>
      <c r="M1" s="12" t="s">
        <v>12</v>
      </c>
      <c r="N1" s="13" t="s">
        <v>13</v>
      </c>
    </row>
    <row r="2" spans="2:14" ht="30.75" customHeight="1">
      <c r="B2" s="793" t="s">
        <v>44</v>
      </c>
      <c r="C2" s="212" t="s">
        <v>45</v>
      </c>
      <c r="D2" s="213"/>
      <c r="E2" s="219" t="s">
        <v>16</v>
      </c>
      <c r="F2" s="213"/>
      <c r="G2" s="213"/>
      <c r="H2" s="213"/>
      <c r="I2" s="35"/>
      <c r="J2" s="35"/>
      <c r="K2" s="214">
        <v>1</v>
      </c>
      <c r="L2" s="208"/>
      <c r="M2" s="208"/>
      <c r="N2" s="201"/>
    </row>
    <row r="3" spans="2:14">
      <c r="B3" s="794"/>
      <c r="C3" s="211" t="s">
        <v>46</v>
      </c>
      <c r="D3" s="180"/>
      <c r="E3" s="220" t="s">
        <v>16</v>
      </c>
      <c r="F3" s="180"/>
      <c r="G3" s="180"/>
      <c r="H3" s="180"/>
      <c r="I3" s="33"/>
      <c r="J3" s="33"/>
      <c r="K3" s="186">
        <v>0.5</v>
      </c>
      <c r="N3" s="202"/>
    </row>
    <row r="4" spans="2:14">
      <c r="B4" s="794"/>
      <c r="C4" s="211" t="s">
        <v>47</v>
      </c>
      <c r="D4" s="180"/>
      <c r="E4" s="220" t="s">
        <v>16</v>
      </c>
      <c r="F4" s="180"/>
      <c r="G4" s="180"/>
      <c r="H4" s="180"/>
      <c r="I4" s="33"/>
      <c r="J4" s="33"/>
      <c r="K4" s="186">
        <v>0.5</v>
      </c>
      <c r="N4" s="202"/>
    </row>
    <row r="5" spans="2:14">
      <c r="B5" s="794"/>
      <c r="C5" s="211" t="s">
        <v>48</v>
      </c>
      <c r="D5" s="180"/>
      <c r="E5" s="220" t="s">
        <v>16</v>
      </c>
      <c r="F5" s="180"/>
      <c r="G5" s="180"/>
      <c r="H5" s="180"/>
      <c r="I5" s="33"/>
      <c r="J5" s="33"/>
      <c r="K5" s="186">
        <v>0.5</v>
      </c>
      <c r="N5" s="202"/>
    </row>
    <row r="6" spans="2:14">
      <c r="B6" s="794"/>
      <c r="C6" s="211" t="s">
        <v>49</v>
      </c>
      <c r="D6" s="180"/>
      <c r="E6" s="220" t="s">
        <v>16</v>
      </c>
      <c r="F6" s="180"/>
      <c r="G6" s="180"/>
      <c r="H6" s="180"/>
      <c r="I6" s="33"/>
      <c r="J6" s="33"/>
      <c r="K6" s="186">
        <v>2</v>
      </c>
      <c r="N6" s="202"/>
    </row>
    <row r="7" spans="2:14">
      <c r="B7" s="794"/>
      <c r="C7" s="211" t="s">
        <v>50</v>
      </c>
      <c r="D7" s="180"/>
      <c r="E7" s="220" t="s">
        <v>16</v>
      </c>
      <c r="F7" s="180"/>
      <c r="G7" s="180"/>
      <c r="H7" s="180"/>
      <c r="I7" s="33"/>
      <c r="J7" s="33"/>
      <c r="K7" s="186">
        <v>2</v>
      </c>
      <c r="N7" s="202"/>
    </row>
    <row r="8" spans="2:14">
      <c r="B8" s="794"/>
      <c r="C8" s="211" t="s">
        <v>51</v>
      </c>
      <c r="D8" s="180"/>
      <c r="E8" s="220" t="s">
        <v>16</v>
      </c>
      <c r="F8" s="180"/>
      <c r="G8" s="180"/>
      <c r="H8" s="180"/>
      <c r="I8" s="33"/>
      <c r="J8" s="33"/>
      <c r="K8" s="186">
        <v>3</v>
      </c>
      <c r="N8" s="202"/>
    </row>
    <row r="9" spans="2:14">
      <c r="B9" s="794"/>
      <c r="C9" s="211" t="s">
        <v>52</v>
      </c>
      <c r="D9" s="180"/>
      <c r="E9" s="220" t="s">
        <v>16</v>
      </c>
      <c r="F9" s="180"/>
      <c r="G9" s="180"/>
      <c r="H9" s="180"/>
      <c r="I9" s="33"/>
      <c r="J9" s="33"/>
      <c r="K9" s="186">
        <v>8</v>
      </c>
      <c r="N9" s="202"/>
    </row>
    <row r="10" spans="2:14">
      <c r="B10" s="795"/>
      <c r="C10" s="215" t="s">
        <v>53</v>
      </c>
      <c r="D10" s="216"/>
      <c r="E10" s="221" t="s">
        <v>16</v>
      </c>
      <c r="F10" s="216"/>
      <c r="G10" s="216"/>
      <c r="H10" s="216"/>
      <c r="I10" s="217"/>
      <c r="J10" s="217"/>
      <c r="K10" s="218">
        <v>1</v>
      </c>
      <c r="L10" s="209"/>
      <c r="M10" s="209"/>
      <c r="N10" s="203"/>
    </row>
    <row r="11" spans="2:14">
      <c r="B11" s="199"/>
      <c r="C11" s="207"/>
      <c r="D11" s="207"/>
      <c r="E11" s="115"/>
      <c r="F11" s="207"/>
      <c r="G11" s="207"/>
      <c r="H11" s="207"/>
      <c r="I11" s="210"/>
      <c r="J11" s="200"/>
      <c r="K11" s="207"/>
      <c r="L11" s="207"/>
      <c r="M11" s="207"/>
      <c r="N11" s="200"/>
    </row>
  </sheetData>
  <autoFilter ref="B1:N1" xr:uid="{C2469C48-B953-4654-9C57-B823C28E5F7D}"/>
  <mergeCells count="1">
    <mergeCell ref="B2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2"/>
  <sheetViews>
    <sheetView tabSelected="1" topLeftCell="B1" workbookViewId="0">
      <pane xSplit="1" ySplit="1" topLeftCell="C74" activePane="bottomRight" state="frozen"/>
      <selection pane="bottomRight" activeCell="N88" sqref="N88"/>
      <selection pane="bottomLeft"/>
      <selection pane="topRight"/>
    </sheetView>
  </sheetViews>
  <sheetFormatPr defaultColWidth="8.7109375" defaultRowHeight="15"/>
  <cols>
    <col min="1" max="1" width="13.28515625" customWidth="1"/>
    <col min="2" max="2" width="23.7109375" style="84" customWidth="1"/>
    <col min="3" max="3" width="94.85546875" style="85" customWidth="1"/>
    <col min="4" max="8" width="9.140625" style="116" customWidth="1"/>
    <col min="9" max="10" width="9.140625" style="2" customWidth="1"/>
    <col min="11" max="11" width="13.7109375" style="116" customWidth="1"/>
    <col min="12" max="12" width="14.5703125" style="116" customWidth="1"/>
    <col min="13" max="13" width="13.42578125" style="116" customWidth="1"/>
    <col min="14" max="14" width="56.85546875" style="5" customWidth="1"/>
    <col min="15" max="15" width="36.5703125" bestFit="1" customWidth="1"/>
    <col min="16" max="16" width="94.7109375" customWidth="1"/>
  </cols>
  <sheetData>
    <row r="1" spans="2:14" ht="42.75" customHeight="1">
      <c r="B1" s="608" t="s">
        <v>2</v>
      </c>
      <c r="C1" s="610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/>
      <c r="J1" s="12" t="s">
        <v>9</v>
      </c>
      <c r="K1" s="12" t="s">
        <v>10</v>
      </c>
      <c r="L1" s="12" t="s">
        <v>11</v>
      </c>
      <c r="M1" s="12" t="s">
        <v>12</v>
      </c>
      <c r="N1" s="13" t="s">
        <v>13</v>
      </c>
    </row>
    <row r="2" spans="2:14" ht="20.25" customHeight="1">
      <c r="B2" s="741" t="s">
        <v>54</v>
      </c>
      <c r="C2" s="53" t="s">
        <v>55</v>
      </c>
      <c r="D2" s="86"/>
      <c r="E2" s="86" t="s">
        <v>16</v>
      </c>
      <c r="F2" s="86"/>
      <c r="G2" s="86"/>
      <c r="H2" s="86"/>
      <c r="I2" s="8"/>
      <c r="J2" s="8"/>
      <c r="K2" s="117">
        <v>2</v>
      </c>
      <c r="L2" s="117"/>
      <c r="M2" s="117"/>
      <c r="N2" s="9"/>
    </row>
    <row r="3" spans="2:14" ht="20.25" customHeight="1">
      <c r="B3" s="742"/>
      <c r="C3" s="54" t="s">
        <v>56</v>
      </c>
      <c r="D3" s="87"/>
      <c r="E3" s="87" t="s">
        <v>16</v>
      </c>
      <c r="F3" s="87"/>
      <c r="G3" s="87"/>
      <c r="H3" s="87"/>
      <c r="I3" s="1"/>
      <c r="J3" s="1"/>
      <c r="K3" s="118">
        <v>3</v>
      </c>
      <c r="L3" s="118"/>
      <c r="M3" s="118"/>
      <c r="N3" s="10"/>
    </row>
    <row r="4" spans="2:14" ht="20.25" customHeight="1">
      <c r="B4" s="743"/>
      <c r="C4" s="55" t="s">
        <v>57</v>
      </c>
      <c r="D4" s="88"/>
      <c r="E4" s="88" t="s">
        <v>16</v>
      </c>
      <c r="F4" s="88"/>
      <c r="G4" s="88"/>
      <c r="H4" s="88"/>
      <c r="I4" s="15"/>
      <c r="J4" s="15"/>
      <c r="K4" s="119">
        <v>8</v>
      </c>
      <c r="L4" s="119"/>
      <c r="M4" s="119"/>
      <c r="N4" s="16"/>
    </row>
    <row r="5" spans="2:14" ht="20.25" customHeight="1">
      <c r="B5" s="741" t="s">
        <v>58</v>
      </c>
      <c r="C5" s="56" t="s">
        <v>59</v>
      </c>
      <c r="D5" s="86"/>
      <c r="E5" s="86" t="s">
        <v>16</v>
      </c>
      <c r="F5" s="86"/>
      <c r="G5" s="86"/>
      <c r="H5" s="86"/>
      <c r="I5" s="8"/>
      <c r="J5" s="8"/>
      <c r="K5" s="117">
        <v>2</v>
      </c>
      <c r="L5" s="117"/>
      <c r="M5" s="117"/>
      <c r="N5" s="9"/>
    </row>
    <row r="6" spans="2:14" ht="20.25" customHeight="1">
      <c r="B6" s="742"/>
      <c r="C6" s="54" t="s">
        <v>60</v>
      </c>
      <c r="D6" s="87"/>
      <c r="E6" s="87" t="s">
        <v>16</v>
      </c>
      <c r="F6" s="87"/>
      <c r="G6" s="87"/>
      <c r="H6" s="87"/>
      <c r="I6" s="1"/>
      <c r="J6" s="1"/>
      <c r="K6" s="118">
        <v>6</v>
      </c>
      <c r="L6" s="118"/>
      <c r="M6" s="118"/>
      <c r="N6" s="10"/>
    </row>
    <row r="7" spans="2:14" ht="20.25" customHeight="1">
      <c r="B7" s="742"/>
      <c r="C7" s="54" t="s">
        <v>61</v>
      </c>
      <c r="D7" s="87"/>
      <c r="E7" s="87" t="s">
        <v>16</v>
      </c>
      <c r="F7" s="87"/>
      <c r="G7" s="87"/>
      <c r="H7" s="87"/>
      <c r="I7" s="1"/>
      <c r="J7" s="1"/>
      <c r="K7" s="118"/>
      <c r="L7" s="118"/>
      <c r="M7" s="118">
        <v>2</v>
      </c>
      <c r="N7" s="10"/>
    </row>
    <row r="8" spans="2:14" ht="20.25" customHeight="1">
      <c r="B8" s="743"/>
      <c r="C8" s="57" t="s">
        <v>62</v>
      </c>
      <c r="D8" s="88"/>
      <c r="E8" s="88" t="s">
        <v>16</v>
      </c>
      <c r="F8" s="88"/>
      <c r="G8" s="88"/>
      <c r="H8" s="88"/>
      <c r="I8" s="15"/>
      <c r="J8" s="15"/>
      <c r="K8" s="119"/>
      <c r="L8" s="119"/>
      <c r="M8" s="119">
        <v>4</v>
      </c>
      <c r="N8" s="16"/>
    </row>
    <row r="9" spans="2:14" ht="20.25" customHeight="1">
      <c r="B9" s="744" t="s">
        <v>63</v>
      </c>
      <c r="C9" s="53" t="s">
        <v>64</v>
      </c>
      <c r="D9" s="86"/>
      <c r="E9" s="86" t="s">
        <v>16</v>
      </c>
      <c r="F9" s="86"/>
      <c r="G9" s="86"/>
      <c r="H9" s="86"/>
      <c r="I9" s="17"/>
      <c r="J9" s="17"/>
      <c r="K9" s="117">
        <v>2</v>
      </c>
      <c r="L9" s="117"/>
      <c r="M9" s="117"/>
      <c r="N9" s="9"/>
    </row>
    <row r="10" spans="2:14" ht="20.25" customHeight="1">
      <c r="B10" s="745"/>
      <c r="C10" s="58" t="s">
        <v>65</v>
      </c>
      <c r="D10" s="87"/>
      <c r="E10" s="87" t="s">
        <v>16</v>
      </c>
      <c r="F10" s="87"/>
      <c r="G10" s="87"/>
      <c r="H10" s="87"/>
      <c r="I10" s="3"/>
      <c r="J10" s="3"/>
      <c r="K10" s="118">
        <v>8</v>
      </c>
      <c r="L10" s="118"/>
      <c r="M10" s="118"/>
      <c r="N10" s="10"/>
    </row>
    <row r="11" spans="2:14" ht="20.25" customHeight="1">
      <c r="B11" s="745"/>
      <c r="C11" s="58" t="s">
        <v>66</v>
      </c>
      <c r="D11" s="87"/>
      <c r="E11" s="87" t="s">
        <v>16</v>
      </c>
      <c r="F11" s="87"/>
      <c r="G11" s="87"/>
      <c r="H11" s="87"/>
      <c r="I11" s="3"/>
      <c r="J11" s="3"/>
      <c r="K11" s="118"/>
      <c r="L11" s="118"/>
      <c r="M11" s="118">
        <v>2</v>
      </c>
      <c r="N11" s="10"/>
    </row>
    <row r="12" spans="2:14" ht="20.25" customHeight="1">
      <c r="B12" s="746"/>
      <c r="C12" s="57" t="s">
        <v>62</v>
      </c>
      <c r="D12" s="88"/>
      <c r="E12" s="88" t="s">
        <v>16</v>
      </c>
      <c r="F12" s="88"/>
      <c r="G12" s="88"/>
      <c r="H12" s="88"/>
      <c r="I12" s="18"/>
      <c r="J12" s="18"/>
      <c r="K12" s="119"/>
      <c r="L12" s="119"/>
      <c r="M12" s="119">
        <v>4</v>
      </c>
      <c r="N12" s="16"/>
    </row>
    <row r="13" spans="2:14" ht="20.25" customHeight="1">
      <c r="B13" s="741" t="s">
        <v>67</v>
      </c>
      <c r="C13" s="53" t="s">
        <v>68</v>
      </c>
      <c r="D13" s="86"/>
      <c r="E13" s="86" t="s">
        <v>16</v>
      </c>
      <c r="F13" s="86"/>
      <c r="G13" s="86"/>
      <c r="H13" s="86"/>
      <c r="I13" s="17"/>
      <c r="J13" s="17"/>
      <c r="K13" s="117">
        <v>2</v>
      </c>
      <c r="L13" s="117"/>
      <c r="M13" s="117"/>
      <c r="N13" s="9"/>
    </row>
    <row r="14" spans="2:14" ht="20.25" customHeight="1">
      <c r="B14" s="742"/>
      <c r="C14" s="54" t="s">
        <v>65</v>
      </c>
      <c r="D14" s="87"/>
      <c r="E14" s="87" t="s">
        <v>16</v>
      </c>
      <c r="F14" s="87"/>
      <c r="G14" s="87"/>
      <c r="H14" s="87"/>
      <c r="I14" s="3"/>
      <c r="J14" s="3"/>
      <c r="K14" s="118">
        <v>8</v>
      </c>
      <c r="L14" s="118"/>
      <c r="M14" s="118"/>
      <c r="N14" s="10"/>
    </row>
    <row r="15" spans="2:14" ht="20.25" customHeight="1">
      <c r="B15" s="742"/>
      <c r="C15" s="54" t="s">
        <v>66</v>
      </c>
      <c r="D15" s="87"/>
      <c r="E15" s="87" t="s">
        <v>16</v>
      </c>
      <c r="F15" s="87"/>
      <c r="G15" s="87"/>
      <c r="H15" s="87"/>
      <c r="I15" s="3"/>
      <c r="J15" s="3"/>
      <c r="K15" s="118"/>
      <c r="L15" s="118"/>
      <c r="M15" s="118">
        <v>2</v>
      </c>
      <c r="N15" s="10"/>
    </row>
    <row r="16" spans="2:14" ht="20.25" customHeight="1">
      <c r="B16" s="743"/>
      <c r="C16" s="57" t="s">
        <v>69</v>
      </c>
      <c r="D16" s="88"/>
      <c r="E16" s="88" t="s">
        <v>16</v>
      </c>
      <c r="F16" s="88"/>
      <c r="G16" s="88"/>
      <c r="H16" s="88"/>
      <c r="I16" s="18"/>
      <c r="J16" s="18"/>
      <c r="K16" s="119"/>
      <c r="L16" s="119"/>
      <c r="M16" s="119">
        <v>4</v>
      </c>
      <c r="N16" s="16"/>
    </row>
    <row r="17" spans="2:16" ht="20.25" customHeight="1">
      <c r="B17" s="744" t="s">
        <v>70</v>
      </c>
      <c r="C17" s="53" t="s">
        <v>71</v>
      </c>
      <c r="D17" s="86"/>
      <c r="E17" s="86" t="s">
        <v>16</v>
      </c>
      <c r="F17" s="86"/>
      <c r="G17" s="86"/>
      <c r="H17" s="86"/>
      <c r="I17" s="17"/>
      <c r="J17" s="17"/>
      <c r="K17" s="117">
        <v>4</v>
      </c>
      <c r="L17" s="117"/>
      <c r="M17" s="117"/>
      <c r="P17" s="760" t="s">
        <v>72</v>
      </c>
    </row>
    <row r="18" spans="2:16" ht="20.25" customHeight="1">
      <c r="B18" s="745"/>
      <c r="C18" s="54" t="s">
        <v>73</v>
      </c>
      <c r="D18" s="87"/>
      <c r="E18" s="87" t="s">
        <v>16</v>
      </c>
      <c r="F18" s="87"/>
      <c r="G18" s="87"/>
      <c r="H18" s="87"/>
      <c r="I18" s="3"/>
      <c r="J18" s="3"/>
      <c r="K18" s="118">
        <v>8</v>
      </c>
      <c r="L18" s="118"/>
      <c r="M18" s="118"/>
      <c r="P18" s="761"/>
    </row>
    <row r="19" spans="2:16" ht="20.25" customHeight="1">
      <c r="B19" s="745"/>
      <c r="C19" s="54" t="s">
        <v>74</v>
      </c>
      <c r="D19" s="87"/>
      <c r="E19" s="87" t="s">
        <v>16</v>
      </c>
      <c r="F19" s="87"/>
      <c r="G19" s="87"/>
      <c r="H19" s="87"/>
      <c r="I19" s="3"/>
      <c r="J19" s="3"/>
      <c r="K19" s="118"/>
      <c r="L19" s="118"/>
      <c r="M19" s="118">
        <v>2</v>
      </c>
      <c r="P19" s="761"/>
    </row>
    <row r="20" spans="2:16" ht="20.25" customHeight="1">
      <c r="B20" s="745"/>
      <c r="C20" s="54" t="s">
        <v>75</v>
      </c>
      <c r="D20" s="87"/>
      <c r="E20" s="87" t="s">
        <v>16</v>
      </c>
      <c r="F20" s="87"/>
      <c r="G20" s="87"/>
      <c r="H20" s="87"/>
      <c r="I20" s="3"/>
      <c r="J20" s="3"/>
      <c r="K20" s="118">
        <v>4</v>
      </c>
      <c r="L20" s="118"/>
      <c r="M20" s="118"/>
      <c r="P20" s="761"/>
    </row>
    <row r="21" spans="2:16" ht="20.25" customHeight="1">
      <c r="B21" s="745"/>
      <c r="C21" s="54" t="s">
        <v>76</v>
      </c>
      <c r="D21" s="87"/>
      <c r="E21" s="87" t="s">
        <v>16</v>
      </c>
      <c r="F21" s="87"/>
      <c r="G21" s="87"/>
      <c r="H21" s="87"/>
      <c r="I21" s="3"/>
      <c r="J21" s="3"/>
      <c r="K21" s="118"/>
      <c r="L21" s="118"/>
      <c r="M21" s="118">
        <v>1</v>
      </c>
      <c r="P21" s="761"/>
    </row>
    <row r="22" spans="2:16" ht="20.25" customHeight="1">
      <c r="B22" s="746"/>
      <c r="C22" s="55" t="s">
        <v>77</v>
      </c>
      <c r="D22" s="88"/>
      <c r="E22" s="88" t="s">
        <v>16</v>
      </c>
      <c r="F22" s="88"/>
      <c r="G22" s="88"/>
      <c r="H22" s="88"/>
      <c r="I22" s="18"/>
      <c r="J22" s="18"/>
      <c r="K22" s="119">
        <v>1</v>
      </c>
      <c r="L22" s="119"/>
      <c r="M22" s="119"/>
      <c r="P22" s="762"/>
    </row>
    <row r="23" spans="2:16" ht="42.95" customHeight="1">
      <c r="B23" s="744" t="s">
        <v>78</v>
      </c>
      <c r="C23" s="59" t="s">
        <v>79</v>
      </c>
      <c r="D23" s="89" t="s">
        <v>16</v>
      </c>
      <c r="E23" s="89" t="s">
        <v>16</v>
      </c>
      <c r="F23" s="89"/>
      <c r="G23" s="89"/>
      <c r="H23" s="89"/>
      <c r="I23" s="19"/>
      <c r="J23" s="19"/>
      <c r="K23" s="89">
        <f>1*N23</f>
        <v>2</v>
      </c>
      <c r="L23" s="89"/>
      <c r="M23" s="120"/>
      <c r="N23" s="5">
        <v>2</v>
      </c>
      <c r="O23" t="s">
        <v>80</v>
      </c>
      <c r="P23" s="763" t="s">
        <v>81</v>
      </c>
    </row>
    <row r="24" spans="2:16" ht="20.25" customHeight="1">
      <c r="B24" s="745"/>
      <c r="C24" s="60" t="s">
        <v>17</v>
      </c>
      <c r="D24" s="90"/>
      <c r="E24" s="90" t="s">
        <v>16</v>
      </c>
      <c r="F24" s="90"/>
      <c r="G24" s="90"/>
      <c r="H24" s="90"/>
      <c r="I24" s="4"/>
      <c r="J24" s="4"/>
      <c r="K24" s="90">
        <f>1*N23</f>
        <v>2</v>
      </c>
      <c r="L24" s="90"/>
      <c r="M24" s="121"/>
      <c r="P24" s="764"/>
    </row>
    <row r="25" spans="2:16" ht="20.25" customHeight="1">
      <c r="B25" s="745"/>
      <c r="C25" s="60" t="s">
        <v>82</v>
      </c>
      <c r="D25" s="90"/>
      <c r="E25" s="90" t="s">
        <v>16</v>
      </c>
      <c r="F25" s="90"/>
      <c r="G25" s="90"/>
      <c r="H25" s="90"/>
      <c r="I25" s="4"/>
      <c r="J25" s="4"/>
      <c r="K25" s="90">
        <f>2*N23</f>
        <v>4</v>
      </c>
      <c r="L25" s="90"/>
      <c r="M25" s="121"/>
      <c r="P25" s="764"/>
    </row>
    <row r="26" spans="2:16" ht="20.25" customHeight="1">
      <c r="B26" s="745"/>
      <c r="C26" s="60" t="s">
        <v>83</v>
      </c>
      <c r="D26" s="90"/>
      <c r="E26" s="90" t="s">
        <v>16</v>
      </c>
      <c r="F26" s="90"/>
      <c r="G26" s="90"/>
      <c r="H26" s="90"/>
      <c r="I26" s="4"/>
      <c r="J26" s="4"/>
      <c r="K26" s="90">
        <f>8*N23</f>
        <v>16</v>
      </c>
      <c r="L26" s="90"/>
      <c r="M26" s="121"/>
      <c r="P26" s="764"/>
    </row>
    <row r="27" spans="2:16" ht="20.25" customHeight="1">
      <c r="B27" s="746"/>
      <c r="C27" s="61" t="s">
        <v>84</v>
      </c>
      <c r="D27" s="91"/>
      <c r="E27" s="91" t="s">
        <v>16</v>
      </c>
      <c r="F27" s="91"/>
      <c r="G27" s="91"/>
      <c r="H27" s="91"/>
      <c r="I27" s="20"/>
      <c r="J27" s="20"/>
      <c r="K27" s="91">
        <f>2*N23</f>
        <v>4</v>
      </c>
      <c r="L27" s="91"/>
      <c r="M27" s="122">
        <f>6*N23</f>
        <v>12</v>
      </c>
      <c r="N27" s="692"/>
      <c r="P27" s="764"/>
    </row>
    <row r="28" spans="2:16" ht="20.25" customHeight="1">
      <c r="B28" s="767" t="s">
        <v>85</v>
      </c>
      <c r="C28" s="142" t="s">
        <v>79</v>
      </c>
      <c r="D28" s="90" t="s">
        <v>16</v>
      </c>
      <c r="E28" s="90" t="s">
        <v>16</v>
      </c>
      <c r="F28" s="90"/>
      <c r="G28" s="90"/>
      <c r="H28" s="90"/>
      <c r="I28" s="4"/>
      <c r="J28" s="4"/>
      <c r="K28" s="90">
        <v>2</v>
      </c>
      <c r="L28" s="90"/>
      <c r="M28" s="118"/>
      <c r="P28" s="764"/>
    </row>
    <row r="29" spans="2:16" ht="20.25" customHeight="1">
      <c r="B29" s="767"/>
      <c r="C29" s="142" t="s">
        <v>17</v>
      </c>
      <c r="D29" s="90"/>
      <c r="E29" s="90" t="s">
        <v>16</v>
      </c>
      <c r="F29" s="90"/>
      <c r="G29" s="90"/>
      <c r="H29" s="90"/>
      <c r="I29" s="4"/>
      <c r="J29" s="4"/>
      <c r="K29" s="90">
        <v>2</v>
      </c>
      <c r="L29" s="90"/>
      <c r="M29" s="118"/>
      <c r="P29" s="764"/>
    </row>
    <row r="30" spans="2:16" ht="20.25" customHeight="1">
      <c r="B30" s="767"/>
      <c r="C30" s="142" t="s">
        <v>82</v>
      </c>
      <c r="D30" s="90"/>
      <c r="E30" s="90" t="s">
        <v>16</v>
      </c>
      <c r="F30" s="90"/>
      <c r="G30" s="90"/>
      <c r="H30" s="90"/>
      <c r="I30" s="4"/>
      <c r="J30" s="4"/>
      <c r="K30" s="90">
        <v>4</v>
      </c>
      <c r="L30" s="90"/>
      <c r="M30" s="118"/>
      <c r="P30" s="764"/>
    </row>
    <row r="31" spans="2:16" ht="20.25" customHeight="1">
      <c r="B31" s="767"/>
      <c r="C31" s="142" t="s">
        <v>83</v>
      </c>
      <c r="D31" s="90"/>
      <c r="E31" s="90" t="s">
        <v>16</v>
      </c>
      <c r="F31" s="90"/>
      <c r="G31" s="90"/>
      <c r="H31" s="90"/>
      <c r="I31" s="4"/>
      <c r="J31" s="4"/>
      <c r="K31" s="90">
        <v>16</v>
      </c>
      <c r="L31" s="90"/>
      <c r="M31" s="118"/>
      <c r="P31" s="764"/>
    </row>
    <row r="32" spans="2:16" ht="20.25" customHeight="1">
      <c r="B32" s="767"/>
      <c r="C32" s="142" t="s">
        <v>84</v>
      </c>
      <c r="D32" s="90"/>
      <c r="E32" s="90" t="s">
        <v>16</v>
      </c>
      <c r="F32" s="90"/>
      <c r="G32" s="90"/>
      <c r="H32" s="90"/>
      <c r="I32" s="4"/>
      <c r="J32" s="4"/>
      <c r="K32" s="90">
        <v>4</v>
      </c>
      <c r="L32" s="90"/>
      <c r="M32" s="118">
        <v>12</v>
      </c>
      <c r="P32" s="765"/>
    </row>
    <row r="33" spans="2:16" ht="20.25" customHeight="1">
      <c r="B33" s="767" t="s">
        <v>86</v>
      </c>
      <c r="C33" s="449" t="s">
        <v>87</v>
      </c>
      <c r="D33" s="90"/>
      <c r="E33" s="90"/>
      <c r="F33" s="90"/>
      <c r="G33" s="90"/>
      <c r="H33" s="90"/>
      <c r="I33" s="4"/>
      <c r="J33" s="4"/>
      <c r="K33" s="90"/>
      <c r="L33" s="90"/>
      <c r="M33" s="118"/>
      <c r="P33" s="690"/>
    </row>
    <row r="34" spans="2:16" ht="78" customHeight="1">
      <c r="B34" s="767"/>
      <c r="C34" s="142" t="s">
        <v>88</v>
      </c>
      <c r="D34" s="90"/>
      <c r="E34" s="90"/>
      <c r="F34" s="90"/>
      <c r="G34" s="90"/>
      <c r="H34" s="90"/>
      <c r="I34" s="4"/>
      <c r="J34" s="4"/>
      <c r="K34" s="90"/>
      <c r="L34" s="90"/>
      <c r="M34" s="118"/>
      <c r="P34" s="690"/>
    </row>
    <row r="35" spans="2:16" ht="20.25" customHeight="1">
      <c r="B35" s="767"/>
      <c r="C35" s="142" t="s">
        <v>89</v>
      </c>
      <c r="D35" s="90"/>
      <c r="E35" s="90"/>
      <c r="F35" s="90"/>
      <c r="G35" s="90"/>
      <c r="H35" s="90"/>
      <c r="I35" s="4"/>
      <c r="J35" s="4"/>
      <c r="K35" s="90"/>
      <c r="L35" s="90"/>
      <c r="M35" s="118"/>
      <c r="P35" s="690"/>
    </row>
    <row r="36" spans="2:16" ht="20.25" customHeight="1">
      <c r="B36" s="767"/>
      <c r="C36" s="142" t="s">
        <v>90</v>
      </c>
      <c r="D36" s="90"/>
      <c r="E36" s="90"/>
      <c r="F36" s="90"/>
      <c r="G36" s="90"/>
      <c r="H36" s="90"/>
      <c r="I36" s="4"/>
      <c r="J36" s="4"/>
      <c r="K36" s="90"/>
      <c r="L36" s="90"/>
      <c r="M36" s="118"/>
      <c r="P36" s="690"/>
    </row>
    <row r="37" spans="2:16" ht="20.25" customHeight="1">
      <c r="B37" s="767"/>
      <c r="C37" s="449" t="s">
        <v>91</v>
      </c>
      <c r="D37" s="90"/>
      <c r="E37" s="90"/>
      <c r="F37" s="90"/>
      <c r="G37" s="90"/>
      <c r="H37" s="90"/>
      <c r="I37" s="4"/>
      <c r="J37" s="4"/>
      <c r="K37" s="90"/>
      <c r="L37" s="90"/>
      <c r="M37" s="118"/>
      <c r="P37" s="690"/>
    </row>
    <row r="38" spans="2:16" ht="20.25" customHeight="1">
      <c r="B38" s="691"/>
      <c r="C38" s="142" t="s">
        <v>92</v>
      </c>
      <c r="D38" s="90"/>
      <c r="E38" s="90"/>
      <c r="F38" s="90"/>
      <c r="G38" s="90"/>
      <c r="H38" s="90"/>
      <c r="I38" s="4"/>
      <c r="J38" s="4"/>
      <c r="K38" s="90"/>
      <c r="L38" s="90"/>
      <c r="M38" s="118"/>
      <c r="P38" s="690"/>
    </row>
    <row r="39" spans="2:16" ht="20.25" customHeight="1">
      <c r="B39" s="691"/>
      <c r="C39" s="449" t="s">
        <v>93</v>
      </c>
      <c r="D39" s="90"/>
      <c r="E39" s="90"/>
      <c r="F39" s="90"/>
      <c r="G39" s="90"/>
      <c r="H39" s="90"/>
      <c r="I39" s="4"/>
      <c r="J39" s="4"/>
      <c r="K39" s="90"/>
      <c r="L39" s="90"/>
      <c r="M39" s="118"/>
      <c r="P39" s="690"/>
    </row>
    <row r="40" spans="2:16" ht="20.25" customHeight="1">
      <c r="B40" s="691"/>
      <c r="C40" s="142" t="s">
        <v>94</v>
      </c>
      <c r="D40" s="90"/>
      <c r="E40" s="90"/>
      <c r="F40" s="90"/>
      <c r="G40" s="90"/>
      <c r="H40" s="90"/>
      <c r="I40" s="4"/>
      <c r="J40" s="4"/>
      <c r="K40" s="90"/>
      <c r="L40" s="90"/>
      <c r="M40" s="118"/>
      <c r="P40" s="690"/>
    </row>
    <row r="41" spans="2:16" ht="20.25" customHeight="1">
      <c r="B41" s="691"/>
      <c r="C41" s="142"/>
      <c r="D41" s="90"/>
      <c r="E41" s="90"/>
      <c r="F41" s="90"/>
      <c r="G41" s="90"/>
      <c r="H41" s="90"/>
      <c r="I41" s="4"/>
      <c r="J41" s="4"/>
      <c r="K41" s="90"/>
      <c r="L41" s="90"/>
      <c r="M41" s="118"/>
      <c r="P41" s="690"/>
    </row>
    <row r="42" spans="2:16" ht="20.25" customHeight="1">
      <c r="B42" s="691"/>
      <c r="C42" s="142"/>
      <c r="D42" s="90"/>
      <c r="E42" s="90"/>
      <c r="F42" s="90"/>
      <c r="G42" s="90"/>
      <c r="H42" s="90"/>
      <c r="I42" s="4"/>
      <c r="J42" s="4"/>
      <c r="K42" s="90"/>
      <c r="L42" s="90"/>
      <c r="M42" s="118"/>
      <c r="P42" s="690"/>
    </row>
    <row r="43" spans="2:16" ht="20.25" customHeight="1">
      <c r="B43" s="691"/>
      <c r="C43" s="142"/>
      <c r="D43" s="90"/>
      <c r="E43" s="90"/>
      <c r="F43" s="90"/>
      <c r="G43" s="90"/>
      <c r="H43" s="90"/>
      <c r="I43" s="4"/>
      <c r="J43" s="4"/>
      <c r="K43" s="90"/>
      <c r="L43" s="90"/>
      <c r="M43" s="118"/>
      <c r="P43" s="690"/>
    </row>
    <row r="44" spans="2:16" ht="20.25" customHeight="1">
      <c r="B44" s="691"/>
      <c r="C44" s="142"/>
      <c r="D44" s="90"/>
      <c r="E44" s="90"/>
      <c r="F44" s="90"/>
      <c r="G44" s="90"/>
      <c r="H44" s="90"/>
      <c r="I44" s="4"/>
      <c r="J44" s="4"/>
      <c r="K44" s="90"/>
      <c r="L44" s="90"/>
      <c r="M44" s="118"/>
      <c r="P44" s="690"/>
    </row>
    <row r="45" spans="2:16" ht="20.25" customHeight="1">
      <c r="B45" s="691"/>
      <c r="C45" s="142"/>
      <c r="D45" s="90"/>
      <c r="E45" s="90"/>
      <c r="F45" s="90"/>
      <c r="G45" s="90"/>
      <c r="H45" s="90"/>
      <c r="I45" s="4"/>
      <c r="J45" s="4"/>
      <c r="K45" s="90"/>
      <c r="L45" s="90"/>
      <c r="M45" s="118"/>
      <c r="P45" s="690"/>
    </row>
    <row r="46" spans="2:16" ht="20.25" customHeight="1">
      <c r="B46" s="691"/>
      <c r="C46" s="142"/>
      <c r="D46" s="90"/>
      <c r="E46" s="90"/>
      <c r="F46" s="90"/>
      <c r="G46" s="90"/>
      <c r="H46" s="90"/>
      <c r="I46" s="4"/>
      <c r="J46" s="4"/>
      <c r="K46" s="90"/>
      <c r="L46" s="90"/>
      <c r="M46" s="118"/>
      <c r="P46" s="690"/>
    </row>
    <row r="47" spans="2:16" ht="20.25" customHeight="1">
      <c r="B47" s="691"/>
      <c r="C47" s="142"/>
      <c r="D47" s="90"/>
      <c r="E47" s="90"/>
      <c r="F47" s="90"/>
      <c r="G47" s="90"/>
      <c r="H47" s="90"/>
      <c r="I47" s="4"/>
      <c r="J47" s="4"/>
      <c r="K47" s="90"/>
      <c r="L47" s="90"/>
      <c r="M47" s="118"/>
      <c r="P47" s="690"/>
    </row>
    <row r="48" spans="2:16" ht="20.25" customHeight="1">
      <c r="B48" s="691"/>
      <c r="C48" s="142"/>
      <c r="D48" s="90"/>
      <c r="E48" s="90"/>
      <c r="F48" s="90"/>
      <c r="G48" s="90"/>
      <c r="H48" s="90"/>
      <c r="I48" s="4"/>
      <c r="J48" s="4"/>
      <c r="K48" s="90"/>
      <c r="L48" s="90"/>
      <c r="M48" s="118"/>
      <c r="P48" s="690"/>
    </row>
    <row r="49" spans="1:16" ht="20.25" customHeight="1">
      <c r="B49" s="691"/>
      <c r="C49" s="142"/>
      <c r="D49" s="90"/>
      <c r="E49" s="90"/>
      <c r="F49" s="90"/>
      <c r="G49" s="90"/>
      <c r="H49" s="90"/>
      <c r="I49" s="4"/>
      <c r="J49" s="4"/>
      <c r="K49" s="90"/>
      <c r="L49" s="90"/>
      <c r="M49" s="118"/>
      <c r="P49" s="690"/>
    </row>
    <row r="50" spans="1:16" ht="20.25" customHeight="1">
      <c r="A50" s="636"/>
      <c r="B50" s="766" t="s">
        <v>95</v>
      </c>
      <c r="C50" s="693" t="s">
        <v>96</v>
      </c>
      <c r="D50" s="694" t="s">
        <v>16</v>
      </c>
      <c r="E50" s="694"/>
      <c r="F50" s="694" t="s">
        <v>16</v>
      </c>
      <c r="G50" s="695"/>
      <c r="H50" s="695"/>
      <c r="I50" s="696"/>
      <c r="J50" s="696"/>
      <c r="K50" s="695"/>
      <c r="L50" s="695">
        <v>2</v>
      </c>
      <c r="M50" s="697">
        <v>6</v>
      </c>
      <c r="N50" s="698"/>
    </row>
    <row r="51" spans="1:16" ht="20.25" customHeight="1">
      <c r="A51" s="636"/>
      <c r="B51" s="745"/>
      <c r="C51" s="54" t="s">
        <v>97</v>
      </c>
      <c r="D51" s="87"/>
      <c r="E51" s="87"/>
      <c r="F51" s="87" t="s">
        <v>16</v>
      </c>
      <c r="G51" s="90"/>
      <c r="H51" s="90"/>
      <c r="I51" s="4"/>
      <c r="J51" s="4"/>
      <c r="K51" s="90"/>
      <c r="L51" s="90">
        <v>2</v>
      </c>
      <c r="M51" s="118"/>
      <c r="N51" s="21"/>
    </row>
    <row r="52" spans="1:16" ht="20.25" customHeight="1">
      <c r="A52" s="636"/>
      <c r="B52" s="745"/>
      <c r="C52" s="54" t="s">
        <v>98</v>
      </c>
      <c r="D52" s="87"/>
      <c r="E52" s="87" t="s">
        <v>16</v>
      </c>
      <c r="F52" s="87"/>
      <c r="G52" s="90"/>
      <c r="H52" s="90"/>
      <c r="I52" s="4"/>
      <c r="J52" s="4"/>
      <c r="K52" s="90"/>
      <c r="L52" s="90">
        <v>10</v>
      </c>
      <c r="M52" s="118"/>
      <c r="N52" s="21"/>
    </row>
    <row r="53" spans="1:16" ht="20.25" customHeight="1">
      <c r="A53" s="636"/>
      <c r="B53" s="745"/>
      <c r="C53" s="54" t="s">
        <v>99</v>
      </c>
      <c r="D53" s="87"/>
      <c r="E53" s="87" t="s">
        <v>16</v>
      </c>
      <c r="F53" s="87"/>
      <c r="G53" s="90"/>
      <c r="H53" s="90"/>
      <c r="I53" s="4"/>
      <c r="J53" s="4"/>
      <c r="K53" s="90">
        <v>2</v>
      </c>
      <c r="L53" s="90"/>
      <c r="M53" s="118"/>
      <c r="N53" s="10"/>
    </row>
    <row r="54" spans="1:16" ht="20.25" customHeight="1">
      <c r="A54" s="636"/>
      <c r="B54" s="745"/>
      <c r="C54" s="54" t="s">
        <v>100</v>
      </c>
      <c r="D54" s="87"/>
      <c r="E54" s="87" t="s">
        <v>16</v>
      </c>
      <c r="F54" s="87"/>
      <c r="G54" s="90"/>
      <c r="H54" s="90"/>
      <c r="I54" s="4"/>
      <c r="J54" s="4"/>
      <c r="K54" s="90">
        <v>4</v>
      </c>
      <c r="L54" s="90"/>
      <c r="M54" s="118"/>
      <c r="N54" s="10"/>
    </row>
    <row r="55" spans="1:16" ht="20.25" customHeight="1">
      <c r="A55" s="636"/>
      <c r="B55" s="745"/>
      <c r="C55" s="54" t="s">
        <v>101</v>
      </c>
      <c r="D55" s="87"/>
      <c r="E55" s="87"/>
      <c r="F55" s="87" t="s">
        <v>16</v>
      </c>
      <c r="G55" s="90"/>
      <c r="H55" s="90"/>
      <c r="I55" s="4"/>
      <c r="J55" s="4"/>
      <c r="K55" s="90"/>
      <c r="L55" s="90">
        <v>16</v>
      </c>
      <c r="M55" s="118"/>
      <c r="N55" s="10"/>
    </row>
    <row r="56" spans="1:16" ht="20.25" customHeight="1">
      <c r="A56" s="636"/>
      <c r="B56" s="745"/>
      <c r="C56" s="54" t="s">
        <v>102</v>
      </c>
      <c r="D56" s="87"/>
      <c r="E56" s="87"/>
      <c r="F56" s="87" t="s">
        <v>16</v>
      </c>
      <c r="G56" s="90"/>
      <c r="H56" s="90"/>
      <c r="I56" s="4"/>
      <c r="J56" s="4"/>
      <c r="K56" s="90"/>
      <c r="L56" s="90"/>
      <c r="M56" s="118">
        <v>4</v>
      </c>
      <c r="N56" s="10"/>
    </row>
    <row r="57" spans="1:16" ht="20.25" customHeight="1">
      <c r="A57" s="636"/>
      <c r="B57" s="746"/>
      <c r="C57" s="55" t="s">
        <v>103</v>
      </c>
      <c r="D57" s="88"/>
      <c r="E57" s="88"/>
      <c r="F57" s="88" t="s">
        <v>16</v>
      </c>
      <c r="G57" s="91"/>
      <c r="H57" s="91"/>
      <c r="I57" s="20"/>
      <c r="J57" s="20"/>
      <c r="K57" s="91"/>
      <c r="L57" s="91"/>
      <c r="M57" s="119"/>
      <c r="N57" s="16"/>
    </row>
    <row r="58" spans="1:16" ht="20.25" customHeight="1">
      <c r="A58" s="768" t="s">
        <v>104</v>
      </c>
      <c r="B58" s="744" t="s">
        <v>105</v>
      </c>
      <c r="C58" s="59" t="s">
        <v>106</v>
      </c>
      <c r="D58" s="86" t="s">
        <v>16</v>
      </c>
      <c r="E58" s="86" t="s">
        <v>16</v>
      </c>
      <c r="F58" s="86"/>
      <c r="G58" s="86"/>
      <c r="H58" s="86"/>
      <c r="I58" s="17"/>
      <c r="J58" s="17"/>
      <c r="K58" s="117">
        <v>1</v>
      </c>
      <c r="L58" s="117"/>
      <c r="M58" s="117"/>
      <c r="N58" s="9" t="s">
        <v>107</v>
      </c>
    </row>
    <row r="59" spans="1:16" ht="20.25" customHeight="1">
      <c r="A59" s="769"/>
      <c r="B59" s="745"/>
      <c r="C59" s="60" t="s">
        <v>108</v>
      </c>
      <c r="D59" s="87"/>
      <c r="E59" s="87" t="s">
        <v>16</v>
      </c>
      <c r="F59" s="87"/>
      <c r="G59" s="87"/>
      <c r="H59" s="87"/>
      <c r="I59" s="3"/>
      <c r="J59" s="3"/>
      <c r="K59" s="118">
        <v>1</v>
      </c>
      <c r="L59" s="118"/>
      <c r="M59" s="118"/>
      <c r="N59" s="10" t="s">
        <v>109</v>
      </c>
    </row>
    <row r="60" spans="1:16" ht="20.25" customHeight="1">
      <c r="A60" s="769"/>
      <c r="B60" s="745"/>
      <c r="C60" s="60" t="s">
        <v>110</v>
      </c>
      <c r="D60" s="87"/>
      <c r="E60" s="87" t="s">
        <v>16</v>
      </c>
      <c r="F60" s="87"/>
      <c r="G60" s="87"/>
      <c r="H60" s="87"/>
      <c r="I60" s="3"/>
      <c r="J60" s="3"/>
      <c r="K60" s="118">
        <v>1</v>
      </c>
      <c r="L60" s="118"/>
      <c r="M60" s="118"/>
      <c r="N60" s="10" t="s">
        <v>111</v>
      </c>
    </row>
    <row r="61" spans="1:16" ht="20.25" customHeight="1">
      <c r="A61" s="769"/>
      <c r="B61" s="745"/>
      <c r="C61" s="60" t="s">
        <v>112</v>
      </c>
      <c r="D61" s="87"/>
      <c r="E61" s="87" t="s">
        <v>16</v>
      </c>
      <c r="F61" s="87"/>
      <c r="G61" s="87"/>
      <c r="H61" s="87"/>
      <c r="I61" s="3"/>
      <c r="J61" s="3"/>
      <c r="K61" s="118">
        <v>1</v>
      </c>
      <c r="L61" s="118"/>
      <c r="M61" s="118"/>
      <c r="N61" s="10" t="s">
        <v>113</v>
      </c>
    </row>
    <row r="62" spans="1:16" ht="20.25" customHeight="1">
      <c r="A62" s="769"/>
      <c r="B62" s="745"/>
      <c r="C62" s="58" t="s">
        <v>114</v>
      </c>
      <c r="D62" s="87"/>
      <c r="E62" s="87" t="s">
        <v>16</v>
      </c>
      <c r="F62" s="87"/>
      <c r="G62" s="87"/>
      <c r="H62" s="87"/>
      <c r="I62" s="3"/>
      <c r="J62" s="3"/>
      <c r="K62" s="118">
        <v>1</v>
      </c>
      <c r="L62" s="118"/>
      <c r="M62" s="118"/>
      <c r="N62" s="10" t="s">
        <v>115</v>
      </c>
    </row>
    <row r="63" spans="1:16" ht="20.25" customHeight="1">
      <c r="A63" s="769"/>
      <c r="B63" s="745"/>
      <c r="C63" s="58" t="s">
        <v>116</v>
      </c>
      <c r="D63" s="87"/>
      <c r="E63" s="87" t="s">
        <v>16</v>
      </c>
      <c r="F63" s="87"/>
      <c r="G63" s="87"/>
      <c r="H63" s="87"/>
      <c r="I63" s="3"/>
      <c r="J63" s="3"/>
      <c r="K63" s="118">
        <v>2</v>
      </c>
      <c r="L63" s="118"/>
      <c r="M63" s="118"/>
      <c r="N63" s="10" t="s">
        <v>117</v>
      </c>
    </row>
    <row r="64" spans="1:16" ht="20.25" customHeight="1">
      <c r="A64" s="769"/>
      <c r="B64" s="746"/>
      <c r="C64" s="57" t="s">
        <v>30</v>
      </c>
      <c r="D64" s="88"/>
      <c r="E64" s="88" t="s">
        <v>16</v>
      </c>
      <c r="F64" s="88"/>
      <c r="G64" s="88"/>
      <c r="H64" s="88"/>
      <c r="I64" s="18"/>
      <c r="J64" s="18"/>
      <c r="K64" s="119">
        <v>4</v>
      </c>
      <c r="L64" s="119"/>
      <c r="M64" s="119"/>
      <c r="N64" s="16"/>
    </row>
    <row r="65" spans="1:14" ht="41.25" customHeight="1">
      <c r="A65" s="769"/>
      <c r="B65" s="637" t="s">
        <v>118</v>
      </c>
      <c r="C65" s="62" t="s">
        <v>119</v>
      </c>
      <c r="D65" s="92"/>
      <c r="E65" s="92" t="s">
        <v>16</v>
      </c>
      <c r="F65" s="92"/>
      <c r="G65" s="92"/>
      <c r="H65" s="92"/>
      <c r="I65" s="22"/>
      <c r="J65" s="22"/>
      <c r="K65" s="123">
        <v>2</v>
      </c>
      <c r="L65" s="123"/>
      <c r="M65" s="123"/>
      <c r="N65" s="23"/>
    </row>
    <row r="66" spans="1:14" ht="32.25" customHeight="1">
      <c r="A66" s="769"/>
      <c r="B66" s="744" t="s">
        <v>120</v>
      </c>
      <c r="C66" s="53" t="s">
        <v>121</v>
      </c>
      <c r="D66" s="86"/>
      <c r="E66" s="86" t="s">
        <v>16</v>
      </c>
      <c r="F66" s="86"/>
      <c r="G66" s="86"/>
      <c r="H66" s="86"/>
      <c r="I66" s="17"/>
      <c r="J66" s="17"/>
      <c r="K66" s="117"/>
      <c r="L66" s="117"/>
      <c r="M66" s="117"/>
      <c r="N66" s="760" t="s">
        <v>122</v>
      </c>
    </row>
    <row r="67" spans="1:14" ht="45" customHeight="1">
      <c r="A67" s="769"/>
      <c r="B67" s="746"/>
      <c r="C67" s="55" t="s">
        <v>123</v>
      </c>
      <c r="D67" s="88"/>
      <c r="E67" s="88" t="s">
        <v>16</v>
      </c>
      <c r="F67" s="88"/>
      <c r="G67" s="88"/>
      <c r="H67" s="88"/>
      <c r="I67" s="18"/>
      <c r="J67" s="18"/>
      <c r="K67" s="119">
        <v>2</v>
      </c>
      <c r="L67" s="119"/>
      <c r="M67" s="119"/>
      <c r="N67" s="762"/>
    </row>
    <row r="68" spans="1:14" ht="20.25" customHeight="1">
      <c r="B68" s="770" t="s">
        <v>124</v>
      </c>
      <c r="C68" s="63" t="s">
        <v>125</v>
      </c>
      <c r="D68" s="93"/>
      <c r="E68" s="93" t="s">
        <v>16</v>
      </c>
      <c r="F68" s="93"/>
      <c r="G68" s="93"/>
      <c r="H68" s="93"/>
      <c r="I68" s="25"/>
      <c r="J68" s="25"/>
      <c r="K68" s="93">
        <v>1</v>
      </c>
      <c r="L68" s="93"/>
      <c r="M68" s="93"/>
      <c r="N68" s="26"/>
    </row>
    <row r="69" spans="1:14" ht="20.25" customHeight="1">
      <c r="B69" s="771"/>
      <c r="C69" s="64" t="s">
        <v>27</v>
      </c>
      <c r="D69" s="94"/>
      <c r="E69" s="94" t="s">
        <v>16</v>
      </c>
      <c r="F69" s="94"/>
      <c r="G69" s="94"/>
      <c r="H69" s="94"/>
      <c r="I69" s="6"/>
      <c r="J69" s="6"/>
      <c r="K69" s="94">
        <v>8</v>
      </c>
      <c r="L69" s="94"/>
      <c r="M69" s="101"/>
      <c r="N69" s="10"/>
    </row>
    <row r="70" spans="1:14" ht="20.25" customHeight="1">
      <c r="B70" s="771"/>
      <c r="C70" s="65" t="s">
        <v>28</v>
      </c>
      <c r="D70" s="94"/>
      <c r="E70" s="94" t="s">
        <v>16</v>
      </c>
      <c r="F70" s="94"/>
      <c r="G70" s="94"/>
      <c r="H70" s="94"/>
      <c r="I70" s="6"/>
      <c r="J70" s="6"/>
      <c r="K70" s="94">
        <v>16</v>
      </c>
      <c r="L70" s="94"/>
      <c r="M70" s="101"/>
      <c r="N70" s="10"/>
    </row>
    <row r="71" spans="1:14" ht="20.25" customHeight="1">
      <c r="B71" s="771"/>
      <c r="C71" s="64" t="s">
        <v>126</v>
      </c>
      <c r="D71" s="94"/>
      <c r="E71" s="94" t="s">
        <v>16</v>
      </c>
      <c r="F71" s="94"/>
      <c r="G71" s="94"/>
      <c r="H71" s="94"/>
      <c r="I71" s="6"/>
      <c r="J71" s="6"/>
      <c r="K71" s="94">
        <v>4</v>
      </c>
      <c r="L71" s="94"/>
      <c r="M71" s="101"/>
      <c r="N71" s="10"/>
    </row>
    <row r="72" spans="1:14" ht="20.25" customHeight="1">
      <c r="B72" s="771"/>
      <c r="C72" s="64" t="s">
        <v>30</v>
      </c>
      <c r="D72" s="94"/>
      <c r="E72" s="94" t="s">
        <v>16</v>
      </c>
      <c r="F72" s="94"/>
      <c r="G72" s="94"/>
      <c r="H72" s="94"/>
      <c r="I72" s="6"/>
      <c r="J72" s="6"/>
      <c r="K72" s="94">
        <v>8</v>
      </c>
      <c r="L72" s="94"/>
      <c r="M72" s="101"/>
      <c r="N72" s="10"/>
    </row>
    <row r="73" spans="1:14" ht="20.25" customHeight="1">
      <c r="B73" s="771"/>
      <c r="C73" s="64" t="s">
        <v>127</v>
      </c>
      <c r="D73" s="94"/>
      <c r="E73" s="94" t="s">
        <v>16</v>
      </c>
      <c r="F73" s="94"/>
      <c r="G73" s="94"/>
      <c r="H73" s="94"/>
      <c r="I73" s="6"/>
      <c r="J73" s="6"/>
      <c r="K73" s="94">
        <v>60</v>
      </c>
      <c r="L73" s="94"/>
      <c r="M73" s="101"/>
      <c r="N73" s="10"/>
    </row>
    <row r="74" spans="1:14" ht="20.25" customHeight="1">
      <c r="B74" s="772"/>
      <c r="C74" s="66" t="s">
        <v>128</v>
      </c>
      <c r="D74" s="95"/>
      <c r="E74" s="95" t="s">
        <v>16</v>
      </c>
      <c r="F74" s="95"/>
      <c r="G74" s="95"/>
      <c r="H74" s="95"/>
      <c r="I74" s="28"/>
      <c r="J74" s="28"/>
      <c r="K74" s="95">
        <v>16</v>
      </c>
      <c r="L74" s="95">
        <v>8</v>
      </c>
      <c r="M74" s="124">
        <v>8</v>
      </c>
      <c r="N74" s="16"/>
    </row>
    <row r="75" spans="1:14" ht="20.25" customHeight="1">
      <c r="B75" s="744" t="s">
        <v>129</v>
      </c>
      <c r="C75" s="67" t="s">
        <v>130</v>
      </c>
      <c r="D75" s="96" t="s">
        <v>16</v>
      </c>
      <c r="E75" s="96"/>
      <c r="F75" s="96" t="s">
        <v>16</v>
      </c>
      <c r="G75" s="96"/>
      <c r="H75" s="96"/>
      <c r="I75" s="27"/>
      <c r="J75" s="27"/>
      <c r="K75" s="125">
        <f>1*2</f>
        <v>2</v>
      </c>
      <c r="L75" s="93"/>
      <c r="M75" s="93"/>
      <c r="N75" s="9"/>
    </row>
    <row r="76" spans="1:14" ht="20.25" customHeight="1">
      <c r="B76" s="745"/>
      <c r="C76" s="68" t="s">
        <v>17</v>
      </c>
      <c r="D76" s="97"/>
      <c r="E76" s="97"/>
      <c r="F76" s="97" t="s">
        <v>16</v>
      </c>
      <c r="G76" s="97"/>
      <c r="H76" s="97"/>
      <c r="I76" s="7"/>
      <c r="J76" s="7"/>
      <c r="K76" s="126">
        <f>1*2</f>
        <v>2</v>
      </c>
      <c r="L76" s="94"/>
      <c r="M76" s="101"/>
      <c r="N76" s="10"/>
    </row>
    <row r="77" spans="1:14" ht="20.25" customHeight="1">
      <c r="B77" s="745"/>
      <c r="C77" s="68" t="s">
        <v>131</v>
      </c>
      <c r="D77" s="97"/>
      <c r="E77" s="97"/>
      <c r="F77" s="97" t="s">
        <v>16</v>
      </c>
      <c r="G77" s="97"/>
      <c r="H77" s="97"/>
      <c r="I77" s="7"/>
      <c r="J77" s="7"/>
      <c r="K77" s="126">
        <v>4</v>
      </c>
      <c r="L77" s="94"/>
      <c r="M77" s="101"/>
      <c r="N77" s="10"/>
    </row>
    <row r="78" spans="1:14" ht="20.25" customHeight="1">
      <c r="B78" s="745"/>
      <c r="C78" s="69" t="s">
        <v>132</v>
      </c>
      <c r="D78" s="97"/>
      <c r="E78" s="97"/>
      <c r="F78" s="97" t="s">
        <v>16</v>
      </c>
      <c r="G78" s="97"/>
      <c r="H78" s="97"/>
      <c r="I78" s="7"/>
      <c r="J78" s="7"/>
      <c r="K78" s="126">
        <v>4</v>
      </c>
      <c r="L78" s="94"/>
      <c r="M78" s="101"/>
      <c r="N78" s="10"/>
    </row>
    <row r="79" spans="1:14" ht="20.25" customHeight="1">
      <c r="B79" s="745"/>
      <c r="C79" s="70" t="s">
        <v>84</v>
      </c>
      <c r="D79" s="98"/>
      <c r="E79" s="98"/>
      <c r="F79" s="98" t="s">
        <v>16</v>
      </c>
      <c r="G79" s="98"/>
      <c r="H79" s="98"/>
      <c r="I79" s="29"/>
      <c r="J79" s="29"/>
      <c r="K79" s="127"/>
      <c r="L79" s="95">
        <v>8</v>
      </c>
      <c r="M79" s="124">
        <v>8</v>
      </c>
      <c r="N79" s="10"/>
    </row>
    <row r="80" spans="1:14" ht="20.25" customHeight="1">
      <c r="B80" s="746"/>
      <c r="C80" s="70" t="s">
        <v>133</v>
      </c>
      <c r="D80" s="98"/>
      <c r="E80" s="98"/>
      <c r="F80" s="98"/>
      <c r="G80" s="98"/>
      <c r="H80" s="98"/>
      <c r="I80" s="29"/>
      <c r="J80" s="29"/>
      <c r="K80" s="127"/>
      <c r="L80" s="95"/>
      <c r="M80" s="124">
        <v>1</v>
      </c>
      <c r="N80" s="16"/>
    </row>
    <row r="81" spans="2:15" ht="20.25" customHeight="1">
      <c r="B81" s="744" t="s">
        <v>134</v>
      </c>
      <c r="C81" s="67" t="s">
        <v>135</v>
      </c>
      <c r="D81" s="96" t="s">
        <v>16</v>
      </c>
      <c r="E81" s="96"/>
      <c r="F81" s="96" t="s">
        <v>16</v>
      </c>
      <c r="G81" s="96"/>
      <c r="H81" s="96"/>
      <c r="I81" s="27"/>
      <c r="J81" s="27"/>
      <c r="K81" s="125">
        <f>1*N$81</f>
        <v>1</v>
      </c>
      <c r="L81" s="93"/>
      <c r="M81" s="93"/>
      <c r="N81" s="9">
        <v>1</v>
      </c>
      <c r="O81" t="s">
        <v>136</v>
      </c>
    </row>
    <row r="82" spans="2:15" ht="20.25" customHeight="1">
      <c r="B82" s="745"/>
      <c r="C82" s="68" t="s">
        <v>17</v>
      </c>
      <c r="D82" s="97"/>
      <c r="E82" s="97"/>
      <c r="F82" s="97" t="s">
        <v>16</v>
      </c>
      <c r="G82" s="97"/>
      <c r="H82" s="97"/>
      <c r="I82" s="7"/>
      <c r="J82" s="7"/>
      <c r="K82" s="125">
        <f>1*N$81</f>
        <v>1</v>
      </c>
      <c r="L82" s="94"/>
      <c r="M82" s="101"/>
      <c r="N82" s="10"/>
    </row>
    <row r="83" spans="2:15" ht="20.25" customHeight="1">
      <c r="B83" s="745"/>
      <c r="C83" s="68" t="s">
        <v>131</v>
      </c>
      <c r="D83" s="97"/>
      <c r="E83" s="97"/>
      <c r="F83" s="97" t="s">
        <v>16</v>
      </c>
      <c r="G83" s="97"/>
      <c r="H83" s="97"/>
      <c r="I83" s="7"/>
      <c r="J83" s="7"/>
      <c r="K83" s="126">
        <f>2*N81</f>
        <v>2</v>
      </c>
      <c r="L83" s="94"/>
      <c r="M83" s="101"/>
      <c r="N83" s="10"/>
    </row>
    <row r="84" spans="2:15" ht="20.25" customHeight="1">
      <c r="B84" s="745"/>
      <c r="C84" s="71" t="s">
        <v>84</v>
      </c>
      <c r="D84" s="99"/>
      <c r="E84" s="100"/>
      <c r="F84" s="100" t="s">
        <v>16</v>
      </c>
      <c r="G84" s="99"/>
      <c r="H84" s="99"/>
      <c r="I84" s="30"/>
      <c r="J84" s="30"/>
      <c r="K84" s="99"/>
      <c r="L84" s="128"/>
      <c r="M84" s="129">
        <f>2*N81</f>
        <v>2</v>
      </c>
      <c r="N84" s="10"/>
    </row>
    <row r="85" spans="2:15" ht="20.25" customHeight="1">
      <c r="B85" s="773"/>
      <c r="C85" s="147" t="s">
        <v>133</v>
      </c>
      <c r="D85" s="131"/>
      <c r="E85" s="88"/>
      <c r="F85" s="88"/>
      <c r="G85" s="131"/>
      <c r="H85" s="131"/>
      <c r="I85" s="643"/>
      <c r="J85" s="643"/>
      <c r="K85" s="131"/>
      <c r="L85" s="644"/>
      <c r="M85" s="124">
        <v>1</v>
      </c>
      <c r="N85" s="16"/>
    </row>
    <row r="86" spans="2:15" ht="20.25" customHeight="1">
      <c r="B86" s="744" t="s">
        <v>137</v>
      </c>
      <c r="C86" s="649" t="s">
        <v>138</v>
      </c>
      <c r="D86" s="130"/>
      <c r="E86" s="86"/>
      <c r="F86" s="86"/>
      <c r="G86" s="130"/>
      <c r="H86" s="130"/>
      <c r="I86" s="650"/>
      <c r="J86" s="650"/>
      <c r="K86" s="130"/>
      <c r="L86" s="89"/>
      <c r="M86" s="89"/>
      <c r="N86" s="9">
        <v>2</v>
      </c>
      <c r="O86" t="s">
        <v>139</v>
      </c>
    </row>
    <row r="87" spans="2:15" ht="20.25" customHeight="1">
      <c r="B87" s="745"/>
      <c r="C87" s="646" t="s">
        <v>140</v>
      </c>
      <c r="D87" s="87"/>
      <c r="E87" s="87"/>
      <c r="F87" s="87" t="s">
        <v>16</v>
      </c>
      <c r="G87" s="87"/>
      <c r="H87" s="87"/>
      <c r="I87" s="647"/>
      <c r="J87" s="647"/>
      <c r="K87" s="118">
        <f>0.5*N$86</f>
        <v>1</v>
      </c>
      <c r="L87" s="90"/>
      <c r="M87" s="90"/>
      <c r="N87" s="10">
        <v>2</v>
      </c>
      <c r="O87" t="s">
        <v>141</v>
      </c>
    </row>
    <row r="88" spans="2:15" ht="20.25" customHeight="1">
      <c r="B88" s="745"/>
      <c r="C88" s="646" t="s">
        <v>142</v>
      </c>
      <c r="D88" s="87"/>
      <c r="E88" s="87"/>
      <c r="F88" s="87" t="s">
        <v>16</v>
      </c>
      <c r="G88" s="87"/>
      <c r="H88" s="87"/>
      <c r="I88" s="647"/>
      <c r="J88" s="647"/>
      <c r="K88" s="118">
        <f>0.5*N$86</f>
        <v>1</v>
      </c>
      <c r="L88" s="90"/>
      <c r="M88" s="90"/>
      <c r="N88" s="10"/>
    </row>
    <row r="89" spans="2:15" ht="20.25" customHeight="1">
      <c r="B89" s="745"/>
      <c r="C89" s="646" t="s">
        <v>143</v>
      </c>
      <c r="D89" s="87"/>
      <c r="E89" s="87"/>
      <c r="F89" s="87" t="s">
        <v>16</v>
      </c>
      <c r="G89" s="87"/>
      <c r="H89" s="87"/>
      <c r="I89" s="647"/>
      <c r="J89" s="647"/>
      <c r="K89" s="118">
        <f>1*N86</f>
        <v>2</v>
      </c>
      <c r="L89" s="90"/>
      <c r="M89" s="90"/>
      <c r="N89" s="10"/>
    </row>
    <row r="90" spans="2:15" ht="20.25" customHeight="1">
      <c r="B90" s="745"/>
      <c r="C90" s="646" t="s">
        <v>144</v>
      </c>
      <c r="D90" s="87"/>
      <c r="E90" s="87"/>
      <c r="F90" s="87" t="s">
        <v>16</v>
      </c>
      <c r="G90" s="87"/>
      <c r="H90" s="87"/>
      <c r="I90" s="647"/>
      <c r="J90" s="647"/>
      <c r="K90" s="118">
        <f>0.5*N86</f>
        <v>1</v>
      </c>
      <c r="L90" s="90"/>
      <c r="M90" s="90"/>
      <c r="N90" s="10"/>
    </row>
    <row r="91" spans="2:15" ht="20.25" customHeight="1">
      <c r="B91" s="745"/>
      <c r="C91" s="645" t="s">
        <v>145</v>
      </c>
      <c r="D91" s="87"/>
      <c r="E91" s="87"/>
      <c r="F91" s="87"/>
      <c r="G91" s="87"/>
      <c r="H91" s="87"/>
      <c r="I91" s="647"/>
      <c r="J91" s="647"/>
      <c r="K91" s="118"/>
      <c r="L91" s="90"/>
      <c r="M91" s="90"/>
      <c r="N91" s="10"/>
    </row>
    <row r="92" spans="2:15" ht="20.25" customHeight="1">
      <c r="B92" s="745"/>
      <c r="C92" s="646" t="s">
        <v>146</v>
      </c>
      <c r="D92" s="87" t="s">
        <v>16</v>
      </c>
      <c r="E92" s="87"/>
      <c r="F92" s="87" t="s">
        <v>16</v>
      </c>
      <c r="G92" s="87"/>
      <c r="H92" s="87"/>
      <c r="I92" s="647"/>
      <c r="J92" s="647"/>
      <c r="K92" s="118">
        <f>0.25*N$86</f>
        <v>0.5</v>
      </c>
      <c r="L92" s="90"/>
      <c r="M92" s="90"/>
      <c r="N92" s="10"/>
    </row>
    <row r="93" spans="2:15" ht="20.25" customHeight="1">
      <c r="B93" s="745"/>
      <c r="C93" s="646" t="s">
        <v>147</v>
      </c>
      <c r="D93" s="87" t="s">
        <v>16</v>
      </c>
      <c r="E93" s="87"/>
      <c r="F93" s="87" t="s">
        <v>16</v>
      </c>
      <c r="G93" s="87"/>
      <c r="H93" s="87"/>
      <c r="I93" s="647"/>
      <c r="J93" s="647"/>
      <c r="K93" s="118">
        <f>0.25*N$86</f>
        <v>0.5</v>
      </c>
      <c r="L93" s="90"/>
      <c r="M93" s="90"/>
      <c r="N93" s="10"/>
    </row>
    <row r="94" spans="2:15" ht="20.25" customHeight="1">
      <c r="B94" s="745"/>
      <c r="C94" s="646" t="s">
        <v>148</v>
      </c>
      <c r="D94" s="87" t="s">
        <v>16</v>
      </c>
      <c r="E94" s="87"/>
      <c r="F94" s="87" t="s">
        <v>16</v>
      </c>
      <c r="G94" s="87"/>
      <c r="H94" s="87"/>
      <c r="I94" s="647"/>
      <c r="J94" s="647"/>
      <c r="K94" s="118">
        <f>0.25*N$86</f>
        <v>0.5</v>
      </c>
      <c r="L94" s="90"/>
      <c r="M94" s="90"/>
      <c r="N94" s="10"/>
    </row>
    <row r="95" spans="2:15" ht="20.25" customHeight="1">
      <c r="B95" s="745"/>
      <c r="C95" s="646" t="s">
        <v>149</v>
      </c>
      <c r="D95" s="87"/>
      <c r="E95" s="87"/>
      <c r="F95" s="87" t="s">
        <v>16</v>
      </c>
      <c r="G95" s="87"/>
      <c r="H95" s="87"/>
      <c r="I95" s="647"/>
      <c r="J95" s="647"/>
      <c r="K95" s="118">
        <f>0.25*N$86</f>
        <v>0.5</v>
      </c>
      <c r="L95" s="90"/>
      <c r="M95" s="90"/>
      <c r="N95" s="10"/>
    </row>
    <row r="96" spans="2:15" ht="20.25" customHeight="1">
      <c r="B96" s="745"/>
      <c r="C96" s="645" t="s">
        <v>150</v>
      </c>
      <c r="D96" s="87"/>
      <c r="E96" s="87"/>
      <c r="F96" s="87"/>
      <c r="G96" s="87"/>
      <c r="H96" s="87"/>
      <c r="I96" s="647"/>
      <c r="J96" s="647"/>
      <c r="K96" s="118"/>
      <c r="L96" s="90"/>
      <c r="M96" s="90"/>
      <c r="N96" s="10"/>
    </row>
    <row r="97" spans="2:15" ht="111" customHeight="1">
      <c r="B97" s="745"/>
      <c r="C97" s="648" t="s">
        <v>151</v>
      </c>
      <c r="D97" s="87"/>
      <c r="E97" s="87"/>
      <c r="F97" s="87" t="s">
        <v>16</v>
      </c>
      <c r="G97" s="87"/>
      <c r="H97" s="87"/>
      <c r="I97" s="647"/>
      <c r="J97" s="647"/>
      <c r="K97" s="118">
        <f>0.5*N86</f>
        <v>1</v>
      </c>
      <c r="L97" s="90"/>
      <c r="M97" s="90"/>
      <c r="N97" s="10"/>
    </row>
    <row r="98" spans="2:15" ht="20.25" customHeight="1">
      <c r="B98" s="745"/>
      <c r="C98" s="646" t="s">
        <v>152</v>
      </c>
      <c r="D98" s="87"/>
      <c r="E98" s="87"/>
      <c r="F98" s="87" t="s">
        <v>16</v>
      </c>
      <c r="G98" s="87"/>
      <c r="H98" s="87"/>
      <c r="I98" s="647"/>
      <c r="J98" s="647"/>
      <c r="K98" s="118">
        <f>0.5*N86</f>
        <v>1</v>
      </c>
      <c r="L98" s="90"/>
      <c r="M98" s="90"/>
      <c r="N98" s="10"/>
    </row>
    <row r="99" spans="2:15" ht="20.25" customHeight="1">
      <c r="B99" s="745"/>
      <c r="C99" s="645" t="s">
        <v>153</v>
      </c>
      <c r="D99" s="87"/>
      <c r="E99" s="87"/>
      <c r="F99" s="87"/>
      <c r="G99" s="87"/>
      <c r="H99" s="87"/>
      <c r="I99" s="647"/>
      <c r="J99" s="647"/>
      <c r="K99" s="118"/>
      <c r="L99" s="90"/>
      <c r="M99" s="90"/>
      <c r="N99" s="10"/>
    </row>
    <row r="100" spans="2:15" ht="20.25" customHeight="1">
      <c r="B100" s="745"/>
      <c r="C100" s="646" t="s">
        <v>154</v>
      </c>
      <c r="D100" s="87"/>
      <c r="E100" s="87"/>
      <c r="F100" s="87" t="s">
        <v>16</v>
      </c>
      <c r="G100" s="87"/>
      <c r="H100" s="87"/>
      <c r="I100" s="647"/>
      <c r="J100" s="647"/>
      <c r="K100" s="118"/>
      <c r="L100" s="90"/>
      <c r="M100" s="118">
        <f>0.5*N$86</f>
        <v>1</v>
      </c>
      <c r="N100" s="10"/>
    </row>
    <row r="101" spans="2:15" ht="20.25" customHeight="1">
      <c r="B101" s="745"/>
      <c r="C101" s="646" t="s">
        <v>155</v>
      </c>
      <c r="D101" s="87"/>
      <c r="E101" s="87"/>
      <c r="F101" s="87" t="s">
        <v>16</v>
      </c>
      <c r="G101" s="87"/>
      <c r="H101" s="87"/>
      <c r="I101" s="647"/>
      <c r="J101" s="647"/>
      <c r="K101" s="118"/>
      <c r="L101" s="90"/>
      <c r="M101" s="118">
        <f>0.5*N$86</f>
        <v>1</v>
      </c>
      <c r="N101" s="10"/>
    </row>
    <row r="102" spans="2:15" ht="20.25" customHeight="1">
      <c r="B102" s="745"/>
      <c r="C102" s="646" t="s">
        <v>156</v>
      </c>
      <c r="D102" s="87" t="s">
        <v>16</v>
      </c>
      <c r="E102" s="87"/>
      <c r="F102" s="87"/>
      <c r="G102" s="87"/>
      <c r="H102" s="87"/>
      <c r="I102" s="647"/>
      <c r="J102" s="647"/>
      <c r="K102" s="118"/>
      <c r="L102" s="90"/>
      <c r="M102" s="118">
        <f>1*N87</f>
        <v>2</v>
      </c>
      <c r="N102" s="10"/>
    </row>
    <row r="103" spans="2:15" ht="20.25" customHeight="1">
      <c r="B103" s="745"/>
      <c r="C103" s="645" t="s">
        <v>157</v>
      </c>
      <c r="D103" s="87"/>
      <c r="E103" s="87"/>
      <c r="F103" s="87"/>
      <c r="G103" s="87"/>
      <c r="H103" s="87"/>
      <c r="I103" s="647"/>
      <c r="J103" s="647"/>
      <c r="K103" s="118"/>
      <c r="L103" s="90"/>
      <c r="M103" s="118"/>
      <c r="N103" s="10"/>
    </row>
    <row r="104" spans="2:15" ht="20.25" customHeight="1">
      <c r="B104" s="745"/>
      <c r="C104" s="646" t="s">
        <v>158</v>
      </c>
      <c r="D104" s="87"/>
      <c r="E104" s="87"/>
      <c r="F104" s="87" t="s">
        <v>16</v>
      </c>
      <c r="G104" s="87"/>
      <c r="H104" s="87"/>
      <c r="I104" s="647"/>
      <c r="J104" s="647"/>
      <c r="K104" s="118"/>
      <c r="L104" s="90"/>
      <c r="M104" s="118">
        <f>0.5*N$86</f>
        <v>1</v>
      </c>
      <c r="N104" s="10"/>
    </row>
    <row r="105" spans="2:15" ht="20.25" customHeight="1">
      <c r="B105" s="745"/>
      <c r="C105" s="646" t="s">
        <v>159</v>
      </c>
      <c r="D105" s="87"/>
      <c r="E105" s="87"/>
      <c r="F105" s="87" t="s">
        <v>16</v>
      </c>
      <c r="G105" s="87"/>
      <c r="H105" s="87"/>
      <c r="I105" s="647"/>
      <c r="J105" s="647"/>
      <c r="K105" s="118"/>
      <c r="L105" s="90"/>
      <c r="M105" s="118">
        <f t="shared" ref="M105:M109" si="0">0.5*N$86</f>
        <v>1</v>
      </c>
      <c r="N105" s="10"/>
    </row>
    <row r="106" spans="2:15" ht="20.25" customHeight="1">
      <c r="B106" s="745"/>
      <c r="C106" s="646" t="s">
        <v>160</v>
      </c>
      <c r="D106" s="87"/>
      <c r="E106" s="87"/>
      <c r="F106" s="87" t="s">
        <v>16</v>
      </c>
      <c r="G106" s="87"/>
      <c r="H106" s="87"/>
      <c r="I106" s="647"/>
      <c r="J106" s="647"/>
      <c r="K106" s="118"/>
      <c r="L106" s="90"/>
      <c r="M106" s="118">
        <f t="shared" si="0"/>
        <v>1</v>
      </c>
      <c r="N106" s="10"/>
    </row>
    <row r="107" spans="2:15" ht="20.25" customHeight="1">
      <c r="B107" s="745"/>
      <c r="C107" s="645" t="s">
        <v>161</v>
      </c>
      <c r="D107" s="87"/>
      <c r="E107" s="87"/>
      <c r="F107" s="87"/>
      <c r="G107" s="87"/>
      <c r="H107" s="87"/>
      <c r="I107" s="647"/>
      <c r="J107" s="647"/>
      <c r="K107" s="118"/>
      <c r="L107" s="90"/>
      <c r="M107" s="118"/>
      <c r="N107" s="10"/>
    </row>
    <row r="108" spans="2:15" ht="20.25" customHeight="1">
      <c r="B108" s="745"/>
      <c r="C108" s="646" t="s">
        <v>162</v>
      </c>
      <c r="D108" s="87"/>
      <c r="E108" s="87"/>
      <c r="F108" s="87" t="s">
        <v>16</v>
      </c>
      <c r="G108" s="87"/>
      <c r="H108" s="87"/>
      <c r="I108" s="647"/>
      <c r="J108" s="647"/>
      <c r="K108" s="118"/>
      <c r="L108" s="90"/>
      <c r="M108" s="118">
        <v>0.5</v>
      </c>
      <c r="N108" s="10"/>
    </row>
    <row r="109" spans="2:15" ht="20.25" customHeight="1">
      <c r="B109" s="745"/>
      <c r="C109" s="646" t="s">
        <v>163</v>
      </c>
      <c r="D109" s="87"/>
      <c r="E109" s="87"/>
      <c r="F109" s="87" t="s">
        <v>16</v>
      </c>
      <c r="G109" s="87"/>
      <c r="H109" s="87"/>
      <c r="I109" s="647"/>
      <c r="J109" s="647"/>
      <c r="K109" s="118"/>
      <c r="L109" s="90"/>
      <c r="M109" s="118">
        <f t="shared" si="0"/>
        <v>1</v>
      </c>
      <c r="N109" s="10"/>
    </row>
    <row r="110" spans="2:15" ht="20.25" customHeight="1">
      <c r="B110" s="775"/>
      <c r="C110" s="651" t="s">
        <v>164</v>
      </c>
      <c r="D110" s="100"/>
      <c r="E110" s="100"/>
      <c r="F110" s="100" t="s">
        <v>16</v>
      </c>
      <c r="G110" s="100"/>
      <c r="H110" s="100"/>
      <c r="I110" s="652"/>
      <c r="J110" s="652"/>
      <c r="K110" s="653"/>
      <c r="L110" s="654"/>
      <c r="M110" s="118">
        <v>0.5</v>
      </c>
      <c r="N110" s="11"/>
    </row>
    <row r="111" spans="2:15" ht="20.25" customHeight="1">
      <c r="B111" s="642"/>
      <c r="C111" s="649" t="s">
        <v>138</v>
      </c>
      <c r="D111" s="130"/>
      <c r="E111" s="86"/>
      <c r="F111" s="86"/>
      <c r="G111" s="130"/>
      <c r="H111" s="130"/>
      <c r="I111" s="650"/>
      <c r="J111" s="650"/>
      <c r="K111" s="130"/>
      <c r="L111" s="89"/>
      <c r="M111" s="89"/>
      <c r="N111" s="9">
        <v>5</v>
      </c>
      <c r="O111" s="390" t="s">
        <v>165</v>
      </c>
    </row>
    <row r="112" spans="2:15" ht="20.25" customHeight="1">
      <c r="B112" s="642"/>
      <c r="C112" s="646" t="s">
        <v>140</v>
      </c>
      <c r="D112" s="87"/>
      <c r="E112" s="87"/>
      <c r="F112" s="87" t="s">
        <v>16</v>
      </c>
      <c r="G112" s="87"/>
      <c r="H112" s="87"/>
      <c r="I112" s="647"/>
      <c r="J112" s="647"/>
      <c r="K112" s="118">
        <f>0.5*N$111</f>
        <v>2.5</v>
      </c>
      <c r="L112" s="90"/>
      <c r="M112" s="90"/>
      <c r="N112" s="10">
        <v>5</v>
      </c>
      <c r="O112" s="390" t="s">
        <v>166</v>
      </c>
    </row>
    <row r="113" spans="2:14" ht="20.25" customHeight="1">
      <c r="B113" s="642"/>
      <c r="C113" s="646" t="s">
        <v>142</v>
      </c>
      <c r="D113" s="87"/>
      <c r="E113" s="87"/>
      <c r="F113" s="87" t="s">
        <v>16</v>
      </c>
      <c r="G113" s="87"/>
      <c r="H113" s="87"/>
      <c r="I113" s="647"/>
      <c r="J113" s="647"/>
      <c r="K113" s="118">
        <f>0.5*N$111</f>
        <v>2.5</v>
      </c>
      <c r="L113" s="90"/>
      <c r="M113" s="90"/>
      <c r="N113" s="10"/>
    </row>
    <row r="114" spans="2:14" ht="20.25" customHeight="1">
      <c r="B114" s="642"/>
      <c r="C114" s="646" t="s">
        <v>143</v>
      </c>
      <c r="D114" s="87"/>
      <c r="E114" s="87"/>
      <c r="F114" s="87" t="s">
        <v>16</v>
      </c>
      <c r="G114" s="87"/>
      <c r="H114" s="87"/>
      <c r="I114" s="647"/>
      <c r="J114" s="647"/>
      <c r="K114" s="118">
        <f>1*N111</f>
        <v>5</v>
      </c>
      <c r="L114" s="90"/>
      <c r="M114" s="90"/>
      <c r="N114" s="10"/>
    </row>
    <row r="115" spans="2:14" ht="20.25" customHeight="1">
      <c r="B115" s="642"/>
      <c r="C115" s="646" t="s">
        <v>144</v>
      </c>
      <c r="D115" s="87"/>
      <c r="E115" s="87"/>
      <c r="F115" s="87" t="s">
        <v>16</v>
      </c>
      <c r="G115" s="87"/>
      <c r="H115" s="87"/>
      <c r="I115" s="647"/>
      <c r="J115" s="647"/>
      <c r="K115" s="118">
        <f>0.5*N111</f>
        <v>2.5</v>
      </c>
      <c r="L115" s="90"/>
      <c r="M115" s="90"/>
      <c r="N115" s="10"/>
    </row>
    <row r="116" spans="2:14" ht="20.25" customHeight="1">
      <c r="B116" s="642"/>
      <c r="C116" s="645" t="s">
        <v>145</v>
      </c>
      <c r="D116" s="87"/>
      <c r="E116" s="87"/>
      <c r="F116" s="87"/>
      <c r="G116" s="87"/>
      <c r="H116" s="87"/>
      <c r="I116" s="647"/>
      <c r="J116" s="647"/>
      <c r="K116" s="118"/>
      <c r="L116" s="90"/>
      <c r="M116" s="90"/>
      <c r="N116" s="10"/>
    </row>
    <row r="117" spans="2:14" ht="20.25" customHeight="1">
      <c r="B117" s="642"/>
      <c r="C117" s="646" t="s">
        <v>146</v>
      </c>
      <c r="D117" s="87" t="s">
        <v>16</v>
      </c>
      <c r="E117" s="87"/>
      <c r="F117" s="87" t="s">
        <v>16</v>
      </c>
      <c r="G117" s="87"/>
      <c r="H117" s="87"/>
      <c r="I117" s="647"/>
      <c r="J117" s="647"/>
      <c r="K117" s="118">
        <f>0.25*N$111</f>
        <v>1.25</v>
      </c>
      <c r="L117" s="90"/>
      <c r="M117" s="90"/>
      <c r="N117" s="10"/>
    </row>
    <row r="118" spans="2:14" ht="20.25" customHeight="1">
      <c r="B118" s="642"/>
      <c r="C118" s="646" t="s">
        <v>147</v>
      </c>
      <c r="D118" s="87" t="s">
        <v>16</v>
      </c>
      <c r="E118" s="87"/>
      <c r="F118" s="87" t="s">
        <v>16</v>
      </c>
      <c r="G118" s="87"/>
      <c r="H118" s="87"/>
      <c r="I118" s="647"/>
      <c r="J118" s="647"/>
      <c r="K118" s="118">
        <f>0.25*N$111</f>
        <v>1.25</v>
      </c>
      <c r="L118" s="90"/>
      <c r="M118" s="90"/>
      <c r="N118" s="10"/>
    </row>
    <row r="119" spans="2:14" ht="20.25" customHeight="1">
      <c r="B119" s="642"/>
      <c r="C119" s="646" t="s">
        <v>148</v>
      </c>
      <c r="D119" s="87" t="s">
        <v>16</v>
      </c>
      <c r="E119" s="87"/>
      <c r="F119" s="87" t="s">
        <v>16</v>
      </c>
      <c r="G119" s="87"/>
      <c r="H119" s="87"/>
      <c r="I119" s="647"/>
      <c r="J119" s="647"/>
      <c r="K119" s="118">
        <f>0.25*N$111</f>
        <v>1.25</v>
      </c>
      <c r="L119" s="90"/>
      <c r="M119" s="90"/>
      <c r="N119" s="10"/>
    </row>
    <row r="120" spans="2:14" ht="20.25" customHeight="1">
      <c r="B120" s="642"/>
      <c r="C120" s="646" t="s">
        <v>149</v>
      </c>
      <c r="D120" s="87"/>
      <c r="E120" s="87"/>
      <c r="F120" s="87" t="s">
        <v>16</v>
      </c>
      <c r="G120" s="87"/>
      <c r="H120" s="87"/>
      <c r="I120" s="647"/>
      <c r="J120" s="647"/>
      <c r="K120" s="118">
        <f>0.25*N$111</f>
        <v>1.25</v>
      </c>
      <c r="L120" s="90"/>
      <c r="M120" s="90"/>
      <c r="N120" s="10"/>
    </row>
    <row r="121" spans="2:14" ht="20.25" customHeight="1">
      <c r="B121" s="642"/>
      <c r="C121" s="645" t="s">
        <v>150</v>
      </c>
      <c r="D121" s="87"/>
      <c r="E121" s="87"/>
      <c r="F121" s="87"/>
      <c r="G121" s="87"/>
      <c r="H121" s="87"/>
      <c r="I121" s="647"/>
      <c r="J121" s="647"/>
      <c r="K121" s="118"/>
      <c r="L121" s="90"/>
      <c r="M121" s="90"/>
      <c r="N121" s="10"/>
    </row>
    <row r="122" spans="2:14" ht="96" customHeight="1">
      <c r="B122" s="642"/>
      <c r="C122" s="648" t="s">
        <v>167</v>
      </c>
      <c r="D122" s="87"/>
      <c r="E122" s="87"/>
      <c r="F122" s="87" t="s">
        <v>16</v>
      </c>
      <c r="G122" s="87"/>
      <c r="H122" s="87"/>
      <c r="I122" s="647"/>
      <c r="J122" s="647"/>
      <c r="K122" s="118">
        <f>0.5*N111</f>
        <v>2.5</v>
      </c>
      <c r="L122" s="90"/>
      <c r="M122" s="90"/>
      <c r="N122" s="10"/>
    </row>
    <row r="123" spans="2:14" ht="20.25" customHeight="1">
      <c r="B123" s="642"/>
      <c r="C123" s="646" t="s">
        <v>152</v>
      </c>
      <c r="D123" s="87"/>
      <c r="E123" s="87"/>
      <c r="F123" s="87" t="s">
        <v>16</v>
      </c>
      <c r="G123" s="87"/>
      <c r="H123" s="87"/>
      <c r="I123" s="647"/>
      <c r="J123" s="647"/>
      <c r="K123" s="118">
        <f>0.5*N111</f>
        <v>2.5</v>
      </c>
      <c r="L123" s="90"/>
      <c r="M123" s="90"/>
      <c r="N123" s="10"/>
    </row>
    <row r="124" spans="2:14" ht="20.25" customHeight="1">
      <c r="B124" s="642"/>
      <c r="C124" s="645" t="s">
        <v>153</v>
      </c>
      <c r="D124" s="87"/>
      <c r="E124" s="87"/>
      <c r="F124" s="87"/>
      <c r="G124" s="87"/>
      <c r="H124" s="87"/>
      <c r="I124" s="647"/>
      <c r="J124" s="647"/>
      <c r="K124" s="118"/>
      <c r="L124" s="90"/>
      <c r="M124" s="90"/>
      <c r="N124" s="10"/>
    </row>
    <row r="125" spans="2:14" ht="20.25" customHeight="1">
      <c r="B125" s="642"/>
      <c r="C125" s="646" t="s">
        <v>168</v>
      </c>
      <c r="D125" s="87"/>
      <c r="E125" s="87"/>
      <c r="F125" s="87" t="s">
        <v>16</v>
      </c>
      <c r="G125" s="87"/>
      <c r="H125" s="87"/>
      <c r="I125" s="647"/>
      <c r="J125" s="647"/>
      <c r="K125" s="118"/>
      <c r="L125" s="90"/>
      <c r="M125" s="118">
        <f>0.5*N$111</f>
        <v>2.5</v>
      </c>
      <c r="N125" s="10"/>
    </row>
    <row r="126" spans="2:14" ht="20.25" customHeight="1">
      <c r="B126" s="642"/>
      <c r="C126" s="646" t="s">
        <v>155</v>
      </c>
      <c r="D126" s="87"/>
      <c r="E126" s="87"/>
      <c r="F126" s="87" t="s">
        <v>16</v>
      </c>
      <c r="G126" s="87"/>
      <c r="H126" s="87"/>
      <c r="I126" s="647"/>
      <c r="J126" s="647"/>
      <c r="K126" s="118"/>
      <c r="L126" s="90"/>
      <c r="M126" s="118">
        <f>0.5*N$111</f>
        <v>2.5</v>
      </c>
      <c r="N126" s="10"/>
    </row>
    <row r="127" spans="2:14" ht="20.25" customHeight="1">
      <c r="B127" s="642"/>
      <c r="C127" s="646" t="s">
        <v>156</v>
      </c>
      <c r="D127" s="87" t="s">
        <v>23</v>
      </c>
      <c r="E127" s="87"/>
      <c r="F127" s="87"/>
      <c r="G127" s="87"/>
      <c r="H127" s="87"/>
      <c r="I127" s="647"/>
      <c r="J127" s="647"/>
      <c r="K127" s="118"/>
      <c r="L127" s="90"/>
      <c r="M127" s="118">
        <f>0.5*N112</f>
        <v>2.5</v>
      </c>
      <c r="N127" s="10"/>
    </row>
    <row r="128" spans="2:14" ht="20.25" customHeight="1">
      <c r="B128" s="642"/>
      <c r="C128" s="645" t="s">
        <v>157</v>
      </c>
      <c r="D128" s="87"/>
      <c r="E128" s="87"/>
      <c r="F128" s="87"/>
      <c r="G128" s="87"/>
      <c r="H128" s="87"/>
      <c r="I128" s="647"/>
      <c r="J128" s="647"/>
      <c r="K128" s="118"/>
      <c r="L128" s="90"/>
      <c r="M128" s="118"/>
      <c r="N128" s="10"/>
    </row>
    <row r="129" spans="2:14" ht="20.25" customHeight="1">
      <c r="B129" s="642"/>
      <c r="C129" s="646" t="s">
        <v>158</v>
      </c>
      <c r="D129" s="87"/>
      <c r="E129" s="87"/>
      <c r="F129" s="87" t="s">
        <v>16</v>
      </c>
      <c r="G129" s="87"/>
      <c r="H129" s="87"/>
      <c r="I129" s="647"/>
      <c r="J129" s="647"/>
      <c r="K129" s="118"/>
      <c r="L129" s="90"/>
      <c r="M129" s="118">
        <f>0.5*N$111</f>
        <v>2.5</v>
      </c>
      <c r="N129" s="10"/>
    </row>
    <row r="130" spans="2:14" ht="20.25" customHeight="1">
      <c r="B130" s="642"/>
      <c r="C130" s="646" t="s">
        <v>159</v>
      </c>
      <c r="D130" s="87"/>
      <c r="E130" s="87"/>
      <c r="F130" s="87" t="s">
        <v>16</v>
      </c>
      <c r="G130" s="87"/>
      <c r="H130" s="87"/>
      <c r="I130" s="647"/>
      <c r="J130" s="647"/>
      <c r="K130" s="118"/>
      <c r="L130" s="90"/>
      <c r="M130" s="118">
        <f>0.5*N$111</f>
        <v>2.5</v>
      </c>
      <c r="N130" s="10"/>
    </row>
    <row r="131" spans="2:14" ht="20.25" customHeight="1">
      <c r="B131" s="642"/>
      <c r="C131" s="646" t="s">
        <v>160</v>
      </c>
      <c r="D131" s="87"/>
      <c r="E131" s="87"/>
      <c r="F131" s="87" t="s">
        <v>16</v>
      </c>
      <c r="G131" s="87"/>
      <c r="H131" s="87"/>
      <c r="I131" s="647"/>
      <c r="J131" s="647"/>
      <c r="K131" s="118"/>
      <c r="L131" s="90"/>
      <c r="M131" s="118">
        <f>0.5*N$111</f>
        <v>2.5</v>
      </c>
      <c r="N131" s="10"/>
    </row>
    <row r="132" spans="2:14" ht="20.25" customHeight="1">
      <c r="B132" s="766" t="s">
        <v>169</v>
      </c>
      <c r="C132" s="645" t="s">
        <v>161</v>
      </c>
      <c r="D132" s="87"/>
      <c r="E132" s="87"/>
      <c r="F132" s="87"/>
      <c r="G132" s="87"/>
      <c r="H132" s="87"/>
      <c r="I132" s="647"/>
      <c r="J132" s="647"/>
      <c r="K132" s="118"/>
      <c r="L132" s="90"/>
      <c r="M132" s="118"/>
      <c r="N132" s="10"/>
    </row>
    <row r="133" spans="2:14" ht="20.25" customHeight="1">
      <c r="B133" s="745"/>
      <c r="C133" s="646" t="s">
        <v>162</v>
      </c>
      <c r="D133" s="87"/>
      <c r="E133" s="87"/>
      <c r="F133" s="87" t="s">
        <v>16</v>
      </c>
      <c r="G133" s="87"/>
      <c r="H133" s="87"/>
      <c r="I133" s="647"/>
      <c r="J133" s="647"/>
      <c r="K133" s="118"/>
      <c r="L133" s="90"/>
      <c r="M133" s="118">
        <v>0.5</v>
      </c>
      <c r="N133" s="10"/>
    </row>
    <row r="134" spans="2:14" ht="20.25" customHeight="1">
      <c r="B134" s="745"/>
      <c r="C134" s="646" t="s">
        <v>163</v>
      </c>
      <c r="D134" s="87"/>
      <c r="E134" s="87"/>
      <c r="F134" s="87" t="s">
        <v>16</v>
      </c>
      <c r="G134" s="87"/>
      <c r="H134" s="87"/>
      <c r="I134" s="647"/>
      <c r="J134" s="647"/>
      <c r="K134" s="118"/>
      <c r="L134" s="90"/>
      <c r="M134" s="118">
        <v>1</v>
      </c>
      <c r="N134" s="10"/>
    </row>
    <row r="135" spans="2:14" ht="20.25" customHeight="1">
      <c r="B135" s="745"/>
      <c r="C135" s="651" t="s">
        <v>164</v>
      </c>
      <c r="D135" s="100"/>
      <c r="E135" s="100"/>
      <c r="F135" s="100" t="s">
        <v>16</v>
      </c>
      <c r="G135" s="100"/>
      <c r="H135" s="100"/>
      <c r="I135" s="652"/>
      <c r="J135" s="652"/>
      <c r="K135" s="653"/>
      <c r="L135" s="654"/>
      <c r="M135" s="118">
        <v>0.5</v>
      </c>
      <c r="N135" s="11"/>
    </row>
    <row r="136" spans="2:14" ht="20.25" customHeight="1">
      <c r="B136" s="774" t="s">
        <v>170</v>
      </c>
      <c r="C136" s="72" t="s">
        <v>171</v>
      </c>
      <c r="D136" s="101"/>
      <c r="E136" s="101"/>
      <c r="F136" s="101" t="s">
        <v>16</v>
      </c>
      <c r="G136" s="101"/>
      <c r="H136" s="101"/>
      <c r="I136" s="24"/>
      <c r="J136" s="24"/>
      <c r="K136" s="101">
        <v>6</v>
      </c>
      <c r="L136" s="101"/>
      <c r="M136" s="101"/>
      <c r="N136" s="31"/>
    </row>
    <row r="137" spans="2:14" ht="20.25" customHeight="1">
      <c r="B137" s="771"/>
      <c r="C137" s="64" t="s">
        <v>172</v>
      </c>
      <c r="D137" s="94"/>
      <c r="E137" s="94"/>
      <c r="F137" s="94" t="s">
        <v>16</v>
      </c>
      <c r="G137" s="94"/>
      <c r="H137" s="94"/>
      <c r="I137" s="6"/>
      <c r="J137" s="6"/>
      <c r="K137" s="94">
        <v>2</v>
      </c>
      <c r="L137" s="94"/>
      <c r="M137" s="101"/>
      <c r="N137" s="10"/>
    </row>
    <row r="138" spans="2:14" ht="20.25" customHeight="1">
      <c r="B138" s="771"/>
      <c r="C138" s="64" t="s">
        <v>173</v>
      </c>
      <c r="D138" s="94"/>
      <c r="E138" s="94"/>
      <c r="F138" s="94" t="s">
        <v>16</v>
      </c>
      <c r="G138" s="94"/>
      <c r="H138" s="94"/>
      <c r="I138" s="6"/>
      <c r="J138" s="6"/>
      <c r="K138" s="94">
        <v>4</v>
      </c>
      <c r="L138" s="94"/>
      <c r="M138" s="101"/>
      <c r="N138" s="10"/>
    </row>
    <row r="139" spans="2:14" ht="20.25" customHeight="1">
      <c r="B139" s="771"/>
      <c r="C139" s="64" t="s">
        <v>174</v>
      </c>
      <c r="D139" s="94"/>
      <c r="E139" s="94"/>
      <c r="F139" s="94" t="s">
        <v>16</v>
      </c>
      <c r="G139" s="94"/>
      <c r="H139" s="94"/>
      <c r="I139" s="6"/>
      <c r="J139" s="6"/>
      <c r="K139" s="94">
        <v>6</v>
      </c>
      <c r="L139" s="94"/>
      <c r="M139" s="101"/>
      <c r="N139" s="10"/>
    </row>
    <row r="140" spans="2:14" ht="20.25" customHeight="1">
      <c r="B140" s="771"/>
      <c r="C140" s="64" t="s">
        <v>175</v>
      </c>
      <c r="D140" s="94"/>
      <c r="E140" s="94"/>
      <c r="F140" s="94" t="s">
        <v>16</v>
      </c>
      <c r="G140" s="94"/>
      <c r="H140" s="94"/>
      <c r="I140" s="6"/>
      <c r="J140" s="6"/>
      <c r="K140" s="94">
        <v>2</v>
      </c>
      <c r="L140" s="94"/>
      <c r="M140" s="101"/>
      <c r="N140" s="10"/>
    </row>
    <row r="141" spans="2:14" ht="20.25" customHeight="1">
      <c r="B141" s="771"/>
      <c r="C141" s="64" t="s">
        <v>176</v>
      </c>
      <c r="D141" s="94"/>
      <c r="E141" s="94"/>
      <c r="F141" s="94" t="s">
        <v>16</v>
      </c>
      <c r="G141" s="94"/>
      <c r="H141" s="94"/>
      <c r="I141" s="6"/>
      <c r="J141" s="6"/>
      <c r="K141" s="94">
        <v>6</v>
      </c>
      <c r="L141" s="94"/>
      <c r="M141" s="101"/>
      <c r="N141" s="10"/>
    </row>
    <row r="142" spans="2:14" ht="20.25" customHeight="1">
      <c r="B142" s="771"/>
      <c r="C142" s="64" t="s">
        <v>177</v>
      </c>
      <c r="D142" s="94"/>
      <c r="E142" s="94"/>
      <c r="F142" s="94" t="s">
        <v>16</v>
      </c>
      <c r="G142" s="94"/>
      <c r="H142" s="94"/>
      <c r="I142" s="6"/>
      <c r="J142" s="6"/>
      <c r="K142" s="94">
        <v>4</v>
      </c>
      <c r="L142" s="94"/>
      <c r="M142" s="101"/>
      <c r="N142" s="10"/>
    </row>
    <row r="143" spans="2:14" ht="20.25" customHeight="1">
      <c r="B143" s="771"/>
      <c r="C143" s="64" t="s">
        <v>178</v>
      </c>
      <c r="D143" s="94"/>
      <c r="E143" s="94"/>
      <c r="F143" s="94" t="s">
        <v>16</v>
      </c>
      <c r="G143" s="94"/>
      <c r="H143" s="94"/>
      <c r="I143" s="6"/>
      <c r="J143" s="6"/>
      <c r="K143" s="94">
        <v>8</v>
      </c>
      <c r="L143" s="94"/>
      <c r="M143" s="101"/>
      <c r="N143" s="10"/>
    </row>
    <row r="144" spans="2:14" ht="20.25" customHeight="1">
      <c r="B144" s="771"/>
      <c r="C144" s="64" t="s">
        <v>179</v>
      </c>
      <c r="D144" s="94"/>
      <c r="E144" s="94"/>
      <c r="F144" s="94" t="s">
        <v>16</v>
      </c>
      <c r="G144" s="94"/>
      <c r="H144" s="94"/>
      <c r="I144" s="6"/>
      <c r="J144" s="6"/>
      <c r="K144" s="94">
        <v>30</v>
      </c>
      <c r="L144" s="94">
        <v>15</v>
      </c>
      <c r="M144" s="101">
        <v>15</v>
      </c>
      <c r="N144" s="10"/>
    </row>
    <row r="145" spans="2:15" ht="20.25" customHeight="1">
      <c r="B145" s="772"/>
      <c r="C145" s="73" t="s">
        <v>180</v>
      </c>
      <c r="D145" s="95"/>
      <c r="E145" s="95"/>
      <c r="F145" s="95" t="s">
        <v>16</v>
      </c>
      <c r="G145" s="95"/>
      <c r="H145" s="95"/>
      <c r="I145" s="28"/>
      <c r="J145" s="28"/>
      <c r="K145" s="95">
        <v>8</v>
      </c>
      <c r="L145" s="95">
        <v>4</v>
      </c>
      <c r="M145" s="124">
        <v>2</v>
      </c>
      <c r="N145" s="16"/>
    </row>
    <row r="146" spans="2:15" ht="20.25" customHeight="1">
      <c r="B146" s="750" t="s">
        <v>181</v>
      </c>
      <c r="C146" s="663" t="s">
        <v>182</v>
      </c>
      <c r="D146" s="96"/>
      <c r="E146" s="96"/>
      <c r="F146" s="96"/>
      <c r="G146" s="96"/>
      <c r="H146" s="96"/>
      <c r="I146" s="27"/>
      <c r="J146" s="27"/>
      <c r="K146" s="125"/>
      <c r="L146" s="130"/>
      <c r="M146" s="130"/>
      <c r="N146" s="9"/>
    </row>
    <row r="147" spans="2:15" ht="20.25" customHeight="1">
      <c r="B147" s="751"/>
      <c r="C147" s="662" t="s">
        <v>183</v>
      </c>
      <c r="D147" s="97"/>
      <c r="E147" s="97"/>
      <c r="F147" s="97"/>
      <c r="G147" s="97"/>
      <c r="H147" s="97"/>
      <c r="I147" s="7"/>
      <c r="J147" s="7"/>
      <c r="K147" s="126"/>
      <c r="N147" s="10">
        <v>1</v>
      </c>
      <c r="O147" t="s">
        <v>184</v>
      </c>
    </row>
    <row r="148" spans="2:15" ht="20.25" customHeight="1">
      <c r="B148" s="751"/>
      <c r="C148" s="73" t="s">
        <v>185</v>
      </c>
      <c r="D148" s="97" t="s">
        <v>23</v>
      </c>
      <c r="E148" s="97"/>
      <c r="F148" s="97"/>
      <c r="G148" s="97"/>
      <c r="H148" s="97"/>
      <c r="I148" s="7"/>
      <c r="J148" s="7"/>
      <c r="K148" s="126">
        <f>0.25*N$147</f>
        <v>0.25</v>
      </c>
      <c r="N148" s="10"/>
    </row>
    <row r="149" spans="2:15" ht="20.25" customHeight="1">
      <c r="B149" s="751"/>
      <c r="C149" s="73" t="s">
        <v>186</v>
      </c>
      <c r="D149" s="97" t="s">
        <v>23</v>
      </c>
      <c r="E149" s="97"/>
      <c r="F149" s="97"/>
      <c r="G149" s="97"/>
      <c r="H149" s="97"/>
      <c r="I149" s="7"/>
      <c r="J149" s="7"/>
      <c r="K149" s="126">
        <f t="shared" ref="K149:K160" si="1">0.25*N$147</f>
        <v>0.25</v>
      </c>
      <c r="N149" s="10"/>
    </row>
    <row r="150" spans="2:15" ht="20.25" customHeight="1">
      <c r="B150" s="751"/>
      <c r="C150" s="73" t="s">
        <v>187</v>
      </c>
      <c r="D150" s="97" t="s">
        <v>23</v>
      </c>
      <c r="E150" s="97"/>
      <c r="F150" s="97"/>
      <c r="G150" s="97"/>
      <c r="H150" s="97"/>
      <c r="I150" s="7"/>
      <c r="J150" s="7"/>
      <c r="K150" s="126">
        <f t="shared" si="1"/>
        <v>0.25</v>
      </c>
      <c r="N150" s="10"/>
    </row>
    <row r="151" spans="2:15" ht="20.25" customHeight="1">
      <c r="B151" s="751"/>
      <c r="C151" s="73" t="s">
        <v>188</v>
      </c>
      <c r="D151" s="97" t="s">
        <v>23</v>
      </c>
      <c r="E151" s="97"/>
      <c r="F151" s="97"/>
      <c r="G151" s="97"/>
      <c r="H151" s="97"/>
      <c r="I151" s="7"/>
      <c r="J151" s="7"/>
      <c r="K151" s="126">
        <f t="shared" si="1"/>
        <v>0.25</v>
      </c>
      <c r="N151" s="10"/>
    </row>
    <row r="152" spans="2:15" ht="20.25" customHeight="1">
      <c r="B152" s="751"/>
      <c r="C152" s="73" t="s">
        <v>189</v>
      </c>
      <c r="D152" s="97" t="s">
        <v>23</v>
      </c>
      <c r="E152" s="97"/>
      <c r="F152" s="97"/>
      <c r="G152" s="97"/>
      <c r="H152" s="97"/>
      <c r="I152" s="7"/>
      <c r="J152" s="7"/>
      <c r="K152" s="126">
        <f t="shared" si="1"/>
        <v>0.25</v>
      </c>
      <c r="N152" s="10"/>
    </row>
    <row r="153" spans="2:15" ht="20.25" customHeight="1">
      <c r="B153" s="751"/>
      <c r="C153" s="73" t="s">
        <v>190</v>
      </c>
      <c r="D153" s="97" t="s">
        <v>23</v>
      </c>
      <c r="E153" s="97"/>
      <c r="F153" s="97"/>
      <c r="G153" s="97"/>
      <c r="H153" s="97"/>
      <c r="I153" s="7"/>
      <c r="J153" s="7"/>
      <c r="K153" s="126">
        <f t="shared" si="1"/>
        <v>0.25</v>
      </c>
      <c r="N153" s="10"/>
    </row>
    <row r="154" spans="2:15" ht="20.25" customHeight="1">
      <c r="B154" s="751"/>
      <c r="C154" s="73" t="s">
        <v>191</v>
      </c>
      <c r="D154" s="97" t="s">
        <v>23</v>
      </c>
      <c r="E154" s="97"/>
      <c r="F154" s="97"/>
      <c r="G154" s="97"/>
      <c r="H154" s="97"/>
      <c r="I154" s="7"/>
      <c r="J154" s="7"/>
      <c r="K154" s="126">
        <f t="shared" si="1"/>
        <v>0.25</v>
      </c>
      <c r="N154" s="10"/>
    </row>
    <row r="155" spans="2:15" ht="20.25" customHeight="1">
      <c r="B155" s="751"/>
      <c r="C155" s="662" t="s">
        <v>192</v>
      </c>
      <c r="D155" s="97" t="s">
        <v>23</v>
      </c>
      <c r="E155" s="97"/>
      <c r="F155" s="97"/>
      <c r="G155" s="97"/>
      <c r="H155" s="97"/>
      <c r="I155" s="7"/>
      <c r="J155" s="7"/>
      <c r="K155" s="126">
        <f t="shared" si="1"/>
        <v>0.25</v>
      </c>
      <c r="N155" s="10"/>
    </row>
    <row r="156" spans="2:15" ht="20.25" customHeight="1">
      <c r="B156" s="751"/>
      <c r="C156" s="662" t="s">
        <v>193</v>
      </c>
      <c r="D156" s="97" t="s">
        <v>23</v>
      </c>
      <c r="E156" s="97"/>
      <c r="F156" s="97"/>
      <c r="G156" s="97"/>
      <c r="H156" s="97"/>
      <c r="I156" s="7"/>
      <c r="J156" s="7"/>
      <c r="K156" s="126"/>
      <c r="N156" s="10"/>
    </row>
    <row r="157" spans="2:15" ht="20.25" customHeight="1">
      <c r="B157" s="751"/>
      <c r="C157" s="73" t="s">
        <v>194</v>
      </c>
      <c r="D157" s="97" t="s">
        <v>23</v>
      </c>
      <c r="E157" s="97"/>
      <c r="F157" s="97"/>
      <c r="G157" s="97"/>
      <c r="H157" s="97"/>
      <c r="I157" s="7"/>
      <c r="J157" s="7"/>
      <c r="K157" s="126">
        <f t="shared" si="1"/>
        <v>0.25</v>
      </c>
      <c r="N157" s="10"/>
    </row>
    <row r="158" spans="2:15" ht="20.25" customHeight="1">
      <c r="B158" s="751"/>
      <c r="C158" s="73" t="s">
        <v>195</v>
      </c>
      <c r="D158" s="97" t="s">
        <v>23</v>
      </c>
      <c r="E158" s="97"/>
      <c r="F158" s="97"/>
      <c r="G158" s="97"/>
      <c r="H158" s="97"/>
      <c r="I158" s="7"/>
      <c r="J158" s="7"/>
      <c r="K158" s="126">
        <f t="shared" si="1"/>
        <v>0.25</v>
      </c>
      <c r="N158" s="10"/>
    </row>
    <row r="159" spans="2:15" ht="20.25" customHeight="1">
      <c r="B159" s="751"/>
      <c r="C159" s="73" t="s">
        <v>196</v>
      </c>
      <c r="D159" s="97" t="s">
        <v>23</v>
      </c>
      <c r="E159" s="97"/>
      <c r="F159" s="97"/>
      <c r="G159" s="97"/>
      <c r="H159" s="97"/>
      <c r="I159" s="7"/>
      <c r="J159" s="7"/>
      <c r="K159" s="126">
        <f t="shared" si="1"/>
        <v>0.25</v>
      </c>
      <c r="N159" s="10"/>
    </row>
    <row r="160" spans="2:15" ht="20.25" customHeight="1">
      <c r="B160" s="751"/>
      <c r="C160" s="73" t="s">
        <v>197</v>
      </c>
      <c r="D160" s="97" t="s">
        <v>23</v>
      </c>
      <c r="E160" s="97"/>
      <c r="F160" s="97"/>
      <c r="G160" s="97"/>
      <c r="H160" s="97"/>
      <c r="I160" s="7"/>
      <c r="J160" s="7"/>
      <c r="K160" s="126">
        <f t="shared" si="1"/>
        <v>0.25</v>
      </c>
      <c r="N160" s="10"/>
    </row>
    <row r="161" spans="2:15" ht="20.25" customHeight="1">
      <c r="B161" s="751"/>
      <c r="C161" s="73" t="s">
        <v>198</v>
      </c>
      <c r="D161" s="98" t="s">
        <v>23</v>
      </c>
      <c r="E161" s="98"/>
      <c r="F161" s="98"/>
      <c r="G161" s="98"/>
      <c r="H161" s="98"/>
      <c r="I161" s="29"/>
      <c r="J161" s="29"/>
      <c r="K161" s="126">
        <f>0.5*N147</f>
        <v>0.5</v>
      </c>
      <c r="L161" s="131"/>
      <c r="M161" s="131"/>
      <c r="N161" s="10"/>
    </row>
    <row r="162" spans="2:15" ht="20.25" customHeight="1">
      <c r="B162" s="752"/>
      <c r="C162" s="662" t="s">
        <v>199</v>
      </c>
      <c r="D162" s="88" t="s">
        <v>23</v>
      </c>
      <c r="E162" s="88"/>
      <c r="F162" s="88"/>
      <c r="G162" s="88"/>
      <c r="H162" s="88"/>
      <c r="I162" s="661"/>
      <c r="J162" s="647"/>
      <c r="K162" s="118"/>
      <c r="N162" s="656"/>
    </row>
    <row r="163" spans="2:15" ht="20.25" customHeight="1">
      <c r="B163" s="753"/>
      <c r="C163" s="73" t="s">
        <v>200</v>
      </c>
      <c r="D163" s="87" t="s">
        <v>23</v>
      </c>
      <c r="E163" s="87"/>
      <c r="F163" s="87"/>
      <c r="G163" s="87"/>
      <c r="H163" s="87"/>
      <c r="I163" s="647"/>
      <c r="J163" s="660"/>
      <c r="K163" s="118">
        <f>1*N$147</f>
        <v>1</v>
      </c>
      <c r="N163" s="657"/>
    </row>
    <row r="164" spans="2:15" ht="20.25" customHeight="1">
      <c r="B164" s="753"/>
      <c r="C164" s="73" t="s">
        <v>201</v>
      </c>
      <c r="D164" s="87" t="s">
        <v>23</v>
      </c>
      <c r="E164" s="87"/>
      <c r="F164" s="87"/>
      <c r="G164" s="87"/>
      <c r="H164" s="87"/>
      <c r="I164" s="647"/>
      <c r="J164" s="660"/>
      <c r="K164" s="118">
        <f>1*N$147</f>
        <v>1</v>
      </c>
      <c r="N164" s="657"/>
    </row>
    <row r="165" spans="2:15" ht="20.25" customHeight="1">
      <c r="B165" s="753"/>
      <c r="C165" s="659" t="s">
        <v>202</v>
      </c>
      <c r="D165" s="87"/>
      <c r="E165" s="87"/>
      <c r="F165" s="87"/>
      <c r="G165" s="87"/>
      <c r="H165" s="87"/>
      <c r="I165" s="647"/>
      <c r="J165" s="660"/>
      <c r="K165" s="118"/>
      <c r="N165" s="657">
        <v>2</v>
      </c>
      <c r="O165" t="s">
        <v>203</v>
      </c>
    </row>
    <row r="166" spans="2:15" ht="20.25" customHeight="1">
      <c r="B166" s="753"/>
      <c r="C166" s="149" t="s">
        <v>204</v>
      </c>
      <c r="D166" s="87"/>
      <c r="E166" s="87"/>
      <c r="F166" s="87" t="s">
        <v>23</v>
      </c>
      <c r="G166" s="87"/>
      <c r="H166" s="87"/>
      <c r="I166" s="647"/>
      <c r="J166" s="660"/>
      <c r="K166" s="118">
        <f>1*N$165</f>
        <v>2</v>
      </c>
      <c r="N166" s="657"/>
    </row>
    <row r="167" spans="2:15" ht="20.25" customHeight="1">
      <c r="B167" s="753"/>
      <c r="C167" s="149" t="s">
        <v>205</v>
      </c>
      <c r="D167" s="87"/>
      <c r="E167" s="87"/>
      <c r="F167" s="87" t="s">
        <v>23</v>
      </c>
      <c r="G167" s="87"/>
      <c r="H167" s="87"/>
      <c r="I167" s="647"/>
      <c r="J167" s="660"/>
      <c r="K167" s="118">
        <f>0.25*N$165</f>
        <v>0.5</v>
      </c>
      <c r="N167" s="657"/>
    </row>
    <row r="168" spans="2:15" ht="20.25" customHeight="1">
      <c r="B168" s="753"/>
      <c r="C168" s="149" t="s">
        <v>206</v>
      </c>
      <c r="D168" s="87"/>
      <c r="E168" s="87"/>
      <c r="F168" s="87" t="s">
        <v>23</v>
      </c>
      <c r="G168" s="87"/>
      <c r="H168" s="87"/>
      <c r="I168" s="647"/>
      <c r="J168" s="660"/>
      <c r="K168" s="118">
        <f>0.25*N$165</f>
        <v>0.5</v>
      </c>
      <c r="N168" s="657"/>
    </row>
    <row r="169" spans="2:15" ht="20.25" customHeight="1">
      <c r="B169" s="753"/>
      <c r="C169" s="149" t="s">
        <v>207</v>
      </c>
      <c r="D169" s="87"/>
      <c r="E169" s="87"/>
      <c r="F169" s="87" t="s">
        <v>23</v>
      </c>
      <c r="G169" s="87"/>
      <c r="H169" s="87"/>
      <c r="I169" s="647"/>
      <c r="J169" s="660"/>
      <c r="K169" s="118">
        <f>0.25*N$165</f>
        <v>0.5</v>
      </c>
    </row>
    <row r="170" spans="2:15" ht="20.25" customHeight="1">
      <c r="B170" s="753"/>
      <c r="C170" s="149" t="s">
        <v>208</v>
      </c>
      <c r="D170" s="87"/>
      <c r="E170" s="87"/>
      <c r="F170" s="87" t="s">
        <v>23</v>
      </c>
      <c r="G170" s="87"/>
      <c r="H170" s="87"/>
      <c r="I170" s="647"/>
      <c r="J170" s="660"/>
      <c r="K170" s="118">
        <f>0.25*N$165</f>
        <v>0.5</v>
      </c>
      <c r="N170" s="657"/>
    </row>
    <row r="171" spans="2:15" ht="20.25" customHeight="1">
      <c r="B171" s="753"/>
      <c r="C171" s="659" t="s">
        <v>209</v>
      </c>
      <c r="D171" s="659"/>
      <c r="E171" s="659"/>
      <c r="F171" s="659"/>
      <c r="G171" s="659"/>
      <c r="H171" s="659"/>
      <c r="I171" s="659"/>
      <c r="J171" s="659"/>
      <c r="K171" s="659"/>
      <c r="N171" s="657">
        <v>50</v>
      </c>
      <c r="O171" t="s">
        <v>210</v>
      </c>
    </row>
    <row r="172" spans="2:15" ht="20.25" customHeight="1">
      <c r="B172" s="753"/>
      <c r="C172" s="147" t="s">
        <v>211</v>
      </c>
      <c r="D172" s="87"/>
      <c r="E172" s="87"/>
      <c r="F172" s="87" t="s">
        <v>23</v>
      </c>
      <c r="G172" s="87"/>
      <c r="H172" s="87"/>
      <c r="I172" s="647"/>
      <c r="J172" s="660"/>
      <c r="K172" s="118">
        <f>0.25*N171</f>
        <v>12.5</v>
      </c>
      <c r="N172" s="657">
        <v>50</v>
      </c>
      <c r="O172" t="s">
        <v>212</v>
      </c>
    </row>
    <row r="173" spans="2:15" ht="20.25" customHeight="1">
      <c r="B173" s="753"/>
      <c r="C173" s="147" t="s">
        <v>213</v>
      </c>
      <c r="D173" s="87"/>
      <c r="E173" s="87"/>
      <c r="F173" s="87" t="s">
        <v>23</v>
      </c>
      <c r="G173" s="87"/>
      <c r="H173" s="87"/>
      <c r="I173" s="647"/>
      <c r="J173" s="660"/>
      <c r="K173" s="118">
        <v>0.5</v>
      </c>
      <c r="N173" s="657"/>
    </row>
    <row r="174" spans="2:15" ht="20.25" customHeight="1">
      <c r="B174" s="753"/>
      <c r="C174" s="147" t="s">
        <v>214</v>
      </c>
      <c r="D174" s="87"/>
      <c r="E174" s="87"/>
      <c r="F174" s="87" t="s">
        <v>23</v>
      </c>
      <c r="G174" s="87"/>
      <c r="H174" s="87"/>
      <c r="I174" s="647"/>
      <c r="J174" s="660"/>
      <c r="K174" s="118">
        <v>0.5</v>
      </c>
      <c r="N174" s="657"/>
    </row>
    <row r="175" spans="2:15" ht="20.25" customHeight="1">
      <c r="B175" s="753"/>
      <c r="C175" s="659" t="s">
        <v>215</v>
      </c>
      <c r="D175" s="659"/>
      <c r="E175" s="659"/>
      <c r="F175" s="659"/>
      <c r="G175" s="659"/>
      <c r="H175" s="659"/>
      <c r="I175" s="659"/>
      <c r="J175" s="659"/>
      <c r="K175" s="659"/>
      <c r="L175" s="659"/>
      <c r="N175" s="657"/>
    </row>
    <row r="176" spans="2:15" ht="20.25" customHeight="1">
      <c r="B176" s="753"/>
      <c r="C176" s="147" t="s">
        <v>216</v>
      </c>
      <c r="D176" s="87" t="s">
        <v>23</v>
      </c>
      <c r="E176" s="87"/>
      <c r="F176" s="87" t="s">
        <v>23</v>
      </c>
      <c r="G176" s="87"/>
      <c r="H176" s="87"/>
      <c r="I176" s="647"/>
      <c r="J176" s="660"/>
      <c r="K176" s="118">
        <f>1*N165</f>
        <v>2</v>
      </c>
      <c r="N176" s="657"/>
    </row>
    <row r="177" spans="2:14" ht="20.25" customHeight="1">
      <c r="B177" s="753"/>
      <c r="C177" s="147" t="s">
        <v>217</v>
      </c>
      <c r="D177" s="87"/>
      <c r="E177" s="87"/>
      <c r="F177" s="87" t="s">
        <v>23</v>
      </c>
      <c r="G177" s="87"/>
      <c r="H177" s="87"/>
      <c r="I177" s="647"/>
      <c r="J177" s="660"/>
      <c r="K177" s="118">
        <f>N171</f>
        <v>50</v>
      </c>
      <c r="N177" s="657"/>
    </row>
    <row r="178" spans="2:14" ht="20.25" customHeight="1">
      <c r="B178" s="753"/>
      <c r="C178" s="147" t="s">
        <v>218</v>
      </c>
      <c r="D178" s="87"/>
      <c r="E178" s="87"/>
      <c r="F178" s="87" t="s">
        <v>23</v>
      </c>
      <c r="G178" s="87"/>
      <c r="H178" s="87"/>
      <c r="I178" s="647"/>
      <c r="J178" s="660"/>
      <c r="K178" s="118">
        <v>0.5</v>
      </c>
      <c r="N178" s="657"/>
    </row>
    <row r="179" spans="2:14" ht="20.25" customHeight="1">
      <c r="B179" s="753"/>
      <c r="C179" s="659" t="s">
        <v>219</v>
      </c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7"/>
    </row>
    <row r="180" spans="2:14" ht="20.25" customHeight="1">
      <c r="B180" s="753"/>
      <c r="C180" s="149" t="s">
        <v>220</v>
      </c>
      <c r="D180" s="87"/>
      <c r="E180" s="87"/>
      <c r="F180" s="87" t="s">
        <v>23</v>
      </c>
      <c r="G180" s="87"/>
      <c r="H180" s="87"/>
      <c r="I180" s="647"/>
      <c r="J180" s="660"/>
      <c r="K180" s="118">
        <v>0.5</v>
      </c>
      <c r="N180" s="657"/>
    </row>
    <row r="181" spans="2:14" ht="20.25" customHeight="1">
      <c r="B181" s="753"/>
      <c r="C181" s="149" t="s">
        <v>221</v>
      </c>
      <c r="D181" s="87"/>
      <c r="E181" s="87"/>
      <c r="F181" s="87" t="s">
        <v>23</v>
      </c>
      <c r="G181" s="87"/>
      <c r="H181" s="87"/>
      <c r="I181" s="647"/>
      <c r="J181" s="660"/>
      <c r="K181" s="118">
        <v>0.5</v>
      </c>
      <c r="N181" s="657"/>
    </row>
    <row r="182" spans="2:14" ht="20.25" customHeight="1">
      <c r="B182" s="753"/>
      <c r="C182" s="149" t="s">
        <v>222</v>
      </c>
      <c r="D182" s="87"/>
      <c r="E182" s="87"/>
      <c r="F182" s="87" t="s">
        <v>23</v>
      </c>
      <c r="G182" s="87"/>
      <c r="H182" s="87"/>
      <c r="I182" s="647"/>
      <c r="J182" s="660"/>
      <c r="K182" s="118">
        <v>1</v>
      </c>
      <c r="N182" s="657"/>
    </row>
    <row r="183" spans="2:14" ht="20.25" customHeight="1">
      <c r="B183" s="753"/>
      <c r="C183" s="659" t="s">
        <v>223</v>
      </c>
      <c r="D183" s="659"/>
      <c r="E183" s="659"/>
      <c r="F183" s="659"/>
      <c r="G183" s="659"/>
      <c r="H183" s="659"/>
      <c r="I183" s="659"/>
      <c r="J183" s="659"/>
      <c r="K183" s="659"/>
      <c r="L183" s="659"/>
      <c r="M183" s="659"/>
      <c r="N183" s="657"/>
    </row>
    <row r="184" spans="2:14" ht="20.25" customHeight="1">
      <c r="B184" s="753"/>
      <c r="C184" s="149" t="s">
        <v>224</v>
      </c>
      <c r="D184" s="87"/>
      <c r="E184" s="87"/>
      <c r="F184" s="87" t="s">
        <v>23</v>
      </c>
      <c r="G184" s="87"/>
      <c r="H184" s="87"/>
      <c r="I184" s="660"/>
      <c r="J184" s="660"/>
      <c r="K184" s="118"/>
      <c r="M184" s="116">
        <v>1</v>
      </c>
      <c r="N184" s="657"/>
    </row>
    <row r="185" spans="2:14" ht="20.25" customHeight="1">
      <c r="B185" s="753"/>
      <c r="C185" s="149" t="s">
        <v>225</v>
      </c>
      <c r="D185" s="87"/>
      <c r="E185" s="87"/>
      <c r="F185" s="87" t="s">
        <v>23</v>
      </c>
      <c r="G185" s="87"/>
      <c r="H185" s="87"/>
      <c r="I185" s="660"/>
      <c r="J185" s="660"/>
      <c r="K185" s="118"/>
      <c r="M185" s="116">
        <v>0.5</v>
      </c>
      <c r="N185" s="657"/>
    </row>
    <row r="186" spans="2:14" ht="20.25" customHeight="1">
      <c r="B186" s="753"/>
      <c r="C186" s="149" t="s">
        <v>226</v>
      </c>
      <c r="D186" s="87"/>
      <c r="E186" s="87"/>
      <c r="F186" s="87" t="s">
        <v>23</v>
      </c>
      <c r="G186" s="87"/>
      <c r="H186" s="87"/>
      <c r="I186" s="660"/>
      <c r="J186" s="660"/>
      <c r="K186" s="118"/>
      <c r="M186" s="116">
        <v>0.5</v>
      </c>
      <c r="N186" s="657"/>
    </row>
    <row r="187" spans="2:14" ht="20.25" customHeight="1">
      <c r="B187" s="753"/>
      <c r="C187" s="674" t="s">
        <v>227</v>
      </c>
      <c r="D187" s="87" t="s">
        <v>16</v>
      </c>
      <c r="E187" s="87"/>
      <c r="F187" s="87"/>
      <c r="G187" s="87"/>
      <c r="H187" s="87"/>
      <c r="I187" s="660"/>
      <c r="J187" s="660"/>
      <c r="K187" s="118"/>
      <c r="M187" s="116">
        <f>0.5*N165</f>
        <v>1</v>
      </c>
      <c r="N187" s="657"/>
    </row>
    <row r="188" spans="2:14" ht="20.25" customHeight="1">
      <c r="B188" s="753"/>
      <c r="C188" s="674" t="s">
        <v>228</v>
      </c>
      <c r="D188" s="87" t="s">
        <v>16</v>
      </c>
      <c r="E188" s="87"/>
      <c r="F188" s="87"/>
      <c r="G188" s="87"/>
      <c r="H188" s="87"/>
      <c r="I188" s="660"/>
      <c r="J188" s="660"/>
      <c r="K188" s="118"/>
      <c r="M188" s="116">
        <f>0.5*N172</f>
        <v>25</v>
      </c>
      <c r="N188" s="657"/>
    </row>
    <row r="189" spans="2:14" ht="20.25" customHeight="1">
      <c r="B189" s="753"/>
      <c r="C189" s="675" t="s">
        <v>229</v>
      </c>
      <c r="D189" s="676" t="s">
        <v>230</v>
      </c>
      <c r="E189" s="676" t="s">
        <v>230</v>
      </c>
      <c r="F189" s="676" t="s">
        <v>230</v>
      </c>
      <c r="G189" s="676" t="s">
        <v>230</v>
      </c>
      <c r="H189" s="676" t="s">
        <v>230</v>
      </c>
      <c r="I189" s="665" t="s">
        <v>230</v>
      </c>
      <c r="J189" s="665" t="s">
        <v>230</v>
      </c>
      <c r="K189" s="664" t="s">
        <v>230</v>
      </c>
      <c r="L189" s="664" t="s">
        <v>230</v>
      </c>
      <c r="M189" s="666" t="s">
        <v>230</v>
      </c>
      <c r="N189" s="657"/>
    </row>
    <row r="190" spans="2:14" ht="20.25" customHeight="1">
      <c r="B190" s="753"/>
      <c r="C190" s="667" t="s">
        <v>162</v>
      </c>
      <c r="D190" s="667" t="s">
        <v>23</v>
      </c>
      <c r="E190" s="667" t="s">
        <v>230</v>
      </c>
      <c r="F190" s="667" t="s">
        <v>230</v>
      </c>
      <c r="G190" s="667" t="s">
        <v>230</v>
      </c>
      <c r="H190" s="667" t="s">
        <v>230</v>
      </c>
      <c r="I190" s="669" t="s">
        <v>230</v>
      </c>
      <c r="J190" s="669" t="s">
        <v>230</v>
      </c>
      <c r="K190" s="668" t="s">
        <v>230</v>
      </c>
      <c r="L190" s="668" t="s">
        <v>230</v>
      </c>
      <c r="M190" s="668" t="s">
        <v>231</v>
      </c>
      <c r="N190" s="657"/>
    </row>
    <row r="191" spans="2:14" ht="20.25" customHeight="1">
      <c r="B191" s="753"/>
      <c r="C191" s="667" t="s">
        <v>163</v>
      </c>
      <c r="D191" s="667" t="s">
        <v>23</v>
      </c>
      <c r="E191" s="667" t="s">
        <v>230</v>
      </c>
      <c r="F191" s="667" t="s">
        <v>230</v>
      </c>
      <c r="G191" s="667" t="s">
        <v>230</v>
      </c>
      <c r="H191" s="667" t="s">
        <v>230</v>
      </c>
      <c r="I191" s="671" t="s">
        <v>230</v>
      </c>
      <c r="J191" s="671" t="s">
        <v>230</v>
      </c>
      <c r="K191" s="670" t="s">
        <v>230</v>
      </c>
      <c r="L191" s="670" t="s">
        <v>230</v>
      </c>
      <c r="M191" s="670">
        <v>1</v>
      </c>
      <c r="N191" s="657"/>
    </row>
    <row r="192" spans="2:14" ht="20.25" customHeight="1">
      <c r="B192" s="655"/>
      <c r="C192" s="667" t="s">
        <v>164</v>
      </c>
      <c r="D192" s="667" t="s">
        <v>23</v>
      </c>
      <c r="E192" s="667" t="s">
        <v>230</v>
      </c>
      <c r="F192" s="667" t="s">
        <v>230</v>
      </c>
      <c r="G192" s="667" t="s">
        <v>230</v>
      </c>
      <c r="H192" s="667" t="s">
        <v>230</v>
      </c>
      <c r="I192" s="673" t="s">
        <v>230</v>
      </c>
      <c r="J192" s="673" t="s">
        <v>230</v>
      </c>
      <c r="K192" s="672" t="s">
        <v>230</v>
      </c>
      <c r="L192" s="672" t="s">
        <v>230</v>
      </c>
      <c r="M192" s="670" t="s">
        <v>231</v>
      </c>
      <c r="N192" s="658"/>
    </row>
    <row r="193" spans="1:14" ht="20.25" customHeight="1">
      <c r="B193" s="754" t="s">
        <v>232</v>
      </c>
      <c r="C193" s="677" t="s">
        <v>233</v>
      </c>
      <c r="D193" s="678"/>
      <c r="E193" s="678" t="s">
        <v>16</v>
      </c>
      <c r="F193" s="678"/>
      <c r="G193" s="678"/>
      <c r="H193" s="678"/>
      <c r="I193" s="27"/>
      <c r="J193" s="27"/>
      <c r="K193" s="125">
        <v>2</v>
      </c>
      <c r="L193" s="125"/>
      <c r="M193" s="125"/>
      <c r="N193" s="9"/>
    </row>
    <row r="194" spans="1:14" ht="20.25" customHeight="1">
      <c r="B194" s="755"/>
      <c r="C194" s="69" t="s">
        <v>234</v>
      </c>
      <c r="D194" s="97"/>
      <c r="E194" s="97" t="s">
        <v>16</v>
      </c>
      <c r="F194" s="97"/>
      <c r="G194" s="97"/>
      <c r="H194" s="97"/>
      <c r="I194" s="7"/>
      <c r="J194" s="7"/>
      <c r="K194" s="126">
        <v>4</v>
      </c>
      <c r="L194" s="126"/>
      <c r="M194" s="132"/>
      <c r="N194" s="10"/>
    </row>
    <row r="195" spans="1:14" ht="20.25" customHeight="1">
      <c r="B195" s="755"/>
      <c r="C195" s="69" t="s">
        <v>235</v>
      </c>
      <c r="D195" s="97"/>
      <c r="E195" s="97" t="s">
        <v>16</v>
      </c>
      <c r="F195" s="97"/>
      <c r="G195" s="97"/>
      <c r="H195" s="97"/>
      <c r="I195" s="7"/>
      <c r="J195" s="7"/>
      <c r="K195" s="126">
        <v>4</v>
      </c>
      <c r="L195" s="126"/>
      <c r="M195" s="132"/>
      <c r="N195" s="10"/>
    </row>
    <row r="196" spans="1:14" ht="20.25" customHeight="1">
      <c r="B196" s="755"/>
      <c r="C196" s="70" t="s">
        <v>236</v>
      </c>
      <c r="D196" s="98"/>
      <c r="E196" s="98" t="s">
        <v>16</v>
      </c>
      <c r="F196" s="98"/>
      <c r="G196" s="98"/>
      <c r="H196" s="98"/>
      <c r="I196" s="29"/>
      <c r="J196" s="29"/>
      <c r="K196" s="127"/>
      <c r="L196" s="127">
        <v>3</v>
      </c>
      <c r="M196" s="133">
        <v>3</v>
      </c>
      <c r="N196" s="16"/>
    </row>
    <row r="197" spans="1:14" ht="20.25" customHeight="1">
      <c r="B197" s="756" t="s">
        <v>237</v>
      </c>
      <c r="C197" s="74" t="s">
        <v>238</v>
      </c>
      <c r="D197" s="96" t="s">
        <v>16</v>
      </c>
      <c r="E197" s="96" t="s">
        <v>16</v>
      </c>
      <c r="F197" s="96"/>
      <c r="G197" s="96"/>
      <c r="H197" s="96"/>
      <c r="I197" s="27"/>
      <c r="J197" s="27"/>
      <c r="K197" s="125">
        <v>1</v>
      </c>
      <c r="L197" s="130"/>
      <c r="M197" s="130"/>
      <c r="N197" s="9"/>
    </row>
    <row r="198" spans="1:14" ht="20.25" customHeight="1">
      <c r="B198" s="757"/>
      <c r="C198" s="75" t="s">
        <v>239</v>
      </c>
      <c r="D198" s="97"/>
      <c r="E198" s="97" t="s">
        <v>16</v>
      </c>
      <c r="F198" s="97"/>
      <c r="G198" s="97"/>
      <c r="H198" s="97"/>
      <c r="I198" s="7"/>
      <c r="J198" s="7"/>
      <c r="K198" s="126">
        <v>2</v>
      </c>
      <c r="N198" s="10"/>
    </row>
    <row r="199" spans="1:14" ht="20.25" customHeight="1">
      <c r="B199" s="757"/>
      <c r="C199" s="76" t="s">
        <v>240</v>
      </c>
      <c r="D199" s="98"/>
      <c r="E199" s="98" t="s">
        <v>16</v>
      </c>
      <c r="F199" s="98"/>
      <c r="G199" s="98"/>
      <c r="H199" s="98"/>
      <c r="I199" s="29"/>
      <c r="J199" s="29"/>
      <c r="K199" s="127">
        <v>12</v>
      </c>
      <c r="L199" s="131"/>
      <c r="M199" s="131"/>
      <c r="N199" s="16"/>
    </row>
    <row r="200" spans="1:14" ht="20.25" customHeight="1">
      <c r="B200" s="758" t="s">
        <v>241</v>
      </c>
      <c r="C200" s="74" t="s">
        <v>242</v>
      </c>
      <c r="D200" s="96" t="s">
        <v>16</v>
      </c>
      <c r="E200" s="96" t="s">
        <v>16</v>
      </c>
      <c r="F200" s="96"/>
      <c r="G200" s="96"/>
      <c r="H200" s="96"/>
      <c r="I200" s="27"/>
      <c r="J200" s="27"/>
      <c r="K200" s="125">
        <v>1</v>
      </c>
      <c r="L200" s="130"/>
      <c r="M200" s="130"/>
      <c r="N200" s="9"/>
    </row>
    <row r="201" spans="1:14" ht="20.25" customHeight="1">
      <c r="B201" s="759"/>
      <c r="C201" s="75" t="s">
        <v>243</v>
      </c>
      <c r="D201" s="97"/>
      <c r="E201" s="97" t="s">
        <v>16</v>
      </c>
      <c r="F201" s="97"/>
      <c r="G201" s="97"/>
      <c r="H201" s="97"/>
      <c r="I201" s="7"/>
      <c r="J201" s="7"/>
      <c r="K201" s="126">
        <v>8</v>
      </c>
      <c r="N201" s="10"/>
    </row>
    <row r="202" spans="1:14" ht="20.25" customHeight="1">
      <c r="B202" s="759"/>
      <c r="C202" s="75" t="s">
        <v>244</v>
      </c>
      <c r="D202" s="97"/>
      <c r="E202" s="97" t="s">
        <v>16</v>
      </c>
      <c r="F202" s="97"/>
      <c r="G202" s="97"/>
      <c r="H202" s="97"/>
      <c r="I202" s="7"/>
      <c r="J202" s="7"/>
      <c r="K202" s="126">
        <v>14</v>
      </c>
      <c r="N202" s="10"/>
    </row>
    <row r="203" spans="1:14" ht="20.25" customHeight="1">
      <c r="B203" s="759"/>
      <c r="C203" s="76" t="s">
        <v>245</v>
      </c>
      <c r="D203" s="98"/>
      <c r="E203" s="98" t="s">
        <v>16</v>
      </c>
      <c r="F203" s="98"/>
      <c r="G203" s="98"/>
      <c r="H203" s="98"/>
      <c r="I203" s="29"/>
      <c r="J203" s="29"/>
      <c r="K203" s="127">
        <v>16</v>
      </c>
      <c r="L203" s="131"/>
      <c r="M203" s="131"/>
      <c r="N203" s="16"/>
    </row>
    <row r="204" spans="1:14" ht="20.25" customHeight="1">
      <c r="B204" s="754" t="s">
        <v>246</v>
      </c>
      <c r="C204" s="63" t="s">
        <v>247</v>
      </c>
      <c r="D204" s="93" t="s">
        <v>16</v>
      </c>
      <c r="E204" s="93"/>
      <c r="F204" s="93" t="s">
        <v>16</v>
      </c>
      <c r="G204" s="96"/>
      <c r="H204" s="96"/>
      <c r="I204" s="27"/>
      <c r="J204" s="27"/>
      <c r="K204" s="125"/>
      <c r="L204" s="125"/>
      <c r="M204" s="125">
        <v>8</v>
      </c>
      <c r="N204" s="9"/>
    </row>
    <row r="205" spans="1:14" ht="20.25" customHeight="1">
      <c r="B205" s="755"/>
      <c r="C205" s="73" t="s">
        <v>248</v>
      </c>
      <c r="D205" s="95" t="s">
        <v>16</v>
      </c>
      <c r="E205" s="95"/>
      <c r="F205" s="95" t="s">
        <v>16</v>
      </c>
      <c r="G205" s="98"/>
      <c r="H205" s="98"/>
      <c r="I205" s="29"/>
      <c r="J205" s="29"/>
      <c r="K205" s="127"/>
      <c r="L205" s="127"/>
      <c r="M205" s="133">
        <v>8</v>
      </c>
      <c r="N205" s="16"/>
    </row>
    <row r="206" spans="1:14" ht="20.25" customHeight="1">
      <c r="A206" s="783" t="s">
        <v>249</v>
      </c>
      <c r="B206" s="781" t="s">
        <v>246</v>
      </c>
      <c r="C206" s="77" t="s">
        <v>250</v>
      </c>
      <c r="D206" s="102" t="s">
        <v>16</v>
      </c>
      <c r="E206" s="102" t="s">
        <v>16</v>
      </c>
      <c r="F206" s="103"/>
      <c r="G206" s="104"/>
      <c r="H206" s="104"/>
      <c r="I206" s="34"/>
      <c r="J206" s="34"/>
      <c r="K206" s="134"/>
      <c r="L206" s="134"/>
      <c r="M206" s="134">
        <v>4</v>
      </c>
      <c r="N206" s="9"/>
    </row>
    <row r="207" spans="1:14" ht="20.25" customHeight="1">
      <c r="A207" s="783"/>
      <c r="B207" s="782"/>
      <c r="C207" s="78" t="s">
        <v>248</v>
      </c>
      <c r="D207" s="105" t="s">
        <v>16</v>
      </c>
      <c r="E207" s="105" t="s">
        <v>16</v>
      </c>
      <c r="F207" s="106"/>
      <c r="G207" s="107"/>
      <c r="H207" s="107"/>
      <c r="I207" s="36"/>
      <c r="J207" s="36"/>
      <c r="K207" s="135"/>
      <c r="L207" s="136">
        <v>4</v>
      </c>
      <c r="M207" s="135">
        <v>4</v>
      </c>
      <c r="N207" s="16"/>
    </row>
    <row r="208" spans="1:14" ht="20.25" customHeight="1">
      <c r="A208" s="783"/>
      <c r="B208" s="744" t="s">
        <v>251</v>
      </c>
      <c r="C208" s="79" t="s">
        <v>252</v>
      </c>
      <c r="D208" s="108"/>
      <c r="E208" s="109"/>
      <c r="F208" s="110" t="s">
        <v>16</v>
      </c>
      <c r="G208" s="111"/>
      <c r="H208" s="111"/>
      <c r="I208" s="35"/>
      <c r="J208" s="35"/>
      <c r="K208" s="137">
        <v>12</v>
      </c>
      <c r="L208" s="137"/>
      <c r="M208" s="137"/>
      <c r="N208" s="9"/>
    </row>
    <row r="209" spans="1:14" ht="20.25" customHeight="1">
      <c r="A209" s="783"/>
      <c r="B209" s="745"/>
      <c r="C209" s="80" t="s">
        <v>253</v>
      </c>
      <c r="D209" s="112" t="s">
        <v>16</v>
      </c>
      <c r="E209" s="112" t="s">
        <v>16</v>
      </c>
      <c r="F209" s="113"/>
      <c r="G209" s="114"/>
      <c r="H209" s="114"/>
      <c r="I209" s="32"/>
      <c r="J209" s="32"/>
      <c r="K209" s="138"/>
      <c r="L209" s="139"/>
      <c r="M209" s="138">
        <f>0.5*13</f>
        <v>6.5</v>
      </c>
      <c r="N209" s="10"/>
    </row>
    <row r="210" spans="1:14" ht="20.25" customHeight="1">
      <c r="A210" s="783"/>
      <c r="B210" s="745"/>
      <c r="C210" s="81" t="s">
        <v>254</v>
      </c>
      <c r="D210" s="112"/>
      <c r="E210" s="112"/>
      <c r="F210" s="113" t="s">
        <v>16</v>
      </c>
      <c r="G210" s="114"/>
      <c r="H210" s="114"/>
      <c r="I210" s="32"/>
      <c r="J210" s="32"/>
      <c r="K210" s="140"/>
      <c r="L210" s="139"/>
      <c r="M210" s="140">
        <v>0.5</v>
      </c>
      <c r="N210" s="10"/>
    </row>
    <row r="211" spans="1:14" ht="20.25" customHeight="1">
      <c r="A211" s="783"/>
      <c r="B211" s="745"/>
      <c r="C211" s="81" t="s">
        <v>255</v>
      </c>
      <c r="D211" s="112"/>
      <c r="E211" s="112"/>
      <c r="F211" s="113" t="s">
        <v>16</v>
      </c>
      <c r="G211" s="114"/>
      <c r="H211" s="114"/>
      <c r="I211" s="32"/>
      <c r="J211" s="32"/>
      <c r="K211" s="140"/>
      <c r="L211" s="139"/>
      <c r="M211" s="140">
        <v>4</v>
      </c>
      <c r="N211" s="10"/>
    </row>
    <row r="212" spans="1:14" ht="20.25" customHeight="1">
      <c r="A212" s="783"/>
      <c r="B212" s="745"/>
      <c r="C212" s="81" t="s">
        <v>256</v>
      </c>
      <c r="D212" s="112"/>
      <c r="E212" s="112"/>
      <c r="F212" s="113" t="s">
        <v>16</v>
      </c>
      <c r="G212" s="114"/>
      <c r="H212" s="114"/>
      <c r="I212" s="32"/>
      <c r="J212" s="32"/>
      <c r="K212" s="140"/>
      <c r="L212" s="139"/>
      <c r="M212" s="140">
        <v>0.5</v>
      </c>
      <c r="N212" s="10"/>
    </row>
    <row r="213" spans="1:14" ht="20.25" customHeight="1">
      <c r="A213" s="783"/>
      <c r="B213" s="745"/>
      <c r="C213" s="81" t="s">
        <v>257</v>
      </c>
      <c r="D213" s="112"/>
      <c r="E213" s="112"/>
      <c r="F213" s="113" t="s">
        <v>16</v>
      </c>
      <c r="G213" s="114"/>
      <c r="H213" s="114"/>
      <c r="I213" s="32"/>
      <c r="J213" s="32"/>
      <c r="K213" s="140"/>
      <c r="L213" s="139"/>
      <c r="M213" s="140">
        <v>1.5</v>
      </c>
      <c r="N213" s="10"/>
    </row>
    <row r="214" spans="1:14" ht="20.25" customHeight="1">
      <c r="A214" s="783"/>
      <c r="B214" s="745"/>
      <c r="C214" s="81" t="s">
        <v>258</v>
      </c>
      <c r="D214" s="112"/>
      <c r="E214" s="112"/>
      <c r="F214" s="113" t="s">
        <v>16</v>
      </c>
      <c r="G214" s="114"/>
      <c r="H214" s="114"/>
      <c r="I214" s="32"/>
      <c r="J214" s="32"/>
      <c r="K214" s="140"/>
      <c r="L214" s="139"/>
      <c r="M214" s="140">
        <v>8</v>
      </c>
      <c r="N214" s="10"/>
    </row>
    <row r="215" spans="1:14" ht="20.25" customHeight="1">
      <c r="A215" s="783"/>
      <c r="B215" s="745"/>
      <c r="C215" s="81" t="s">
        <v>259</v>
      </c>
      <c r="D215" s="112"/>
      <c r="E215" s="112"/>
      <c r="F215" s="113" t="s">
        <v>16</v>
      </c>
      <c r="G215" s="114"/>
      <c r="H215" s="114"/>
      <c r="I215" s="32"/>
      <c r="J215" s="32"/>
      <c r="K215" s="140"/>
      <c r="L215" s="139"/>
      <c r="M215" s="140">
        <v>8</v>
      </c>
      <c r="N215" s="10"/>
    </row>
    <row r="216" spans="1:14" ht="20.25" customHeight="1">
      <c r="A216" s="783"/>
      <c r="B216" s="745"/>
      <c r="C216" s="81" t="s">
        <v>260</v>
      </c>
      <c r="D216" s="112"/>
      <c r="E216" s="112"/>
      <c r="F216" s="113" t="s">
        <v>16</v>
      </c>
      <c r="G216" s="114"/>
      <c r="H216" s="114"/>
      <c r="I216" s="32"/>
      <c r="J216" s="32"/>
      <c r="K216" s="140"/>
      <c r="L216" s="139"/>
      <c r="M216" s="140">
        <v>8</v>
      </c>
      <c r="N216" s="10"/>
    </row>
    <row r="217" spans="1:14" ht="20.25" customHeight="1">
      <c r="A217" s="783"/>
      <c r="B217" s="745"/>
      <c r="C217" s="81" t="s">
        <v>261</v>
      </c>
      <c r="D217" s="112"/>
      <c r="E217" s="112"/>
      <c r="F217" s="113" t="s">
        <v>16</v>
      </c>
      <c r="G217" s="114"/>
      <c r="H217" s="114"/>
      <c r="I217" s="32"/>
      <c r="J217" s="32"/>
      <c r="K217" s="140"/>
      <c r="L217" s="139"/>
      <c r="M217" s="140">
        <v>3</v>
      </c>
      <c r="N217" s="10"/>
    </row>
    <row r="218" spans="1:14" ht="20.25" customHeight="1">
      <c r="A218" s="783"/>
      <c r="B218" s="745"/>
      <c r="C218" s="81" t="s">
        <v>262</v>
      </c>
      <c r="D218" s="112"/>
      <c r="E218" s="112"/>
      <c r="F218" s="113" t="s">
        <v>16</v>
      </c>
      <c r="G218" s="114"/>
      <c r="H218" s="114"/>
      <c r="I218" s="32"/>
      <c r="J218" s="32"/>
      <c r="K218" s="140"/>
      <c r="L218" s="139"/>
      <c r="M218" s="140">
        <v>3</v>
      </c>
      <c r="N218" s="10"/>
    </row>
    <row r="219" spans="1:14" ht="30">
      <c r="A219" s="783"/>
      <c r="B219" s="745"/>
      <c r="C219" s="81" t="s">
        <v>263</v>
      </c>
      <c r="D219" s="112"/>
      <c r="E219" s="112"/>
      <c r="F219" s="113" t="s">
        <v>16</v>
      </c>
      <c r="G219" s="114"/>
      <c r="H219" s="114"/>
      <c r="I219" s="32"/>
      <c r="J219" s="32"/>
      <c r="K219" s="140"/>
      <c r="L219" s="139"/>
      <c r="M219" s="140">
        <v>4</v>
      </c>
      <c r="N219" s="10"/>
    </row>
    <row r="220" spans="1:14" ht="20.25" customHeight="1">
      <c r="A220" s="783"/>
      <c r="B220" s="745"/>
      <c r="C220" s="81" t="s">
        <v>264</v>
      </c>
      <c r="D220" s="112"/>
      <c r="E220" s="112"/>
      <c r="F220" s="113" t="s">
        <v>16</v>
      </c>
      <c r="G220" s="114"/>
      <c r="H220" s="114"/>
      <c r="I220" s="32"/>
      <c r="J220" s="32"/>
      <c r="K220" s="140"/>
      <c r="L220" s="139"/>
      <c r="M220" s="140">
        <v>0</v>
      </c>
      <c r="N220" s="10"/>
    </row>
    <row r="221" spans="1:14" ht="20.25" customHeight="1">
      <c r="A221" s="783"/>
      <c r="B221" s="745"/>
      <c r="C221" s="82" t="s">
        <v>265</v>
      </c>
      <c r="D221" s="112"/>
      <c r="E221" s="112"/>
      <c r="F221" s="113" t="s">
        <v>16</v>
      </c>
      <c r="G221" s="114"/>
      <c r="H221" s="114"/>
      <c r="I221" s="32"/>
      <c r="J221" s="32"/>
      <c r="K221" s="140"/>
      <c r="L221" s="139"/>
      <c r="M221" s="140">
        <v>12</v>
      </c>
      <c r="N221" s="11"/>
    </row>
    <row r="222" spans="1:14" ht="20.25" customHeight="1">
      <c r="A222" s="783"/>
      <c r="B222" s="745"/>
      <c r="C222" s="81" t="s">
        <v>266</v>
      </c>
      <c r="D222" s="112"/>
      <c r="E222" s="112"/>
      <c r="F222" s="113" t="s">
        <v>16</v>
      </c>
      <c r="G222" s="114"/>
      <c r="H222" s="114"/>
      <c r="I222" s="32"/>
      <c r="J222" s="32"/>
      <c r="K222" s="140"/>
      <c r="L222" s="139"/>
      <c r="M222" s="140">
        <v>12</v>
      </c>
      <c r="N222" s="31"/>
    </row>
    <row r="223" spans="1:14" ht="20.25" customHeight="1">
      <c r="A223" s="783"/>
      <c r="B223" s="745"/>
      <c r="C223" s="81" t="s">
        <v>267</v>
      </c>
      <c r="D223" s="112"/>
      <c r="E223" s="112"/>
      <c r="F223" s="113" t="s">
        <v>16</v>
      </c>
      <c r="G223" s="114"/>
      <c r="H223" s="114"/>
      <c r="I223" s="32"/>
      <c r="J223" s="32"/>
      <c r="K223" s="140"/>
      <c r="L223" s="139"/>
      <c r="M223" s="140">
        <v>4</v>
      </c>
      <c r="N223" s="10"/>
    </row>
    <row r="224" spans="1:14" ht="20.25" customHeight="1">
      <c r="A224" s="783"/>
      <c r="B224" s="746"/>
      <c r="C224" s="425" t="s">
        <v>268</v>
      </c>
      <c r="D224" s="426"/>
      <c r="E224" s="426"/>
      <c r="F224" s="427" t="s">
        <v>16</v>
      </c>
      <c r="G224" s="107"/>
      <c r="H224" s="107"/>
      <c r="I224" s="36"/>
      <c r="J224" s="36"/>
      <c r="K224" s="428"/>
      <c r="L224" s="136"/>
      <c r="M224" s="428">
        <v>4</v>
      </c>
      <c r="N224" s="16"/>
    </row>
    <row r="225" spans="2:14" ht="20.25" customHeight="1">
      <c r="B225" s="747" t="s">
        <v>269</v>
      </c>
      <c r="C225" s="423" t="s">
        <v>270</v>
      </c>
      <c r="D225" s="130" t="s">
        <v>16</v>
      </c>
      <c r="E225" s="130"/>
      <c r="F225" s="130"/>
      <c r="G225" s="130"/>
      <c r="H225" s="130"/>
      <c r="I225" s="424"/>
      <c r="J225" s="424"/>
      <c r="K225" s="130"/>
      <c r="L225" s="130"/>
      <c r="M225" s="130"/>
      <c r="N225" s="9"/>
    </row>
    <row r="226" spans="2:14" ht="20.25" customHeight="1">
      <c r="B226" s="748"/>
      <c r="C226" s="85" t="s">
        <v>271</v>
      </c>
      <c r="E226" s="116" t="s">
        <v>16</v>
      </c>
      <c r="K226" s="116">
        <v>1</v>
      </c>
      <c r="N226" s="10"/>
    </row>
    <row r="227" spans="2:14" ht="20.25" customHeight="1">
      <c r="B227" s="749"/>
      <c r="C227" s="446" t="s">
        <v>272</v>
      </c>
      <c r="D227" s="131"/>
      <c r="E227" s="131" t="s">
        <v>16</v>
      </c>
      <c r="F227" s="131"/>
      <c r="G227" s="131"/>
      <c r="H227" s="131"/>
      <c r="I227" s="447"/>
      <c r="J227" s="447"/>
      <c r="K227" s="131">
        <v>1</v>
      </c>
      <c r="L227" s="131"/>
      <c r="M227" s="131"/>
      <c r="N227" s="16"/>
    </row>
    <row r="228" spans="2:14" s="390" customFormat="1" ht="20.25" customHeight="1">
      <c r="B228" s="778" t="s">
        <v>273</v>
      </c>
      <c r="C228" s="443" t="s">
        <v>274</v>
      </c>
      <c r="D228" s="228"/>
      <c r="E228" s="228"/>
      <c r="F228" s="228"/>
      <c r="G228" s="228"/>
      <c r="H228" s="228"/>
      <c r="I228" s="444"/>
      <c r="J228" s="444"/>
      <c r="K228" s="228">
        <v>2</v>
      </c>
      <c r="L228" s="228"/>
      <c r="M228" s="228"/>
      <c r="N228" s="776" t="s">
        <v>275</v>
      </c>
    </row>
    <row r="229" spans="2:14" s="390" customFormat="1" ht="20.25" customHeight="1">
      <c r="B229" s="779"/>
      <c r="C229" s="441" t="s">
        <v>276</v>
      </c>
      <c r="D229" s="227"/>
      <c r="E229" s="227"/>
      <c r="F229" s="227"/>
      <c r="G229" s="227"/>
      <c r="H229" s="227"/>
      <c r="I229" s="442"/>
      <c r="J229" s="442"/>
      <c r="K229" s="227">
        <v>1</v>
      </c>
      <c r="L229" s="227"/>
      <c r="M229" s="227"/>
      <c r="N229" s="777"/>
    </row>
    <row r="230" spans="2:14" s="390" customFormat="1" ht="20.25" customHeight="1">
      <c r="B230" s="780"/>
      <c r="C230" s="533" t="s">
        <v>277</v>
      </c>
      <c r="D230" s="252"/>
      <c r="E230" s="252"/>
      <c r="F230" s="252"/>
      <c r="G230" s="252"/>
      <c r="H230" s="252"/>
      <c r="I230" s="534"/>
      <c r="J230" s="534"/>
      <c r="K230" s="252">
        <v>4</v>
      </c>
      <c r="L230" s="252"/>
      <c r="M230" s="252"/>
      <c r="N230" s="777"/>
    </row>
    <row r="231" spans="2:14" ht="20.25" customHeight="1">
      <c r="B231" s="735" t="s">
        <v>278</v>
      </c>
      <c r="C231" s="443" t="s">
        <v>96</v>
      </c>
      <c r="D231" s="130" t="s">
        <v>23</v>
      </c>
      <c r="E231" s="130" t="s">
        <v>16</v>
      </c>
      <c r="F231" s="130"/>
      <c r="G231" s="130"/>
      <c r="H231" s="130"/>
      <c r="I231" s="424"/>
      <c r="J231" s="424"/>
      <c r="K231" s="130">
        <v>9</v>
      </c>
      <c r="L231" s="130"/>
      <c r="M231" s="130"/>
      <c r="N231" s="9"/>
    </row>
    <row r="232" spans="2:14" ht="20.25" customHeight="1">
      <c r="B232" s="736"/>
      <c r="C232" s="441" t="s">
        <v>279</v>
      </c>
      <c r="E232" s="116" t="s">
        <v>16</v>
      </c>
      <c r="K232" s="116">
        <v>0.5</v>
      </c>
      <c r="N232" s="10"/>
    </row>
    <row r="233" spans="2:14" ht="20.25" customHeight="1">
      <c r="B233" s="736"/>
      <c r="C233" s="441" t="s">
        <v>280</v>
      </c>
      <c r="E233" s="116" t="s">
        <v>16</v>
      </c>
      <c r="K233" s="116">
        <v>0.5</v>
      </c>
      <c r="N233" s="10"/>
    </row>
    <row r="234" spans="2:14" ht="20.25" customHeight="1">
      <c r="B234" s="736"/>
      <c r="C234" s="441" t="s">
        <v>281</v>
      </c>
      <c r="E234" s="116" t="s">
        <v>16</v>
      </c>
      <c r="K234" s="116">
        <v>4</v>
      </c>
      <c r="N234" s="10"/>
    </row>
    <row r="235" spans="2:14" ht="20.25" customHeight="1">
      <c r="B235" s="736"/>
      <c r="C235" s="441" t="s">
        <v>282</v>
      </c>
      <c r="E235" s="116" t="s">
        <v>16</v>
      </c>
      <c r="K235" s="116">
        <v>2</v>
      </c>
      <c r="N235" s="10"/>
    </row>
    <row r="236" spans="2:14" ht="20.25" customHeight="1">
      <c r="B236" s="736"/>
      <c r="C236" s="441" t="s">
        <v>283</v>
      </c>
      <c r="E236" s="116" t="s">
        <v>16</v>
      </c>
      <c r="K236" s="116">
        <v>1</v>
      </c>
      <c r="N236" s="10"/>
    </row>
    <row r="237" spans="2:14" ht="20.25" customHeight="1">
      <c r="B237" s="736"/>
      <c r="C237" s="441" t="s">
        <v>284</v>
      </c>
      <c r="E237" s="116" t="s">
        <v>16</v>
      </c>
      <c r="K237" s="116">
        <v>0.5</v>
      </c>
      <c r="N237" s="10"/>
    </row>
    <row r="238" spans="2:14" ht="20.25" customHeight="1">
      <c r="B238" s="736"/>
      <c r="C238" s="441" t="s">
        <v>285</v>
      </c>
      <c r="E238" s="116" t="s">
        <v>16</v>
      </c>
      <c r="K238" s="116">
        <v>0.5</v>
      </c>
      <c r="N238" s="10"/>
    </row>
    <row r="239" spans="2:14" ht="20.25" customHeight="1">
      <c r="B239" s="736"/>
      <c r="C239" s="441" t="s">
        <v>286</v>
      </c>
      <c r="E239" s="116" t="s">
        <v>16</v>
      </c>
      <c r="K239" s="116">
        <v>8</v>
      </c>
      <c r="N239" s="10"/>
    </row>
    <row r="240" spans="2:14" ht="20.25" customHeight="1">
      <c r="B240" s="736"/>
      <c r="C240" s="441" t="s">
        <v>287</v>
      </c>
      <c r="N240" s="10"/>
    </row>
    <row r="241" spans="2:14" ht="20.25" customHeight="1">
      <c r="B241" s="736"/>
      <c r="C241" s="441" t="s">
        <v>288</v>
      </c>
      <c r="N241" s="10"/>
    </row>
    <row r="242" spans="2:14" ht="20.25" customHeight="1">
      <c r="B242" s="736"/>
      <c r="C242" s="441" t="s">
        <v>260</v>
      </c>
      <c r="E242" s="116" t="s">
        <v>16</v>
      </c>
      <c r="K242" s="116">
        <v>3</v>
      </c>
      <c r="N242" s="10"/>
    </row>
    <row r="243" spans="2:14" ht="20.25" customHeight="1">
      <c r="B243" s="736"/>
      <c r="C243" s="441" t="s">
        <v>289</v>
      </c>
      <c r="E243" s="116" t="s">
        <v>16</v>
      </c>
      <c r="K243" s="116">
        <v>4</v>
      </c>
      <c r="N243" s="10"/>
    </row>
    <row r="244" spans="2:14" ht="20.25" customHeight="1">
      <c r="B244" s="736"/>
      <c r="C244" s="441" t="s">
        <v>264</v>
      </c>
      <c r="E244" s="116" t="s">
        <v>16</v>
      </c>
      <c r="K244" s="116">
        <v>8</v>
      </c>
      <c r="N244" s="10"/>
    </row>
    <row r="245" spans="2:14" ht="20.25" customHeight="1">
      <c r="B245" s="736"/>
      <c r="C245" s="441" t="s">
        <v>290</v>
      </c>
      <c r="E245" s="116" t="s">
        <v>16</v>
      </c>
      <c r="K245" s="116">
        <v>8</v>
      </c>
      <c r="N245" s="10"/>
    </row>
    <row r="246" spans="2:14" ht="20.25" customHeight="1">
      <c r="B246" s="736"/>
      <c r="C246" s="441" t="s">
        <v>291</v>
      </c>
      <c r="E246" s="116" t="s">
        <v>16</v>
      </c>
      <c r="K246" s="116">
        <v>4</v>
      </c>
      <c r="N246" s="10"/>
    </row>
    <row r="247" spans="2:14" ht="20.25" customHeight="1">
      <c r="B247" s="736"/>
      <c r="C247" s="441" t="s">
        <v>292</v>
      </c>
      <c r="E247" s="116" t="s">
        <v>16</v>
      </c>
      <c r="K247" s="116">
        <v>4</v>
      </c>
      <c r="N247" s="10"/>
    </row>
    <row r="248" spans="2:14" ht="20.25" customHeight="1">
      <c r="B248" s="736"/>
      <c r="C248" s="441" t="s">
        <v>293</v>
      </c>
      <c r="N248" s="10"/>
    </row>
    <row r="249" spans="2:14" ht="20.25" customHeight="1">
      <c r="B249" s="736"/>
      <c r="C249" s="441" t="s">
        <v>294</v>
      </c>
      <c r="E249" s="116" t="s">
        <v>16</v>
      </c>
      <c r="K249" s="116">
        <v>2</v>
      </c>
      <c r="N249" s="10"/>
    </row>
    <row r="250" spans="2:14" ht="20.25" customHeight="1">
      <c r="B250" s="736"/>
      <c r="C250" s="441" t="s">
        <v>295</v>
      </c>
      <c r="N250" s="10"/>
    </row>
    <row r="251" spans="2:14" ht="20.25" customHeight="1">
      <c r="B251" s="736"/>
      <c r="C251" s="441" t="s">
        <v>296</v>
      </c>
      <c r="N251" s="10"/>
    </row>
    <row r="252" spans="2:14" ht="20.25" customHeight="1">
      <c r="B252" s="736"/>
      <c r="C252" s="441" t="s">
        <v>268</v>
      </c>
      <c r="E252" s="116" t="s">
        <v>16</v>
      </c>
      <c r="K252" s="116">
        <v>2</v>
      </c>
      <c r="N252" s="10"/>
    </row>
    <row r="253" spans="2:14" ht="20.25" customHeight="1">
      <c r="B253" s="736"/>
      <c r="C253" s="441" t="s">
        <v>297</v>
      </c>
      <c r="N253" s="10"/>
    </row>
    <row r="254" spans="2:14" ht="20.25" customHeight="1">
      <c r="B254" s="737"/>
      <c r="C254" s="445" t="s">
        <v>298</v>
      </c>
      <c r="D254" s="99"/>
      <c r="E254" s="99" t="s">
        <v>16</v>
      </c>
      <c r="F254" s="99"/>
      <c r="G254" s="99"/>
      <c r="H254" s="99"/>
      <c r="I254" s="532"/>
      <c r="J254" s="532"/>
      <c r="K254" s="99">
        <v>4</v>
      </c>
      <c r="L254" s="99"/>
      <c r="M254" s="99"/>
      <c r="N254" s="11"/>
    </row>
    <row r="255" spans="2:14" ht="20.25" customHeight="1">
      <c r="B255" s="738" t="s">
        <v>299</v>
      </c>
      <c r="C255" s="504" t="s">
        <v>106</v>
      </c>
      <c r="D255" s="509" t="s">
        <v>16</v>
      </c>
      <c r="E255" s="509" t="s">
        <v>16</v>
      </c>
      <c r="F255" s="509"/>
      <c r="G255" s="509"/>
      <c r="H255" s="509"/>
      <c r="I255" s="510"/>
      <c r="J255" s="510"/>
      <c r="K255" s="332">
        <v>5</v>
      </c>
      <c r="L255" s="332"/>
      <c r="M255" s="332"/>
      <c r="N255" s="409"/>
    </row>
    <row r="256" spans="2:14" ht="20.25" customHeight="1">
      <c r="B256" s="739"/>
      <c r="C256" s="487" t="s">
        <v>108</v>
      </c>
      <c r="D256" s="480"/>
      <c r="E256" s="480" t="s">
        <v>16</v>
      </c>
      <c r="F256" s="480"/>
      <c r="G256" s="480"/>
      <c r="H256" s="480"/>
      <c r="I256" s="407"/>
      <c r="J256" s="407"/>
      <c r="K256" s="324">
        <v>3</v>
      </c>
      <c r="L256" s="324"/>
      <c r="M256" s="324"/>
      <c r="N256" s="410"/>
    </row>
    <row r="257" spans="2:15" ht="20.25" customHeight="1">
      <c r="B257" s="739"/>
      <c r="C257" s="487" t="s">
        <v>300</v>
      </c>
      <c r="D257" s="480"/>
      <c r="E257" s="480" t="s">
        <v>16</v>
      </c>
      <c r="F257" s="480"/>
      <c r="G257" s="480"/>
      <c r="H257" s="480"/>
      <c r="I257" s="407"/>
      <c r="J257" s="407"/>
      <c r="K257" s="324">
        <v>10</v>
      </c>
      <c r="L257" s="324"/>
      <c r="M257" s="324"/>
      <c r="N257" s="410"/>
    </row>
    <row r="258" spans="2:15" ht="20.25" customHeight="1">
      <c r="B258" s="739"/>
      <c r="C258" s="487" t="s">
        <v>112</v>
      </c>
      <c r="D258" s="480"/>
      <c r="E258" s="480" t="s">
        <v>16</v>
      </c>
      <c r="F258" s="480"/>
      <c r="G258" s="480"/>
      <c r="H258" s="480"/>
      <c r="I258" s="407"/>
      <c r="J258" s="407"/>
      <c r="K258" s="324">
        <v>3</v>
      </c>
      <c r="L258" s="324"/>
      <c r="M258" s="324"/>
      <c r="N258" s="410"/>
    </row>
    <row r="259" spans="2:15" ht="20.25" customHeight="1">
      <c r="B259" s="739"/>
      <c r="C259" s="487" t="s">
        <v>114</v>
      </c>
      <c r="D259" s="480"/>
      <c r="E259" s="480" t="s">
        <v>16</v>
      </c>
      <c r="F259" s="480"/>
      <c r="G259" s="480"/>
      <c r="H259" s="480"/>
      <c r="I259" s="407"/>
      <c r="J259" s="407"/>
      <c r="K259" s="324">
        <v>8</v>
      </c>
      <c r="L259" s="324"/>
      <c r="M259" s="324"/>
      <c r="N259" s="410"/>
    </row>
    <row r="260" spans="2:15" ht="20.25" customHeight="1">
      <c r="B260" s="739"/>
      <c r="C260" s="487" t="s">
        <v>301</v>
      </c>
      <c r="D260" s="480"/>
      <c r="E260" s="480" t="s">
        <v>16</v>
      </c>
      <c r="F260" s="480"/>
      <c r="G260" s="480"/>
      <c r="H260" s="480"/>
      <c r="I260" s="407"/>
      <c r="J260" s="407"/>
      <c r="K260" s="324">
        <v>8</v>
      </c>
      <c r="L260" s="324"/>
      <c r="M260" s="324"/>
      <c r="N260" s="410"/>
    </row>
    <row r="261" spans="2:15" ht="20.25" customHeight="1">
      <c r="B261" s="739"/>
      <c r="C261" s="487" t="s">
        <v>302</v>
      </c>
      <c r="D261" s="480"/>
      <c r="E261" s="480" t="s">
        <v>16</v>
      </c>
      <c r="F261" s="480"/>
      <c r="G261" s="480"/>
      <c r="H261" s="480"/>
      <c r="I261" s="407"/>
      <c r="J261" s="407"/>
      <c r="K261" s="324">
        <v>5</v>
      </c>
      <c r="L261" s="324"/>
      <c r="M261" s="324"/>
      <c r="N261" s="410"/>
    </row>
    <row r="262" spans="2:15" ht="20.25" customHeight="1">
      <c r="B262" s="739"/>
      <c r="C262" s="487" t="s">
        <v>303</v>
      </c>
      <c r="D262" s="480"/>
      <c r="E262" s="480" t="s">
        <v>16</v>
      </c>
      <c r="F262" s="480"/>
      <c r="G262" s="480"/>
      <c r="H262" s="480"/>
      <c r="I262" s="407"/>
      <c r="J262" s="407"/>
      <c r="K262" s="324">
        <v>4</v>
      </c>
      <c r="L262" s="324"/>
      <c r="M262" s="324"/>
      <c r="N262" s="410"/>
    </row>
    <row r="263" spans="2:15" ht="20.25" customHeight="1">
      <c r="B263" s="740"/>
      <c r="C263" s="506" t="s">
        <v>30</v>
      </c>
      <c r="D263" s="511"/>
      <c r="E263" s="511" t="s">
        <v>16</v>
      </c>
      <c r="F263" s="511"/>
      <c r="G263" s="511"/>
      <c r="H263" s="511"/>
      <c r="I263" s="512"/>
      <c r="J263" s="512"/>
      <c r="K263" s="335">
        <v>2</v>
      </c>
      <c r="L263" s="335"/>
      <c r="M263" s="335"/>
      <c r="N263" s="411"/>
    </row>
    <row r="264" spans="2:15" ht="20.25" customHeight="1">
      <c r="B264" s="732" t="s">
        <v>304</v>
      </c>
      <c r="C264" s="680" t="s">
        <v>305</v>
      </c>
      <c r="D264" s="664" t="s">
        <v>16</v>
      </c>
      <c r="E264" s="664" t="s">
        <v>230</v>
      </c>
      <c r="F264" s="664" t="s">
        <v>16</v>
      </c>
      <c r="G264" s="664" t="s">
        <v>230</v>
      </c>
      <c r="H264" s="664" t="s">
        <v>230</v>
      </c>
      <c r="I264" s="665" t="s">
        <v>230</v>
      </c>
      <c r="J264" s="665" t="s">
        <v>230</v>
      </c>
      <c r="K264" s="687">
        <v>5</v>
      </c>
      <c r="N264" s="5">
        <v>5</v>
      </c>
      <c r="O264" t="s">
        <v>306</v>
      </c>
    </row>
    <row r="265" spans="2:15" ht="20.25" customHeight="1">
      <c r="B265" s="733"/>
      <c r="C265" s="681" t="s">
        <v>307</v>
      </c>
      <c r="D265" s="666" t="s">
        <v>230</v>
      </c>
      <c r="E265" s="666" t="s">
        <v>230</v>
      </c>
      <c r="F265" s="666" t="s">
        <v>16</v>
      </c>
      <c r="G265" s="666" t="s">
        <v>230</v>
      </c>
      <c r="H265" s="666" t="s">
        <v>230</v>
      </c>
      <c r="I265" s="535" t="s">
        <v>230</v>
      </c>
      <c r="J265" s="535" t="s">
        <v>230</v>
      </c>
      <c r="K265" s="688">
        <v>5</v>
      </c>
    </row>
    <row r="266" spans="2:15" ht="20.25" customHeight="1">
      <c r="B266" s="733"/>
      <c r="C266" s="681" t="s">
        <v>110</v>
      </c>
      <c r="D266" s="666" t="s">
        <v>230</v>
      </c>
      <c r="E266" s="666" t="s">
        <v>230</v>
      </c>
      <c r="F266" s="666" t="s">
        <v>16</v>
      </c>
      <c r="G266" s="666" t="s">
        <v>230</v>
      </c>
      <c r="H266" s="666" t="s">
        <v>230</v>
      </c>
      <c r="I266" s="535" t="s">
        <v>230</v>
      </c>
      <c r="J266" s="535" t="s">
        <v>230</v>
      </c>
      <c r="K266" s="688">
        <v>5</v>
      </c>
    </row>
    <row r="267" spans="2:15" ht="20.25" customHeight="1">
      <c r="B267" s="733"/>
      <c r="C267" s="681" t="s">
        <v>308</v>
      </c>
      <c r="D267" s="666" t="s">
        <v>230</v>
      </c>
      <c r="E267" s="666" t="s">
        <v>230</v>
      </c>
      <c r="F267" s="666" t="s">
        <v>16</v>
      </c>
      <c r="G267" s="666" t="s">
        <v>230</v>
      </c>
      <c r="H267" s="666" t="s">
        <v>230</v>
      </c>
      <c r="I267" s="535" t="s">
        <v>230</v>
      </c>
      <c r="J267" s="535" t="s">
        <v>230</v>
      </c>
      <c r="K267" s="688">
        <v>5</v>
      </c>
    </row>
    <row r="268" spans="2:15" ht="20.25" customHeight="1">
      <c r="B268" s="733"/>
      <c r="C268" s="679" t="s">
        <v>114</v>
      </c>
      <c r="D268" s="682" t="s">
        <v>230</v>
      </c>
      <c r="E268" s="666" t="s">
        <v>230</v>
      </c>
      <c r="F268" s="666" t="s">
        <v>16</v>
      </c>
      <c r="G268" s="666" t="s">
        <v>230</v>
      </c>
      <c r="H268" s="666" t="s">
        <v>230</v>
      </c>
      <c r="I268" s="535" t="s">
        <v>230</v>
      </c>
      <c r="J268" s="535" t="s">
        <v>230</v>
      </c>
      <c r="K268" s="688">
        <v>5</v>
      </c>
    </row>
    <row r="269" spans="2:15" ht="20.25" customHeight="1">
      <c r="B269" s="733"/>
      <c r="C269" s="683" t="s">
        <v>309</v>
      </c>
      <c r="D269" s="684" t="s">
        <v>230</v>
      </c>
      <c r="E269" s="685" t="s">
        <v>230</v>
      </c>
      <c r="F269" s="685" t="s">
        <v>16</v>
      </c>
      <c r="G269" s="685" t="s">
        <v>230</v>
      </c>
      <c r="H269" s="685" t="s">
        <v>230</v>
      </c>
      <c r="I269" s="686" t="s">
        <v>230</v>
      </c>
      <c r="J269" s="686" t="s">
        <v>230</v>
      </c>
      <c r="K269" s="689">
        <v>5</v>
      </c>
    </row>
    <row r="270" spans="2:15" ht="24" customHeight="1">
      <c r="B270" s="733"/>
      <c r="C270" s="679" t="s">
        <v>301</v>
      </c>
      <c r="D270" s="682" t="s">
        <v>230</v>
      </c>
      <c r="E270" s="666" t="s">
        <v>230</v>
      </c>
      <c r="F270" s="666" t="s">
        <v>16</v>
      </c>
      <c r="G270" s="666" t="s">
        <v>230</v>
      </c>
      <c r="H270" s="666" t="s">
        <v>230</v>
      </c>
      <c r="I270" s="535" t="s">
        <v>230</v>
      </c>
      <c r="J270" s="535" t="s">
        <v>230</v>
      </c>
      <c r="K270" s="688">
        <v>5</v>
      </c>
    </row>
    <row r="271" spans="2:15" ht="24" customHeight="1">
      <c r="B271" s="733"/>
      <c r="C271" s="683" t="s">
        <v>310</v>
      </c>
      <c r="D271" s="684" t="s">
        <v>230</v>
      </c>
      <c r="E271" s="685" t="s">
        <v>230</v>
      </c>
      <c r="F271" s="685" t="s">
        <v>16</v>
      </c>
      <c r="G271" s="685" t="s">
        <v>230</v>
      </c>
      <c r="H271" s="685" t="s">
        <v>230</v>
      </c>
      <c r="I271" s="686" t="s">
        <v>230</v>
      </c>
      <c r="J271" s="686" t="s">
        <v>230</v>
      </c>
      <c r="K271" s="689">
        <v>5</v>
      </c>
    </row>
    <row r="272" spans="2:15">
      <c r="B272" s="734"/>
      <c r="C272" s="679" t="s">
        <v>30</v>
      </c>
      <c r="D272" s="682" t="s">
        <v>230</v>
      </c>
      <c r="E272" s="666" t="s">
        <v>230</v>
      </c>
      <c r="F272" s="666" t="s">
        <v>16</v>
      </c>
      <c r="G272" s="666" t="s">
        <v>230</v>
      </c>
      <c r="H272" s="666" t="s">
        <v>230</v>
      </c>
      <c r="I272" s="535" t="s">
        <v>230</v>
      </c>
      <c r="J272" s="535" t="s">
        <v>230</v>
      </c>
      <c r="K272" s="688">
        <v>10</v>
      </c>
    </row>
  </sheetData>
  <autoFilter ref="B1:M263" xr:uid="{00000000-0001-0000-0000-000000000000}"/>
  <mergeCells count="35">
    <mergeCell ref="N228:N230"/>
    <mergeCell ref="B228:B230"/>
    <mergeCell ref="B206:B207"/>
    <mergeCell ref="B208:B224"/>
    <mergeCell ref="A206:A224"/>
    <mergeCell ref="A58:A67"/>
    <mergeCell ref="B68:B74"/>
    <mergeCell ref="B81:B85"/>
    <mergeCell ref="B75:B80"/>
    <mergeCell ref="B136:B145"/>
    <mergeCell ref="B132:B135"/>
    <mergeCell ref="B86:B110"/>
    <mergeCell ref="P17:P22"/>
    <mergeCell ref="B23:B27"/>
    <mergeCell ref="P23:P32"/>
    <mergeCell ref="B50:B57"/>
    <mergeCell ref="N66:N67"/>
    <mergeCell ref="B66:B67"/>
    <mergeCell ref="B58:B64"/>
    <mergeCell ref="B28:B32"/>
    <mergeCell ref="B33:B37"/>
    <mergeCell ref="B264:B272"/>
    <mergeCell ref="B231:B254"/>
    <mergeCell ref="B255:B263"/>
    <mergeCell ref="B2:B4"/>
    <mergeCell ref="B5:B8"/>
    <mergeCell ref="B9:B12"/>
    <mergeCell ref="B13:B16"/>
    <mergeCell ref="B17:B22"/>
    <mergeCell ref="B225:B227"/>
    <mergeCell ref="B146:B191"/>
    <mergeCell ref="B193:B196"/>
    <mergeCell ref="B197:B199"/>
    <mergeCell ref="B200:B203"/>
    <mergeCell ref="B204:B20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9C48-B953-4654-9C57-B823C28E5F7D}">
  <dimension ref="A1:N215"/>
  <sheetViews>
    <sheetView topLeftCell="A56" workbookViewId="0">
      <selection activeCell="C86" sqref="C86"/>
    </sheetView>
  </sheetViews>
  <sheetFormatPr defaultColWidth="8.7109375" defaultRowHeight="15"/>
  <cols>
    <col min="1" max="1" width="15.7109375" customWidth="1"/>
    <col min="2" max="2" width="17.5703125" style="84" customWidth="1"/>
    <col min="3" max="3" width="51.140625" style="192" customWidth="1"/>
    <col min="4" max="8" width="9.140625" style="227"/>
    <col min="9" max="9" width="9.140625" style="271"/>
    <col min="10" max="10" width="9.140625" style="272"/>
    <col min="11" max="11" width="15.140625" style="227" customWidth="1"/>
    <col min="12" max="12" width="19" style="227" customWidth="1"/>
    <col min="13" max="13" width="21.7109375" style="227" customWidth="1"/>
    <col min="14" max="14" width="39.7109375" style="189" customWidth="1"/>
  </cols>
  <sheetData>
    <row r="1" spans="2:14" ht="47.25">
      <c r="B1" s="608" t="s">
        <v>2</v>
      </c>
      <c r="C1" s="608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94"/>
      <c r="J1" s="12" t="s">
        <v>9</v>
      </c>
      <c r="K1" s="12" t="s">
        <v>10</v>
      </c>
      <c r="L1" s="12" t="s">
        <v>11</v>
      </c>
      <c r="M1" s="12" t="s">
        <v>12</v>
      </c>
      <c r="N1" s="13" t="s">
        <v>13</v>
      </c>
    </row>
    <row r="2" spans="2:14" ht="46.5" customHeight="1">
      <c r="B2" s="744" t="s">
        <v>311</v>
      </c>
      <c r="C2" s="145" t="s">
        <v>312</v>
      </c>
      <c r="D2" s="231" t="s">
        <v>16</v>
      </c>
      <c r="E2" s="231"/>
      <c r="F2" s="231" t="s">
        <v>16</v>
      </c>
      <c r="G2" s="231"/>
      <c r="H2" s="231"/>
      <c r="I2" s="253"/>
      <c r="J2" s="254"/>
      <c r="K2" s="232">
        <v>4</v>
      </c>
      <c r="L2" s="232"/>
      <c r="M2" s="233"/>
      <c r="N2" s="279"/>
    </row>
    <row r="3" spans="2:14" ht="25.5">
      <c r="B3" s="745"/>
      <c r="C3" s="149" t="s">
        <v>108</v>
      </c>
      <c r="D3" s="234"/>
      <c r="E3" s="234"/>
      <c r="F3" s="234" t="s">
        <v>16</v>
      </c>
      <c r="G3" s="234"/>
      <c r="H3" s="234"/>
      <c r="I3" s="255"/>
      <c r="J3" s="256"/>
      <c r="K3" s="235">
        <v>1</v>
      </c>
      <c r="L3" s="235"/>
      <c r="M3" s="236"/>
      <c r="N3" s="280"/>
    </row>
    <row r="4" spans="2:14">
      <c r="B4" s="745"/>
      <c r="C4" s="149" t="s">
        <v>112</v>
      </c>
      <c r="D4" s="234"/>
      <c r="E4" s="234"/>
      <c r="F4" s="234" t="s">
        <v>16</v>
      </c>
      <c r="G4" s="234"/>
      <c r="H4" s="234"/>
      <c r="I4" s="255"/>
      <c r="J4" s="256"/>
      <c r="K4" s="235">
        <v>4</v>
      </c>
      <c r="L4" s="235"/>
      <c r="M4" s="236"/>
      <c r="N4" s="280"/>
    </row>
    <row r="5" spans="2:14" ht="38.25">
      <c r="B5" s="745"/>
      <c r="C5" s="149" t="s">
        <v>313</v>
      </c>
      <c r="D5" s="234"/>
      <c r="E5" s="234"/>
      <c r="F5" s="234" t="s">
        <v>16</v>
      </c>
      <c r="G5" s="234"/>
      <c r="H5" s="234"/>
      <c r="I5" s="255"/>
      <c r="J5" s="256"/>
      <c r="K5" s="235">
        <v>2</v>
      </c>
      <c r="L5" s="235"/>
      <c r="M5" s="236"/>
      <c r="N5" s="280"/>
    </row>
    <row r="6" spans="2:14">
      <c r="B6" s="745"/>
      <c r="C6" s="149" t="s">
        <v>314</v>
      </c>
      <c r="D6" s="234"/>
      <c r="E6" s="234"/>
      <c r="F6" s="234" t="s">
        <v>16</v>
      </c>
      <c r="G6" s="234"/>
      <c r="H6" s="234"/>
      <c r="I6" s="255"/>
      <c r="J6" s="256"/>
      <c r="K6" s="235">
        <v>4</v>
      </c>
      <c r="L6" s="235"/>
      <c r="M6" s="236"/>
      <c r="N6" s="280"/>
    </row>
    <row r="7" spans="2:14">
      <c r="B7" s="745"/>
      <c r="C7" s="149" t="s">
        <v>315</v>
      </c>
      <c r="D7" s="234"/>
      <c r="E7" s="234"/>
      <c r="F7" s="234" t="s">
        <v>16</v>
      </c>
      <c r="G7" s="234"/>
      <c r="H7" s="234"/>
      <c r="I7" s="255"/>
      <c r="J7" s="256"/>
      <c r="K7" s="235">
        <v>2</v>
      </c>
      <c r="L7" s="235"/>
      <c r="M7" s="236"/>
      <c r="N7" s="280"/>
    </row>
    <row r="8" spans="2:14">
      <c r="B8" s="745"/>
      <c r="C8" s="149" t="s">
        <v>316</v>
      </c>
      <c r="D8" s="234"/>
      <c r="E8" s="234"/>
      <c r="F8" s="234" t="s">
        <v>16</v>
      </c>
      <c r="G8" s="234"/>
      <c r="H8" s="234"/>
      <c r="I8" s="255"/>
      <c r="J8" s="256"/>
      <c r="K8" s="235">
        <v>30</v>
      </c>
      <c r="L8" s="235">
        <v>20</v>
      </c>
      <c r="M8" s="239">
        <v>10</v>
      </c>
      <c r="N8" s="280"/>
    </row>
    <row r="9" spans="2:14">
      <c r="B9" s="745"/>
      <c r="C9" s="149" t="s">
        <v>317</v>
      </c>
      <c r="D9" s="234"/>
      <c r="E9" s="234"/>
      <c r="F9" s="234" t="s">
        <v>16</v>
      </c>
      <c r="G9" s="234"/>
      <c r="H9" s="234"/>
      <c r="I9" s="255"/>
      <c r="J9" s="256"/>
      <c r="K9" s="235">
        <v>20</v>
      </c>
      <c r="L9" s="290">
        <v>4</v>
      </c>
      <c r="M9" s="297"/>
      <c r="N9" s="280"/>
    </row>
    <row r="10" spans="2:14">
      <c r="B10" s="775"/>
      <c r="C10" s="71" t="s">
        <v>318</v>
      </c>
      <c r="D10" s="241"/>
      <c r="E10" s="241"/>
      <c r="F10" s="241" t="s">
        <v>16</v>
      </c>
      <c r="G10" s="241"/>
      <c r="H10" s="241"/>
      <c r="I10" s="259"/>
      <c r="J10" s="260"/>
      <c r="K10" s="242">
        <v>10</v>
      </c>
      <c r="L10" s="298">
        <v>6</v>
      </c>
      <c r="M10" s="299"/>
      <c r="N10" s="288"/>
    </row>
    <row r="11" spans="2:14">
      <c r="B11" s="798" t="s">
        <v>319</v>
      </c>
      <c r="C11" s="300" t="s">
        <v>320</v>
      </c>
      <c r="D11" s="301"/>
      <c r="E11" s="285" t="s">
        <v>16</v>
      </c>
      <c r="F11" s="301"/>
      <c r="G11" s="301"/>
      <c r="H11" s="301"/>
      <c r="I11" s="302"/>
      <c r="J11" s="302"/>
      <c r="K11" s="285">
        <v>4</v>
      </c>
      <c r="L11" s="287"/>
      <c r="M11" s="303"/>
      <c r="N11" s="333"/>
    </row>
    <row r="12" spans="2:14" ht="25.5">
      <c r="B12" s="798"/>
      <c r="C12" s="182" t="s">
        <v>108</v>
      </c>
      <c r="D12" s="183"/>
      <c r="E12" s="188" t="s">
        <v>16</v>
      </c>
      <c r="F12" s="183"/>
      <c r="G12" s="183"/>
      <c r="H12" s="183"/>
      <c r="I12" s="286"/>
      <c r="J12" s="286"/>
      <c r="K12" s="188">
        <v>1</v>
      </c>
      <c r="L12" s="291"/>
      <c r="M12" s="289"/>
      <c r="N12" s="334"/>
    </row>
    <row r="13" spans="2:14">
      <c r="B13" s="798"/>
      <c r="C13" s="182" t="s">
        <v>112</v>
      </c>
      <c r="D13" s="183"/>
      <c r="E13" s="188" t="s">
        <v>16</v>
      </c>
      <c r="F13" s="183"/>
      <c r="G13" s="183"/>
      <c r="H13" s="183"/>
      <c r="I13" s="286"/>
      <c r="J13" s="286"/>
      <c r="K13" s="188">
        <v>4</v>
      </c>
      <c r="L13" s="188"/>
      <c r="M13" s="287"/>
      <c r="N13" s="359"/>
    </row>
    <row r="14" spans="2:14" ht="48.75" customHeight="1">
      <c r="B14" s="798"/>
      <c r="C14" s="182" t="s">
        <v>313</v>
      </c>
      <c r="D14" s="183"/>
      <c r="E14" s="188" t="s">
        <v>16</v>
      </c>
      <c r="F14" s="183"/>
      <c r="G14" s="183"/>
      <c r="H14" s="183"/>
      <c r="I14" s="286"/>
      <c r="J14" s="286"/>
      <c r="K14" s="188">
        <v>2</v>
      </c>
      <c r="L14" s="188"/>
      <c r="M14" s="287"/>
      <c r="N14" s="359"/>
    </row>
    <row r="15" spans="2:14">
      <c r="B15" s="798"/>
      <c r="C15" s="182" t="s">
        <v>314</v>
      </c>
      <c r="D15" s="183"/>
      <c r="E15" s="188" t="s">
        <v>16</v>
      </c>
      <c r="F15" s="183"/>
      <c r="G15" s="183"/>
      <c r="H15" s="183"/>
      <c r="I15" s="286"/>
      <c r="J15" s="286"/>
      <c r="K15" s="188">
        <v>4</v>
      </c>
      <c r="L15" s="188"/>
      <c r="M15" s="287"/>
      <c r="N15" s="359"/>
    </row>
    <row r="16" spans="2:14">
      <c r="B16" s="798"/>
      <c r="C16" s="182" t="s">
        <v>315</v>
      </c>
      <c r="D16" s="183"/>
      <c r="E16" s="188" t="s">
        <v>16</v>
      </c>
      <c r="F16" s="183"/>
      <c r="G16" s="183"/>
      <c r="H16" s="183"/>
      <c r="I16" s="286"/>
      <c r="J16" s="286"/>
      <c r="K16" s="188">
        <v>2</v>
      </c>
      <c r="L16" s="188"/>
      <c r="M16" s="287"/>
      <c r="N16" s="359"/>
    </row>
    <row r="17" spans="2:14">
      <c r="B17" s="798"/>
      <c r="C17" s="182" t="s">
        <v>321</v>
      </c>
      <c r="D17" s="183"/>
      <c r="E17" s="188" t="s">
        <v>16</v>
      </c>
      <c r="F17" s="183"/>
      <c r="G17" s="183"/>
      <c r="H17" s="183"/>
      <c r="I17" s="286"/>
      <c r="J17" s="286"/>
      <c r="K17" s="188">
        <v>10</v>
      </c>
      <c r="L17" s="188">
        <v>5</v>
      </c>
      <c r="M17" s="287">
        <v>5</v>
      </c>
      <c r="N17" s="359"/>
    </row>
    <row r="18" spans="2:14">
      <c r="B18" s="798"/>
      <c r="C18" s="182" t="s">
        <v>318</v>
      </c>
      <c r="D18" s="183"/>
      <c r="E18" s="188" t="s">
        <v>16</v>
      </c>
      <c r="F18" s="183"/>
      <c r="G18" s="183"/>
      <c r="H18" s="183"/>
      <c r="I18" s="286"/>
      <c r="J18" s="286"/>
      <c r="K18" s="188">
        <v>2</v>
      </c>
      <c r="L18" s="188">
        <v>6</v>
      </c>
      <c r="M18" s="287"/>
      <c r="N18" s="359"/>
    </row>
    <row r="19" spans="2:14" ht="26.25">
      <c r="B19" s="799"/>
      <c r="C19" s="292" t="s">
        <v>322</v>
      </c>
      <c r="D19" s="293"/>
      <c r="E19" s="293"/>
      <c r="F19" s="293" t="s">
        <v>16</v>
      </c>
      <c r="G19" s="293"/>
      <c r="H19" s="293" t="s">
        <v>16</v>
      </c>
      <c r="I19" s="294"/>
      <c r="J19" s="294"/>
      <c r="K19" s="295">
        <v>10</v>
      </c>
      <c r="L19" s="295"/>
      <c r="M19" s="296"/>
      <c r="N19" s="360"/>
    </row>
    <row r="20" spans="2:14" ht="23.25" customHeight="1">
      <c r="B20" s="766" t="s">
        <v>323</v>
      </c>
      <c r="C20" s="195" t="s">
        <v>106</v>
      </c>
      <c r="D20" s="281" t="s">
        <v>16</v>
      </c>
      <c r="E20" s="281"/>
      <c r="F20" s="281" t="s">
        <v>16</v>
      </c>
      <c r="G20" s="281"/>
      <c r="H20" s="281"/>
      <c r="I20" s="282"/>
      <c r="J20" s="283"/>
      <c r="K20" s="240">
        <v>2</v>
      </c>
      <c r="L20" s="240">
        <v>1</v>
      </c>
      <c r="M20" s="236"/>
      <c r="N20" s="210"/>
    </row>
    <row r="21" spans="2:14" ht="25.5">
      <c r="B21" s="745"/>
      <c r="C21" s="149" t="s">
        <v>324</v>
      </c>
      <c r="D21" s="234"/>
      <c r="E21" s="234"/>
      <c r="F21" s="234" t="s">
        <v>16</v>
      </c>
      <c r="G21" s="234"/>
      <c r="H21" s="234"/>
      <c r="I21" s="255"/>
      <c r="J21" s="256"/>
      <c r="K21" s="235">
        <v>1</v>
      </c>
      <c r="L21" s="235"/>
      <c r="M21" s="236"/>
      <c r="N21" s="193"/>
    </row>
    <row r="22" spans="2:14">
      <c r="B22" s="745"/>
      <c r="C22" s="149" t="s">
        <v>325</v>
      </c>
      <c r="D22" s="234"/>
      <c r="E22" s="234"/>
      <c r="F22" s="234" t="s">
        <v>16</v>
      </c>
      <c r="G22" s="234"/>
      <c r="H22" s="234"/>
      <c r="I22" s="255"/>
      <c r="J22" s="256"/>
      <c r="K22" s="235">
        <v>1</v>
      </c>
      <c r="L22" s="235"/>
      <c r="M22" s="236"/>
      <c r="N22" s="193"/>
    </row>
    <row r="23" spans="2:14">
      <c r="B23" s="745"/>
      <c r="C23" s="149" t="s">
        <v>308</v>
      </c>
      <c r="D23" s="234"/>
      <c r="E23" s="234"/>
      <c r="F23" s="234" t="s">
        <v>16</v>
      </c>
      <c r="G23" s="234"/>
      <c r="H23" s="234"/>
      <c r="I23" s="255"/>
      <c r="J23" s="256"/>
      <c r="K23" s="235">
        <v>4</v>
      </c>
      <c r="L23" s="235"/>
      <c r="M23" s="236"/>
      <c r="N23" s="193"/>
    </row>
    <row r="24" spans="2:14">
      <c r="B24" s="745"/>
      <c r="C24" s="149" t="s">
        <v>326</v>
      </c>
      <c r="D24" s="234"/>
      <c r="E24" s="234"/>
      <c r="F24" s="234" t="s">
        <v>16</v>
      </c>
      <c r="G24" s="234"/>
      <c r="H24" s="234"/>
      <c r="I24" s="255"/>
      <c r="J24" s="256"/>
      <c r="K24" s="235">
        <v>4</v>
      </c>
      <c r="L24" s="235"/>
      <c r="M24" s="236"/>
      <c r="N24" s="193"/>
    </row>
    <row r="25" spans="2:14">
      <c r="B25" s="745"/>
      <c r="C25" s="149" t="s">
        <v>327</v>
      </c>
      <c r="D25" s="234"/>
      <c r="E25" s="234"/>
      <c r="F25" s="234" t="s">
        <v>16</v>
      </c>
      <c r="G25" s="234"/>
      <c r="H25" s="234"/>
      <c r="I25" s="255"/>
      <c r="J25" s="256"/>
      <c r="K25" s="235">
        <v>4</v>
      </c>
      <c r="L25" s="235"/>
      <c r="M25" s="236"/>
      <c r="N25" s="193"/>
    </row>
    <row r="26" spans="2:14">
      <c r="B26" s="746"/>
      <c r="C26" s="147" t="s">
        <v>30</v>
      </c>
      <c r="D26" s="237"/>
      <c r="E26" s="237"/>
      <c r="F26" s="237" t="s">
        <v>16</v>
      </c>
      <c r="G26" s="237"/>
      <c r="H26" s="237"/>
      <c r="I26" s="257"/>
      <c r="J26" s="258"/>
      <c r="K26" s="238">
        <v>8</v>
      </c>
      <c r="L26" s="238"/>
      <c r="M26" s="239"/>
      <c r="N26" s="193"/>
    </row>
    <row r="27" spans="2:14" ht="23.25" customHeight="1">
      <c r="B27" s="744" t="s">
        <v>328</v>
      </c>
      <c r="C27" s="145" t="s">
        <v>106</v>
      </c>
      <c r="D27" s="231" t="s">
        <v>16</v>
      </c>
      <c r="E27" s="231" t="s">
        <v>16</v>
      </c>
      <c r="F27" s="231"/>
      <c r="G27" s="231"/>
      <c r="H27" s="231"/>
      <c r="I27" s="253"/>
      <c r="J27" s="254"/>
      <c r="K27" s="383">
        <v>2</v>
      </c>
      <c r="L27" s="383">
        <f>K27*0.5</f>
        <v>1</v>
      </c>
      <c r="M27" s="383">
        <f t="shared" ref="M27:M32" si="0">K27*2</f>
        <v>4</v>
      </c>
      <c r="N27" s="193"/>
    </row>
    <row r="28" spans="2:14" ht="25.5">
      <c r="B28" s="745"/>
      <c r="C28" s="149" t="s">
        <v>324</v>
      </c>
      <c r="D28" s="234"/>
      <c r="E28" s="234" t="s">
        <v>16</v>
      </c>
      <c r="F28" s="234"/>
      <c r="G28" s="234"/>
      <c r="H28" s="234"/>
      <c r="I28" s="255"/>
      <c r="J28" s="256"/>
      <c r="K28" s="383">
        <v>1</v>
      </c>
      <c r="L28" s="383">
        <f t="shared" ref="L28:L32" si="1">K28*0.5</f>
        <v>0.5</v>
      </c>
      <c r="M28" s="383">
        <f t="shared" si="0"/>
        <v>2</v>
      </c>
      <c r="N28" s="193"/>
    </row>
    <row r="29" spans="2:14">
      <c r="B29" s="745"/>
      <c r="C29" s="149" t="s">
        <v>325</v>
      </c>
      <c r="D29" s="234"/>
      <c r="E29" s="234" t="s">
        <v>16</v>
      </c>
      <c r="F29" s="234"/>
      <c r="G29" s="234"/>
      <c r="H29" s="234"/>
      <c r="I29" s="255"/>
      <c r="J29" s="256"/>
      <c r="K29" s="383">
        <v>1</v>
      </c>
      <c r="L29" s="383">
        <f t="shared" si="1"/>
        <v>0.5</v>
      </c>
      <c r="M29" s="383">
        <f t="shared" si="0"/>
        <v>2</v>
      </c>
      <c r="N29" s="193"/>
    </row>
    <row r="30" spans="2:14">
      <c r="B30" s="745"/>
      <c r="C30" s="149" t="s">
        <v>308</v>
      </c>
      <c r="D30" s="234"/>
      <c r="E30" s="234" t="s">
        <v>16</v>
      </c>
      <c r="F30" s="234"/>
      <c r="G30" s="234"/>
      <c r="H30" s="234"/>
      <c r="I30" s="255"/>
      <c r="J30" s="256"/>
      <c r="K30" s="383">
        <v>2</v>
      </c>
      <c r="L30" s="383">
        <f t="shared" si="1"/>
        <v>1</v>
      </c>
      <c r="M30" s="383">
        <f t="shared" si="0"/>
        <v>4</v>
      </c>
      <c r="N30" s="193"/>
    </row>
    <row r="31" spans="2:14">
      <c r="B31" s="745"/>
      <c r="C31" s="149" t="s">
        <v>329</v>
      </c>
      <c r="D31" s="234"/>
      <c r="E31" s="234" t="s">
        <v>16</v>
      </c>
      <c r="F31" s="234"/>
      <c r="G31" s="234"/>
      <c r="H31" s="234"/>
      <c r="I31" s="255"/>
      <c r="J31" s="256"/>
      <c r="K31" s="383">
        <v>2</v>
      </c>
      <c r="L31" s="383">
        <f t="shared" si="1"/>
        <v>1</v>
      </c>
      <c r="M31" s="383">
        <f t="shared" si="0"/>
        <v>4</v>
      </c>
      <c r="N31" s="193"/>
    </row>
    <row r="32" spans="2:14">
      <c r="B32" s="746"/>
      <c r="C32" s="197" t="s">
        <v>180</v>
      </c>
      <c r="D32" s="237"/>
      <c r="E32" s="237" t="s">
        <v>16</v>
      </c>
      <c r="F32" s="237"/>
      <c r="G32" s="237"/>
      <c r="H32" s="237"/>
      <c r="I32" s="257"/>
      <c r="J32" s="258"/>
      <c r="K32" s="384">
        <v>4</v>
      </c>
      <c r="L32" s="384">
        <f t="shared" si="1"/>
        <v>2</v>
      </c>
      <c r="M32" s="384">
        <f t="shared" si="0"/>
        <v>8</v>
      </c>
      <c r="N32" s="193"/>
    </row>
    <row r="33" spans="1:14" ht="23.25" customHeight="1">
      <c r="B33" s="744" t="s">
        <v>330</v>
      </c>
      <c r="C33" s="145" t="s">
        <v>331</v>
      </c>
      <c r="D33" s="231" t="s">
        <v>16</v>
      </c>
      <c r="E33" s="231" t="s">
        <v>16</v>
      </c>
      <c r="F33" s="231"/>
      <c r="G33" s="231"/>
      <c r="H33" s="231"/>
      <c r="I33" s="253"/>
      <c r="J33" s="254"/>
      <c r="K33" s="232">
        <v>2</v>
      </c>
      <c r="L33" s="232"/>
      <c r="M33" s="233"/>
      <c r="N33" s="193"/>
    </row>
    <row r="34" spans="1:14" ht="25.5">
      <c r="B34" s="745"/>
      <c r="C34" s="149" t="s">
        <v>332</v>
      </c>
      <c r="D34" s="234"/>
      <c r="E34" s="234" t="s">
        <v>16</v>
      </c>
      <c r="F34" s="234"/>
      <c r="G34" s="234"/>
      <c r="H34" s="234"/>
      <c r="I34" s="255"/>
      <c r="J34" s="256"/>
      <c r="K34" s="235">
        <v>1</v>
      </c>
      <c r="L34" s="235"/>
      <c r="M34" s="236"/>
      <c r="N34" s="193"/>
    </row>
    <row r="35" spans="1:14">
      <c r="B35" s="745"/>
      <c r="C35" s="149" t="s">
        <v>325</v>
      </c>
      <c r="D35" s="234"/>
      <c r="E35" s="234" t="s">
        <v>16</v>
      </c>
      <c r="F35" s="234"/>
      <c r="G35" s="234"/>
      <c r="H35" s="234"/>
      <c r="I35" s="255"/>
      <c r="J35" s="256"/>
      <c r="K35" s="235">
        <v>1</v>
      </c>
      <c r="L35" s="235"/>
      <c r="M35" s="236"/>
      <c r="N35" s="193"/>
    </row>
    <row r="36" spans="1:14">
      <c r="B36" s="745"/>
      <c r="C36" s="149" t="s">
        <v>308</v>
      </c>
      <c r="D36" s="234"/>
      <c r="E36" s="234" t="s">
        <v>16</v>
      </c>
      <c r="F36" s="234"/>
      <c r="G36" s="234"/>
      <c r="H36" s="234"/>
      <c r="I36" s="255"/>
      <c r="J36" s="256"/>
      <c r="K36" s="235">
        <v>2</v>
      </c>
      <c r="L36" s="235"/>
      <c r="M36" s="236"/>
      <c r="N36" s="193"/>
    </row>
    <row r="37" spans="1:14">
      <c r="B37" s="745"/>
      <c r="C37" s="149" t="s">
        <v>333</v>
      </c>
      <c r="D37" s="234"/>
      <c r="E37" s="234" t="s">
        <v>16</v>
      </c>
      <c r="F37" s="234"/>
      <c r="G37" s="234"/>
      <c r="H37" s="234"/>
      <c r="I37" s="255"/>
      <c r="J37" s="256"/>
      <c r="K37" s="235">
        <v>2</v>
      </c>
      <c r="L37" s="235"/>
      <c r="M37" s="236"/>
      <c r="N37" s="193"/>
    </row>
    <row r="38" spans="1:14">
      <c r="B38" s="746"/>
      <c r="C38" s="147" t="s">
        <v>334</v>
      </c>
      <c r="D38" s="237"/>
      <c r="E38" s="237" t="s">
        <v>16</v>
      </c>
      <c r="F38" s="237"/>
      <c r="G38" s="237"/>
      <c r="H38" s="237"/>
      <c r="I38" s="257"/>
      <c r="J38" s="258"/>
      <c r="K38" s="238">
        <v>1</v>
      </c>
      <c r="L38" s="238"/>
      <c r="M38" s="239"/>
      <c r="N38" s="198"/>
    </row>
    <row r="39" spans="1:14" ht="69" customHeight="1">
      <c r="A39" s="816" t="s">
        <v>335</v>
      </c>
      <c r="B39" s="813" t="s">
        <v>336</v>
      </c>
      <c r="C39" s="145" t="s">
        <v>106</v>
      </c>
      <c r="D39" s="231" t="s">
        <v>16</v>
      </c>
      <c r="E39" s="231" t="s">
        <v>16</v>
      </c>
      <c r="F39" s="231"/>
      <c r="G39" s="231"/>
      <c r="H39" s="231"/>
      <c r="I39" s="253"/>
      <c r="J39" s="254"/>
      <c r="K39" s="232">
        <v>23</v>
      </c>
      <c r="L39" s="232"/>
      <c r="M39" s="232"/>
      <c r="N39" s="393" t="s">
        <v>337</v>
      </c>
    </row>
    <row r="40" spans="1:14" ht="25.5">
      <c r="A40" s="811"/>
      <c r="B40" s="814"/>
      <c r="C40" s="149" t="s">
        <v>108</v>
      </c>
      <c r="D40" s="234"/>
      <c r="E40" s="234" t="s">
        <v>16</v>
      </c>
      <c r="F40" s="234"/>
      <c r="G40" s="234"/>
      <c r="H40" s="234"/>
      <c r="I40" s="255"/>
      <c r="J40" s="256"/>
      <c r="K40" s="235">
        <f>0.5*23</f>
        <v>11.5</v>
      </c>
      <c r="L40" s="235"/>
      <c r="M40" s="240"/>
      <c r="N40" s="394" t="s">
        <v>338</v>
      </c>
    </row>
    <row r="41" spans="1:14">
      <c r="A41" s="811"/>
      <c r="B41" s="814"/>
      <c r="C41" s="149" t="s">
        <v>339</v>
      </c>
      <c r="D41" s="234"/>
      <c r="E41" s="234" t="s">
        <v>16</v>
      </c>
      <c r="F41" s="234"/>
      <c r="G41" s="234"/>
      <c r="H41" s="234"/>
      <c r="I41" s="255"/>
      <c r="J41" s="256"/>
      <c r="K41" s="235">
        <f>0.5*23</f>
        <v>11.5</v>
      </c>
      <c r="L41" s="235"/>
      <c r="M41" s="240"/>
      <c r="N41" s="394" t="s">
        <v>338</v>
      </c>
    </row>
    <row r="42" spans="1:14">
      <c r="A42" s="811"/>
      <c r="B42" s="814"/>
      <c r="C42" s="149" t="s">
        <v>112</v>
      </c>
      <c r="D42" s="234"/>
      <c r="E42" s="234" t="s">
        <v>16</v>
      </c>
      <c r="F42" s="234"/>
      <c r="G42" s="234"/>
      <c r="H42" s="234"/>
      <c r="I42" s="255"/>
      <c r="J42" s="256"/>
      <c r="K42" s="235">
        <f>1*23</f>
        <v>23</v>
      </c>
      <c r="L42" s="235"/>
      <c r="M42" s="240"/>
      <c r="N42" s="394" t="s">
        <v>340</v>
      </c>
    </row>
    <row r="43" spans="1:14">
      <c r="A43" s="811"/>
      <c r="B43" s="814"/>
      <c r="C43" s="149" t="s">
        <v>341</v>
      </c>
      <c r="D43" s="234"/>
      <c r="E43" s="234" t="s">
        <v>16</v>
      </c>
      <c r="F43" s="234"/>
      <c r="G43" s="234"/>
      <c r="H43" s="234"/>
      <c r="I43" s="255"/>
      <c r="J43" s="256"/>
      <c r="K43" s="235">
        <f>1*23</f>
        <v>23</v>
      </c>
      <c r="L43" s="235"/>
      <c r="M43" s="240"/>
      <c r="N43" s="394" t="s">
        <v>342</v>
      </c>
    </row>
    <row r="44" spans="1:14">
      <c r="A44" s="811"/>
      <c r="B44" s="814"/>
      <c r="C44" s="149" t="s">
        <v>327</v>
      </c>
      <c r="D44" s="234"/>
      <c r="E44" s="234" t="s">
        <v>16</v>
      </c>
      <c r="F44" s="234"/>
      <c r="G44" s="234"/>
      <c r="H44" s="234"/>
      <c r="I44" s="255"/>
      <c r="J44" s="256"/>
      <c r="K44" s="235">
        <f>1*23</f>
        <v>23</v>
      </c>
      <c r="L44" s="235"/>
      <c r="M44" s="240"/>
      <c r="N44" s="394" t="s">
        <v>342</v>
      </c>
    </row>
    <row r="45" spans="1:14">
      <c r="A45" s="811"/>
      <c r="B45" s="814"/>
      <c r="C45" s="149" t="s">
        <v>343</v>
      </c>
      <c r="D45" s="234"/>
      <c r="E45" s="234" t="s">
        <v>16</v>
      </c>
      <c r="F45" s="234"/>
      <c r="G45" s="234"/>
      <c r="H45" s="234"/>
      <c r="I45" s="255"/>
      <c r="J45" s="256"/>
      <c r="K45" s="235">
        <v>23</v>
      </c>
      <c r="L45" s="235"/>
      <c r="M45" s="240"/>
      <c r="N45" s="394" t="s">
        <v>340</v>
      </c>
    </row>
    <row r="46" spans="1:14">
      <c r="A46" s="812"/>
      <c r="B46" s="815"/>
      <c r="C46" s="196" t="s">
        <v>30</v>
      </c>
      <c r="D46" s="241"/>
      <c r="E46" s="241"/>
      <c r="F46" s="241"/>
      <c r="G46" s="241"/>
      <c r="H46" s="241"/>
      <c r="I46" s="259"/>
      <c r="J46" s="260"/>
      <c r="K46" s="242"/>
      <c r="L46" s="242"/>
      <c r="M46" s="243"/>
      <c r="N46" s="395"/>
    </row>
    <row r="47" spans="1:14">
      <c r="B47" s="308"/>
      <c r="C47" s="204" t="s">
        <v>344</v>
      </c>
      <c r="D47" s="244"/>
      <c r="E47" s="244"/>
      <c r="F47" s="244"/>
      <c r="G47" s="244" t="s">
        <v>16</v>
      </c>
      <c r="H47" s="244"/>
      <c r="I47" s="261"/>
      <c r="J47" s="262"/>
      <c r="K47" s="245">
        <v>8</v>
      </c>
      <c r="L47" s="245"/>
      <c r="M47" s="245">
        <v>8</v>
      </c>
      <c r="N47" s="205"/>
    </row>
    <row r="48" spans="1:14" ht="58.5" customHeight="1">
      <c r="A48" s="808" t="s">
        <v>345</v>
      </c>
      <c r="B48" s="805" t="s">
        <v>346</v>
      </c>
      <c r="C48" s="141" t="s">
        <v>347</v>
      </c>
      <c r="D48" s="246"/>
      <c r="E48" s="246"/>
      <c r="F48" s="246" t="s">
        <v>16</v>
      </c>
      <c r="G48" s="246"/>
      <c r="H48" s="246"/>
      <c r="I48" s="263"/>
      <c r="J48" s="264"/>
      <c r="K48" s="247">
        <v>3</v>
      </c>
      <c r="L48" s="232"/>
      <c r="M48" s="232"/>
      <c r="N48" s="201"/>
    </row>
    <row r="49" spans="1:14" ht="25.5">
      <c r="A49" s="809"/>
      <c r="B49" s="806"/>
      <c r="C49" s="142" t="s">
        <v>348</v>
      </c>
      <c r="D49" s="248"/>
      <c r="E49" s="248"/>
      <c r="F49" s="248" t="s">
        <v>16</v>
      </c>
      <c r="G49" s="248"/>
      <c r="H49" s="248"/>
      <c r="I49" s="265"/>
      <c r="J49" s="266"/>
      <c r="K49" s="249">
        <v>2</v>
      </c>
      <c r="L49" s="235"/>
      <c r="M49" s="240"/>
      <c r="N49" s="202"/>
    </row>
    <row r="50" spans="1:14" ht="25.5">
      <c r="A50" s="809"/>
      <c r="B50" s="806"/>
      <c r="C50" s="142" t="s">
        <v>349</v>
      </c>
      <c r="D50" s="248"/>
      <c r="E50" s="248"/>
      <c r="F50" s="248" t="s">
        <v>16</v>
      </c>
      <c r="G50" s="248"/>
      <c r="H50" s="248"/>
      <c r="I50" s="265"/>
      <c r="J50" s="266"/>
      <c r="K50" s="249">
        <v>1</v>
      </c>
      <c r="L50" s="235"/>
      <c r="M50" s="240"/>
      <c r="N50" s="202"/>
    </row>
    <row r="51" spans="1:14" ht="25.5">
      <c r="A51" s="809"/>
      <c r="B51" s="806"/>
      <c r="C51" s="142" t="s">
        <v>350</v>
      </c>
      <c r="D51" s="248"/>
      <c r="E51" s="248"/>
      <c r="F51" s="248"/>
      <c r="G51" s="248" t="s">
        <v>16</v>
      </c>
      <c r="H51" s="248"/>
      <c r="I51" s="265"/>
      <c r="J51" s="266"/>
      <c r="K51" s="249"/>
      <c r="L51" s="235">
        <v>18</v>
      </c>
      <c r="M51" s="240"/>
      <c r="N51" s="202"/>
    </row>
    <row r="52" spans="1:14" ht="38.25">
      <c r="A52" s="809"/>
      <c r="B52" s="806"/>
      <c r="C52" s="142" t="s">
        <v>351</v>
      </c>
      <c r="D52" s="248"/>
      <c r="E52" s="248"/>
      <c r="F52" s="248" t="s">
        <v>16</v>
      </c>
      <c r="G52" s="248"/>
      <c r="H52" s="248"/>
      <c r="I52" s="265"/>
      <c r="J52" s="266"/>
      <c r="K52" s="249">
        <v>6</v>
      </c>
      <c r="L52" s="235"/>
      <c r="M52" s="240">
        <v>6</v>
      </c>
      <c r="N52" s="202"/>
    </row>
    <row r="53" spans="1:14" ht="25.5">
      <c r="A53" s="809"/>
      <c r="B53" s="806"/>
      <c r="C53" s="142" t="s">
        <v>352</v>
      </c>
      <c r="D53" s="248"/>
      <c r="E53" s="248"/>
      <c r="F53" s="248" t="s">
        <v>16</v>
      </c>
      <c r="G53" s="248"/>
      <c r="H53" s="248"/>
      <c r="I53" s="265"/>
      <c r="J53" s="266"/>
      <c r="K53" s="249">
        <v>2</v>
      </c>
      <c r="L53" s="235"/>
      <c r="M53" s="240"/>
      <c r="N53" s="202"/>
    </row>
    <row r="54" spans="1:14">
      <c r="A54" s="809"/>
      <c r="B54" s="806"/>
      <c r="C54" s="142" t="s">
        <v>353</v>
      </c>
      <c r="D54" s="248"/>
      <c r="E54" s="248"/>
      <c r="F54" s="248" t="s">
        <v>16</v>
      </c>
      <c r="G54" s="248"/>
      <c r="H54" s="248"/>
      <c r="I54" s="265"/>
      <c r="J54" s="266"/>
      <c r="K54" s="249">
        <v>6</v>
      </c>
      <c r="L54" s="235"/>
      <c r="M54" s="240">
        <v>6</v>
      </c>
      <c r="N54" s="202"/>
    </row>
    <row r="55" spans="1:14">
      <c r="A55" s="810"/>
      <c r="B55" s="807"/>
      <c r="C55" s="144" t="s">
        <v>354</v>
      </c>
      <c r="D55" s="250"/>
      <c r="E55" s="250"/>
      <c r="F55" s="250" t="s">
        <v>16</v>
      </c>
      <c r="G55" s="250"/>
      <c r="H55" s="250"/>
      <c r="I55" s="267"/>
      <c r="J55" s="268"/>
      <c r="K55" s="251">
        <v>1</v>
      </c>
      <c r="L55" s="238"/>
      <c r="M55" s="245"/>
      <c r="N55" s="206"/>
    </row>
    <row r="56" spans="1:14" ht="81" customHeight="1">
      <c r="A56" s="811" t="s">
        <v>355</v>
      </c>
      <c r="B56" s="805" t="s">
        <v>356</v>
      </c>
      <c r="C56" s="141" t="s">
        <v>347</v>
      </c>
      <c r="D56" s="246" t="s">
        <v>16</v>
      </c>
      <c r="E56" s="246" t="s">
        <v>16</v>
      </c>
      <c r="F56" s="246"/>
      <c r="G56" s="246"/>
      <c r="H56" s="246"/>
      <c r="I56" s="263"/>
      <c r="J56" s="264"/>
      <c r="K56" s="247">
        <v>3</v>
      </c>
      <c r="L56" s="232"/>
      <c r="M56" s="232"/>
      <c r="N56" s="201"/>
    </row>
    <row r="57" spans="1:14" ht="25.5">
      <c r="A57" s="811"/>
      <c r="B57" s="806"/>
      <c r="C57" s="142" t="s">
        <v>348</v>
      </c>
      <c r="D57" s="248"/>
      <c r="E57" s="248" t="s">
        <v>16</v>
      </c>
      <c r="F57" s="248"/>
      <c r="G57" s="248"/>
      <c r="H57" s="248"/>
      <c r="I57" s="265"/>
      <c r="J57" s="266"/>
      <c r="K57" s="249">
        <v>2</v>
      </c>
      <c r="L57" s="235"/>
      <c r="M57" s="240"/>
      <c r="N57" s="202"/>
    </row>
    <row r="58" spans="1:14" ht="25.5">
      <c r="A58" s="811"/>
      <c r="B58" s="806"/>
      <c r="C58" s="142" t="s">
        <v>349</v>
      </c>
      <c r="D58" s="248"/>
      <c r="E58" s="248" t="s">
        <v>16</v>
      </c>
      <c r="F58" s="248"/>
      <c r="G58" s="248"/>
      <c r="H58" s="248"/>
      <c r="I58" s="265"/>
      <c r="J58" s="266"/>
      <c r="K58" s="249">
        <v>1</v>
      </c>
      <c r="L58" s="235"/>
      <c r="M58" s="240"/>
      <c r="N58" s="202"/>
    </row>
    <row r="59" spans="1:14" ht="25.5">
      <c r="A59" s="811"/>
      <c r="B59" s="806"/>
      <c r="C59" s="142" t="s">
        <v>357</v>
      </c>
      <c r="D59" s="248"/>
      <c r="E59" s="248"/>
      <c r="F59" s="248" t="s">
        <v>16</v>
      </c>
      <c r="G59" s="248"/>
      <c r="H59" s="248"/>
      <c r="I59" s="265"/>
      <c r="J59" s="266"/>
      <c r="K59" s="249">
        <v>20</v>
      </c>
      <c r="L59" s="235"/>
      <c r="M59" s="240"/>
      <c r="N59" s="202"/>
    </row>
    <row r="60" spans="1:14">
      <c r="A60" s="811"/>
      <c r="B60" s="806"/>
      <c r="C60" s="142" t="s">
        <v>358</v>
      </c>
      <c r="D60" s="248"/>
      <c r="E60" s="248" t="s">
        <v>16</v>
      </c>
      <c r="F60" s="248"/>
      <c r="G60" s="248"/>
      <c r="H60" s="248"/>
      <c r="I60" s="265"/>
      <c r="J60" s="266"/>
      <c r="K60" s="249">
        <v>10</v>
      </c>
      <c r="L60" s="235"/>
      <c r="M60" s="240"/>
      <c r="N60" s="202"/>
    </row>
    <row r="61" spans="1:14" ht="38.25">
      <c r="A61" s="811"/>
      <c r="B61" s="806"/>
      <c r="C61" s="142" t="s">
        <v>359</v>
      </c>
      <c r="D61" s="248"/>
      <c r="E61" s="248"/>
      <c r="F61" s="248" t="s">
        <v>16</v>
      </c>
      <c r="G61" s="248"/>
      <c r="H61" s="248"/>
      <c r="I61" s="265"/>
      <c r="J61" s="266"/>
      <c r="K61" s="249">
        <v>6</v>
      </c>
      <c r="L61" s="235"/>
      <c r="M61" s="240">
        <v>6</v>
      </c>
      <c r="N61" s="202"/>
    </row>
    <row r="62" spans="1:14" ht="25.5">
      <c r="A62" s="811"/>
      <c r="B62" s="806"/>
      <c r="C62" s="142" t="s">
        <v>352</v>
      </c>
      <c r="D62" s="248"/>
      <c r="E62" s="248"/>
      <c r="F62" s="248" t="s">
        <v>16</v>
      </c>
      <c r="G62" s="248"/>
      <c r="H62" s="248"/>
      <c r="I62" s="265"/>
      <c r="J62" s="266"/>
      <c r="K62" s="249">
        <v>2</v>
      </c>
      <c r="L62" s="235"/>
      <c r="M62" s="240"/>
      <c r="N62" s="202"/>
    </row>
    <row r="63" spans="1:14">
      <c r="A63" s="811"/>
      <c r="B63" s="806"/>
      <c r="C63" s="142" t="s">
        <v>353</v>
      </c>
      <c r="D63" s="248"/>
      <c r="E63" s="248"/>
      <c r="F63" s="248" t="s">
        <v>16</v>
      </c>
      <c r="G63" s="248"/>
      <c r="H63" s="248"/>
      <c r="I63" s="265"/>
      <c r="J63" s="266"/>
      <c r="K63" s="249">
        <v>6</v>
      </c>
      <c r="L63" s="235"/>
      <c r="M63" s="240">
        <v>6</v>
      </c>
      <c r="N63" s="202"/>
    </row>
    <row r="64" spans="1:14">
      <c r="A64" s="812"/>
      <c r="B64" s="807"/>
      <c r="C64" s="144" t="s">
        <v>354</v>
      </c>
      <c r="D64" s="250"/>
      <c r="E64" s="250"/>
      <c r="F64" s="250" t="s">
        <v>16</v>
      </c>
      <c r="G64" s="250"/>
      <c r="H64" s="250"/>
      <c r="I64" s="267"/>
      <c r="J64" s="268"/>
      <c r="K64" s="251">
        <v>1</v>
      </c>
      <c r="L64" s="238"/>
      <c r="M64" s="245"/>
      <c r="N64" s="206"/>
    </row>
    <row r="65" spans="2:14" ht="23.25" customHeight="1">
      <c r="B65" s="744" t="s">
        <v>360</v>
      </c>
      <c r="C65" s="145" t="s">
        <v>361</v>
      </c>
      <c r="D65" s="231"/>
      <c r="E65" s="231"/>
      <c r="F65" s="231" t="s">
        <v>16</v>
      </c>
      <c r="G65" s="231"/>
      <c r="H65" s="231"/>
      <c r="I65" s="253"/>
      <c r="J65" s="254"/>
      <c r="K65" s="232"/>
      <c r="L65" s="232">
        <v>1</v>
      </c>
      <c r="M65" s="232"/>
      <c r="N65" s="201"/>
    </row>
    <row r="66" spans="2:14">
      <c r="B66" s="745"/>
      <c r="C66" s="191" t="s">
        <v>362</v>
      </c>
      <c r="D66" s="234"/>
      <c r="E66" s="234"/>
      <c r="F66" s="234" t="s">
        <v>16</v>
      </c>
      <c r="G66" s="234"/>
      <c r="H66" s="234"/>
      <c r="I66" s="255"/>
      <c r="J66" s="256"/>
      <c r="K66" s="235"/>
      <c r="L66" s="235">
        <v>1</v>
      </c>
      <c r="M66" s="240">
        <v>2</v>
      </c>
      <c r="N66" s="202"/>
    </row>
    <row r="67" spans="2:14">
      <c r="B67" s="746"/>
      <c r="C67" s="147" t="s">
        <v>30</v>
      </c>
      <c r="D67" s="237"/>
      <c r="E67" s="237"/>
      <c r="F67" s="237" t="s">
        <v>16</v>
      </c>
      <c r="G67" s="237"/>
      <c r="H67" s="237"/>
      <c r="I67" s="257"/>
      <c r="J67" s="258"/>
      <c r="K67" s="238"/>
      <c r="L67" s="238">
        <v>2</v>
      </c>
      <c r="M67" s="245">
        <v>2</v>
      </c>
      <c r="N67" s="206"/>
    </row>
    <row r="68" spans="2:14" ht="23.25" customHeight="1">
      <c r="B68" s="744" t="s">
        <v>363</v>
      </c>
      <c r="C68" s="145" t="s">
        <v>106</v>
      </c>
      <c r="D68" s="231" t="s">
        <v>16</v>
      </c>
      <c r="E68" s="231" t="s">
        <v>16</v>
      </c>
      <c r="F68" s="231"/>
      <c r="G68" s="231"/>
      <c r="H68" s="231"/>
      <c r="I68" s="253"/>
      <c r="J68" s="254"/>
      <c r="K68" s="232">
        <v>2</v>
      </c>
      <c r="L68" s="228"/>
      <c r="M68" s="228"/>
      <c r="N68" s="201"/>
    </row>
    <row r="69" spans="2:14" ht="25.5">
      <c r="B69" s="745"/>
      <c r="C69" s="149" t="s">
        <v>324</v>
      </c>
      <c r="D69" s="234"/>
      <c r="E69" s="234" t="s">
        <v>16</v>
      </c>
      <c r="F69" s="234"/>
      <c r="G69" s="234"/>
      <c r="H69" s="234"/>
      <c r="I69" s="255"/>
      <c r="J69" s="256"/>
      <c r="K69" s="235">
        <v>1</v>
      </c>
      <c r="N69" s="202"/>
    </row>
    <row r="70" spans="2:14">
      <c r="B70" s="745"/>
      <c r="C70" s="149" t="s">
        <v>325</v>
      </c>
      <c r="D70" s="234"/>
      <c r="E70" s="234"/>
      <c r="F70" s="234" t="s">
        <v>16</v>
      </c>
      <c r="G70" s="234"/>
      <c r="H70" s="234"/>
      <c r="I70" s="255"/>
      <c r="J70" s="256"/>
      <c r="K70" s="235">
        <v>2</v>
      </c>
      <c r="N70" s="202"/>
    </row>
    <row r="71" spans="2:14">
      <c r="B71" s="745"/>
      <c r="C71" s="149" t="s">
        <v>308</v>
      </c>
      <c r="D71" s="234"/>
      <c r="E71" s="234"/>
      <c r="F71" s="234" t="s">
        <v>16</v>
      </c>
      <c r="G71" s="234"/>
      <c r="H71" s="234"/>
      <c r="I71" s="255"/>
      <c r="J71" s="256"/>
      <c r="K71" s="235">
        <v>4</v>
      </c>
      <c r="N71" s="202"/>
    </row>
    <row r="72" spans="2:14">
      <c r="B72" s="745"/>
      <c r="C72" s="149" t="s">
        <v>326</v>
      </c>
      <c r="D72" s="234"/>
      <c r="E72" s="234"/>
      <c r="F72" s="234" t="s">
        <v>16</v>
      </c>
      <c r="G72" s="234"/>
      <c r="H72" s="234"/>
      <c r="I72" s="255"/>
      <c r="J72" s="256"/>
      <c r="K72" s="235">
        <v>5</v>
      </c>
      <c r="N72" s="202"/>
    </row>
    <row r="73" spans="2:14">
      <c r="B73" s="745"/>
      <c r="C73" s="149" t="s">
        <v>327</v>
      </c>
      <c r="D73" s="234"/>
      <c r="E73" s="234"/>
      <c r="F73" s="234" t="s">
        <v>16</v>
      </c>
      <c r="G73" s="234"/>
      <c r="H73" s="234"/>
      <c r="I73" s="255"/>
      <c r="J73" s="256"/>
      <c r="K73" s="235">
        <v>2</v>
      </c>
      <c r="N73" s="202"/>
    </row>
    <row r="74" spans="2:14" ht="25.5">
      <c r="B74" s="746"/>
      <c r="C74" s="147" t="s">
        <v>364</v>
      </c>
      <c r="D74" s="237"/>
      <c r="E74" s="237"/>
      <c r="F74" s="237" t="s">
        <v>16</v>
      </c>
      <c r="G74" s="237"/>
      <c r="H74" s="237"/>
      <c r="I74" s="257"/>
      <c r="J74" s="258"/>
      <c r="K74" s="238">
        <v>8</v>
      </c>
      <c r="L74" s="252"/>
      <c r="M74" s="252"/>
      <c r="N74" s="206"/>
    </row>
    <row r="75" spans="2:14">
      <c r="B75" s="735" t="s">
        <v>365</v>
      </c>
      <c r="C75" s="224" t="s">
        <v>106</v>
      </c>
      <c r="D75" s="228"/>
      <c r="E75" s="228" t="s">
        <v>16</v>
      </c>
      <c r="F75" s="228" t="s">
        <v>16</v>
      </c>
      <c r="G75" s="228"/>
      <c r="H75" s="228"/>
      <c r="I75" s="269"/>
      <c r="J75" s="270"/>
      <c r="K75" s="228">
        <v>4</v>
      </c>
      <c r="L75" s="228"/>
      <c r="M75" s="228"/>
      <c r="N75" s="201"/>
    </row>
    <row r="76" spans="2:14" ht="30">
      <c r="B76" s="736"/>
      <c r="C76" s="223" t="s">
        <v>108</v>
      </c>
      <c r="E76" s="227" t="s">
        <v>16</v>
      </c>
      <c r="F76" s="227" t="s">
        <v>16</v>
      </c>
      <c r="K76" s="227">
        <v>1</v>
      </c>
      <c r="N76" s="202"/>
    </row>
    <row r="77" spans="2:14">
      <c r="B77" s="736"/>
      <c r="C77" s="223" t="s">
        <v>110</v>
      </c>
      <c r="F77" s="227" t="s">
        <v>16</v>
      </c>
      <c r="K77" s="227">
        <v>1</v>
      </c>
      <c r="N77" s="202"/>
    </row>
    <row r="78" spans="2:14" ht="30">
      <c r="B78" s="736"/>
      <c r="C78" s="223" t="s">
        <v>112</v>
      </c>
      <c r="F78" s="227" t="s">
        <v>16</v>
      </c>
      <c r="K78" s="227">
        <v>2</v>
      </c>
      <c r="N78" s="202"/>
    </row>
    <row r="79" spans="2:14">
      <c r="B79" s="736"/>
      <c r="C79" s="223" t="s">
        <v>341</v>
      </c>
      <c r="F79" s="227" t="s">
        <v>16</v>
      </c>
      <c r="K79" s="227">
        <v>2</v>
      </c>
      <c r="N79" s="202"/>
    </row>
    <row r="80" spans="2:14" ht="30">
      <c r="B80" s="736"/>
      <c r="C80" s="223" t="s">
        <v>327</v>
      </c>
      <c r="F80" s="227" t="s">
        <v>16</v>
      </c>
      <c r="K80" s="227">
        <v>2</v>
      </c>
      <c r="N80" s="202"/>
    </row>
    <row r="81" spans="1:14" ht="30">
      <c r="B81" s="736"/>
      <c r="C81" s="223" t="s">
        <v>366</v>
      </c>
      <c r="F81" s="227" t="s">
        <v>16</v>
      </c>
      <c r="K81" s="227">
        <v>6</v>
      </c>
      <c r="N81" s="202"/>
    </row>
    <row r="82" spans="1:14">
      <c r="B82" s="736"/>
      <c r="C82" s="223" t="s">
        <v>367</v>
      </c>
      <c r="F82" s="227" t="s">
        <v>16</v>
      </c>
      <c r="K82" s="227">
        <v>0</v>
      </c>
      <c r="N82" s="202"/>
    </row>
    <row r="83" spans="1:14">
      <c r="B83" s="736"/>
      <c r="C83" s="230" t="s">
        <v>30</v>
      </c>
      <c r="D83" s="252"/>
      <c r="E83" s="252"/>
      <c r="F83" s="252" t="s">
        <v>16</v>
      </c>
      <c r="G83" s="252"/>
      <c r="H83" s="252"/>
      <c r="I83" s="273"/>
      <c r="J83" s="274"/>
      <c r="K83" s="252">
        <v>8</v>
      </c>
      <c r="L83" s="252"/>
      <c r="M83" s="252"/>
      <c r="N83" s="206"/>
    </row>
    <row r="84" spans="1:14">
      <c r="B84" s="735" t="s">
        <v>368</v>
      </c>
      <c r="C84" s="224" t="s">
        <v>106</v>
      </c>
      <c r="D84" s="228"/>
      <c r="E84" s="228"/>
      <c r="F84" s="228" t="s">
        <v>16</v>
      </c>
      <c r="G84" s="228"/>
      <c r="H84" s="228"/>
      <c r="I84" s="269"/>
      <c r="J84" s="270"/>
      <c r="K84" s="228">
        <v>2</v>
      </c>
      <c r="L84" s="228">
        <v>1</v>
      </c>
      <c r="M84" s="228"/>
      <c r="N84" s="201"/>
    </row>
    <row r="85" spans="1:14" ht="30">
      <c r="B85" s="736"/>
      <c r="C85" s="223" t="s">
        <v>324</v>
      </c>
      <c r="F85" s="227" t="s">
        <v>16</v>
      </c>
      <c r="K85" s="227">
        <v>1</v>
      </c>
      <c r="N85" s="202"/>
    </row>
    <row r="86" spans="1:14">
      <c r="B86" s="736"/>
      <c r="C86" s="223" t="s">
        <v>325</v>
      </c>
      <c r="F86" s="227" t="s">
        <v>16</v>
      </c>
      <c r="K86" s="227">
        <v>1</v>
      </c>
      <c r="N86" s="202"/>
    </row>
    <row r="87" spans="1:14" ht="30">
      <c r="B87" s="736"/>
      <c r="C87" s="223" t="s">
        <v>308</v>
      </c>
      <c r="F87" s="227" t="s">
        <v>16</v>
      </c>
      <c r="K87" s="227">
        <v>4</v>
      </c>
      <c r="N87" s="202"/>
    </row>
    <row r="88" spans="1:14">
      <c r="B88" s="736"/>
      <c r="C88" s="223" t="s">
        <v>326</v>
      </c>
      <c r="F88" s="227" t="s">
        <v>16</v>
      </c>
      <c r="K88" s="227">
        <v>4</v>
      </c>
      <c r="N88" s="202"/>
    </row>
    <row r="89" spans="1:14" ht="30">
      <c r="B89" s="736"/>
      <c r="C89" s="223" t="s">
        <v>327</v>
      </c>
      <c r="F89" s="227" t="s">
        <v>16</v>
      </c>
      <c r="K89" s="227">
        <v>2</v>
      </c>
      <c r="N89" s="202"/>
    </row>
    <row r="90" spans="1:14">
      <c r="B90" s="736"/>
      <c r="C90" s="230" t="s">
        <v>30</v>
      </c>
      <c r="D90" s="252"/>
      <c r="E90" s="252"/>
      <c r="F90" s="252" t="s">
        <v>16</v>
      </c>
      <c r="G90" s="252"/>
      <c r="H90" s="252"/>
      <c r="I90" s="273"/>
      <c r="J90" s="274"/>
      <c r="K90" s="252">
        <v>8</v>
      </c>
      <c r="L90" s="252"/>
      <c r="M90" s="252"/>
      <c r="N90" s="203"/>
    </row>
    <row r="91" spans="1:14">
      <c r="A91" s="802" t="s">
        <v>369</v>
      </c>
      <c r="B91" s="735" t="s">
        <v>370</v>
      </c>
      <c r="C91" s="224" t="s">
        <v>106</v>
      </c>
      <c r="D91" s="228" t="s">
        <v>23</v>
      </c>
      <c r="E91" s="228" t="s">
        <v>16</v>
      </c>
      <c r="F91" s="228"/>
      <c r="G91" s="228"/>
      <c r="H91" s="228"/>
      <c r="I91" s="269"/>
      <c r="J91" s="270"/>
      <c r="K91" s="228">
        <v>2</v>
      </c>
      <c r="L91" s="228"/>
      <c r="M91" s="304"/>
      <c r="N91" s="193"/>
    </row>
    <row r="92" spans="1:14" ht="30">
      <c r="A92" s="803"/>
      <c r="B92" s="736"/>
      <c r="C92" s="223" t="s">
        <v>371</v>
      </c>
      <c r="E92" s="227" t="s">
        <v>16</v>
      </c>
      <c r="K92" s="227">
        <v>2</v>
      </c>
      <c r="M92" s="305"/>
      <c r="N92" s="193"/>
    </row>
    <row r="93" spans="1:14" ht="30">
      <c r="A93" s="803"/>
      <c r="B93" s="736"/>
      <c r="C93" s="230" t="s">
        <v>372</v>
      </c>
      <c r="D93" s="252"/>
      <c r="E93" s="252" t="s">
        <v>16</v>
      </c>
      <c r="F93" s="252"/>
      <c r="G93" s="252"/>
      <c r="H93" s="252"/>
      <c r="I93" s="273"/>
      <c r="J93" s="274"/>
      <c r="K93" s="252">
        <v>2</v>
      </c>
      <c r="L93" s="252"/>
      <c r="M93" s="307"/>
      <c r="N93" s="193"/>
    </row>
    <row r="94" spans="1:14" ht="29.25" customHeight="1">
      <c r="A94" s="803"/>
      <c r="B94" s="735" t="s">
        <v>373</v>
      </c>
      <c r="C94" s="224" t="s">
        <v>106</v>
      </c>
      <c r="D94" s="228"/>
      <c r="E94" s="228" t="s">
        <v>16</v>
      </c>
      <c r="F94" s="228"/>
      <c r="G94" s="228"/>
      <c r="H94" s="228"/>
      <c r="I94" s="269"/>
      <c r="J94" s="270"/>
      <c r="K94" s="228">
        <v>2</v>
      </c>
      <c r="L94" s="228"/>
      <c r="M94" s="304"/>
      <c r="N94" s="193"/>
    </row>
    <row r="95" spans="1:14" ht="30">
      <c r="A95" s="803"/>
      <c r="B95" s="736"/>
      <c r="C95" s="223" t="s">
        <v>108</v>
      </c>
      <c r="E95" s="227" t="s">
        <v>16</v>
      </c>
      <c r="K95" s="227">
        <v>1</v>
      </c>
      <c r="M95" s="305"/>
      <c r="N95" s="193"/>
    </row>
    <row r="96" spans="1:14" ht="29.25" customHeight="1">
      <c r="A96" s="803"/>
      <c r="B96" s="736"/>
      <c r="C96" s="223" t="s">
        <v>110</v>
      </c>
      <c r="E96" s="227" t="s">
        <v>16</v>
      </c>
      <c r="K96" s="227">
        <v>1</v>
      </c>
      <c r="M96" s="305"/>
      <c r="N96" s="193"/>
    </row>
    <row r="97" spans="1:14" ht="29.25" customHeight="1">
      <c r="A97" s="803"/>
      <c r="B97" s="736"/>
      <c r="C97" s="223" t="s">
        <v>112</v>
      </c>
      <c r="E97" s="227" t="s">
        <v>16</v>
      </c>
      <c r="K97" s="227">
        <v>1</v>
      </c>
      <c r="M97" s="305"/>
      <c r="N97" s="193"/>
    </row>
    <row r="98" spans="1:14" ht="29.25" customHeight="1">
      <c r="A98" s="803"/>
      <c r="B98" s="736"/>
      <c r="C98" s="223" t="s">
        <v>341</v>
      </c>
      <c r="E98" s="227" t="s">
        <v>16</v>
      </c>
      <c r="K98" s="227">
        <v>1</v>
      </c>
      <c r="M98" s="305"/>
      <c r="N98" s="193"/>
    </row>
    <row r="99" spans="1:14" ht="29.25" customHeight="1">
      <c r="A99" s="803"/>
      <c r="B99" s="736"/>
      <c r="C99" s="223" t="s">
        <v>327</v>
      </c>
      <c r="E99" s="227" t="s">
        <v>16</v>
      </c>
      <c r="K99" s="227">
        <v>1</v>
      </c>
      <c r="M99" s="305"/>
      <c r="N99" s="193"/>
    </row>
    <row r="100" spans="1:14" ht="30">
      <c r="A100" s="803"/>
      <c r="B100" s="736"/>
      <c r="C100" s="223" t="s">
        <v>374</v>
      </c>
      <c r="E100" s="227" t="s">
        <v>16</v>
      </c>
      <c r="K100" s="227">
        <v>2</v>
      </c>
      <c r="M100" s="305"/>
      <c r="N100" s="193"/>
    </row>
    <row r="101" spans="1:14" ht="29.25" customHeight="1">
      <c r="A101" s="803"/>
      <c r="B101" s="736"/>
      <c r="C101" s="230" t="s">
        <v>30</v>
      </c>
      <c r="D101" s="252"/>
      <c r="E101" s="252" t="s">
        <v>16</v>
      </c>
      <c r="F101" s="252"/>
      <c r="G101" s="252"/>
      <c r="H101" s="252"/>
      <c r="I101" s="273"/>
      <c r="J101" s="274"/>
      <c r="K101" s="252">
        <v>6</v>
      </c>
      <c r="L101" s="252"/>
      <c r="M101" s="307"/>
      <c r="N101" s="193"/>
    </row>
    <row r="102" spans="1:14" ht="29.25" customHeight="1">
      <c r="A102" s="803"/>
      <c r="B102" s="735" t="s">
        <v>375</v>
      </c>
      <c r="C102" s="224" t="s">
        <v>376</v>
      </c>
      <c r="D102" s="228"/>
      <c r="E102" s="228" t="s">
        <v>16</v>
      </c>
      <c r="F102" s="228"/>
      <c r="G102" s="228"/>
      <c r="H102" s="228"/>
      <c r="I102" s="269"/>
      <c r="J102" s="270"/>
      <c r="K102" s="228">
        <v>2</v>
      </c>
      <c r="L102" s="228"/>
      <c r="M102" s="304"/>
      <c r="N102" s="193"/>
    </row>
    <row r="103" spans="1:14" ht="29.25" customHeight="1">
      <c r="A103" s="803"/>
      <c r="B103" s="736"/>
      <c r="C103" s="223" t="s">
        <v>377</v>
      </c>
      <c r="E103" s="227" t="s">
        <v>16</v>
      </c>
      <c r="K103" s="227">
        <v>1</v>
      </c>
      <c r="M103" s="305"/>
      <c r="N103" s="193"/>
    </row>
    <row r="104" spans="1:14" ht="29.25" customHeight="1">
      <c r="A104" s="803"/>
      <c r="B104" s="736"/>
      <c r="C104" s="223" t="s">
        <v>378</v>
      </c>
      <c r="E104" s="227" t="s">
        <v>16</v>
      </c>
      <c r="K104" s="227">
        <v>4</v>
      </c>
      <c r="M104" s="305"/>
      <c r="N104" s="193"/>
    </row>
    <row r="105" spans="1:14" ht="29.25" customHeight="1">
      <c r="A105" s="803"/>
      <c r="B105" s="736"/>
      <c r="C105" s="223" t="s">
        <v>379</v>
      </c>
      <c r="E105" s="227" t="s">
        <v>16</v>
      </c>
      <c r="K105" s="227">
        <v>2</v>
      </c>
      <c r="M105" s="305"/>
      <c r="N105" s="193"/>
    </row>
    <row r="106" spans="1:14" ht="30">
      <c r="A106" s="803"/>
      <c r="B106" s="736"/>
      <c r="C106" s="223" t="s">
        <v>380</v>
      </c>
      <c r="E106" s="227" t="s">
        <v>16</v>
      </c>
      <c r="K106" s="227">
        <v>1</v>
      </c>
      <c r="M106" s="305"/>
      <c r="N106" s="193"/>
    </row>
    <row r="107" spans="1:14" ht="29.25" customHeight="1">
      <c r="A107" s="803"/>
      <c r="B107" s="736"/>
      <c r="C107" s="223" t="s">
        <v>381</v>
      </c>
      <c r="E107" s="227" t="s">
        <v>16</v>
      </c>
      <c r="K107" s="227">
        <v>5</v>
      </c>
      <c r="M107" s="305"/>
      <c r="N107" s="193"/>
    </row>
    <row r="108" spans="1:14" ht="30">
      <c r="A108" s="803"/>
      <c r="B108" s="736"/>
      <c r="C108" s="223" t="s">
        <v>382</v>
      </c>
      <c r="E108" s="227" t="s">
        <v>16</v>
      </c>
      <c r="K108" s="227">
        <v>10</v>
      </c>
      <c r="M108" s="305"/>
      <c r="N108" s="193"/>
    </row>
    <row r="109" spans="1:14" ht="45">
      <c r="A109" s="804"/>
      <c r="B109" s="737"/>
      <c r="C109" s="225" t="s">
        <v>383</v>
      </c>
      <c r="D109" s="229"/>
      <c r="E109" s="229" t="s">
        <v>16</v>
      </c>
      <c r="F109" s="229"/>
      <c r="G109" s="229"/>
      <c r="H109" s="229"/>
      <c r="I109" s="275"/>
      <c r="J109" s="276"/>
      <c r="K109" s="229">
        <v>10</v>
      </c>
      <c r="L109" s="229"/>
      <c r="M109" s="306"/>
      <c r="N109" s="198"/>
    </row>
    <row r="110" spans="1:14">
      <c r="B110" s="736" t="s">
        <v>384</v>
      </c>
      <c r="C110" s="207" t="s">
        <v>106</v>
      </c>
      <c r="D110" s="226">
        <v>2</v>
      </c>
      <c r="E110" s="226"/>
      <c r="F110" s="226"/>
      <c r="G110" s="226"/>
      <c r="H110" s="226"/>
      <c r="I110" s="277"/>
      <c r="J110" s="278"/>
      <c r="K110" s="226"/>
      <c r="L110" s="226"/>
      <c r="M110" s="226"/>
      <c r="N110" s="201"/>
    </row>
    <row r="111" spans="1:14">
      <c r="B111" s="736"/>
      <c r="C111" s="192" t="s">
        <v>108</v>
      </c>
      <c r="D111" s="227">
        <v>1</v>
      </c>
      <c r="N111" s="202"/>
    </row>
    <row r="112" spans="1:14">
      <c r="B112" s="736"/>
      <c r="C112" s="192" t="s">
        <v>110</v>
      </c>
      <c r="D112" s="227">
        <v>1</v>
      </c>
      <c r="N112" s="202"/>
    </row>
    <row r="113" spans="2:14">
      <c r="B113" s="736"/>
      <c r="C113" s="192" t="s">
        <v>112</v>
      </c>
      <c r="D113" s="227">
        <v>2</v>
      </c>
      <c r="N113" s="202"/>
    </row>
    <row r="114" spans="2:14">
      <c r="B114" s="736"/>
      <c r="C114" s="192" t="s">
        <v>341</v>
      </c>
      <c r="D114" s="227">
        <v>2</v>
      </c>
      <c r="N114" s="202"/>
    </row>
    <row r="115" spans="2:14">
      <c r="B115" s="736"/>
      <c r="C115" s="192" t="s">
        <v>327</v>
      </c>
      <c r="D115" s="227">
        <v>2</v>
      </c>
      <c r="N115" s="202"/>
    </row>
    <row r="116" spans="2:14">
      <c r="B116" s="736"/>
      <c r="C116" s="192" t="s">
        <v>385</v>
      </c>
      <c r="D116" s="227">
        <v>4</v>
      </c>
      <c r="N116" s="202"/>
    </row>
    <row r="117" spans="2:14">
      <c r="B117" s="736"/>
      <c r="C117" s="192" t="s">
        <v>367</v>
      </c>
      <c r="D117" s="227">
        <v>2</v>
      </c>
      <c r="N117" s="202"/>
    </row>
    <row r="118" spans="2:14">
      <c r="B118" s="736"/>
      <c r="C118" s="192" t="s">
        <v>386</v>
      </c>
      <c r="E118" s="227">
        <v>20</v>
      </c>
      <c r="N118" s="202"/>
    </row>
    <row r="119" spans="2:14">
      <c r="B119" s="736"/>
      <c r="C119" s="222" t="s">
        <v>30</v>
      </c>
      <c r="D119" s="252">
        <v>8</v>
      </c>
      <c r="E119" s="252"/>
      <c r="F119" s="252"/>
      <c r="G119" s="252"/>
      <c r="H119" s="252"/>
      <c r="I119" s="273"/>
      <c r="J119" s="274"/>
      <c r="K119" s="252"/>
      <c r="L119" s="252"/>
      <c r="M119" s="252"/>
      <c r="N119" s="206"/>
    </row>
    <row r="120" spans="2:14" ht="58.5" customHeight="1">
      <c r="B120" s="800" t="s">
        <v>387</v>
      </c>
      <c r="C120" s="313" t="s">
        <v>312</v>
      </c>
      <c r="D120" s="213" t="s">
        <v>16</v>
      </c>
      <c r="E120" s="213"/>
      <c r="F120" s="213" t="s">
        <v>16</v>
      </c>
      <c r="G120" s="213"/>
      <c r="H120" s="213"/>
      <c r="I120" s="310"/>
      <c r="J120" s="310"/>
      <c r="K120" s="214"/>
      <c r="L120" s="214"/>
      <c r="M120" s="214">
        <v>2</v>
      </c>
      <c r="N120" s="396"/>
    </row>
    <row r="121" spans="2:14" ht="25.5">
      <c r="B121" s="798"/>
      <c r="C121" s="179" t="s">
        <v>108</v>
      </c>
      <c r="D121" s="180"/>
      <c r="E121" s="180"/>
      <c r="F121" s="180" t="s">
        <v>16</v>
      </c>
      <c r="G121" s="180"/>
      <c r="H121" s="180"/>
      <c r="I121" s="309"/>
      <c r="J121" s="309"/>
      <c r="K121" s="186"/>
      <c r="L121" s="186"/>
      <c r="M121" s="187">
        <v>1</v>
      </c>
      <c r="N121" s="397"/>
    </row>
    <row r="122" spans="2:14">
      <c r="B122" s="798"/>
      <c r="C122" s="179" t="s">
        <v>339</v>
      </c>
      <c r="D122" s="180"/>
      <c r="E122" s="180"/>
      <c r="F122" s="180" t="s">
        <v>16</v>
      </c>
      <c r="G122" s="180"/>
      <c r="H122" s="180"/>
      <c r="I122" s="309"/>
      <c r="J122" s="309"/>
      <c r="K122" s="186"/>
      <c r="L122" s="186"/>
      <c r="M122" s="187">
        <v>1</v>
      </c>
      <c r="N122" s="397"/>
    </row>
    <row r="123" spans="2:14">
      <c r="B123" s="798"/>
      <c r="C123" s="179" t="s">
        <v>112</v>
      </c>
      <c r="D123" s="180"/>
      <c r="E123" s="180"/>
      <c r="F123" s="180" t="s">
        <v>16</v>
      </c>
      <c r="G123" s="180"/>
      <c r="H123" s="180"/>
      <c r="I123" s="309"/>
      <c r="J123" s="309"/>
      <c r="K123" s="186"/>
      <c r="L123" s="186"/>
      <c r="M123" s="187">
        <v>4</v>
      </c>
      <c r="N123" s="397"/>
    </row>
    <row r="124" spans="2:14">
      <c r="B124" s="798"/>
      <c r="C124" s="179" t="s">
        <v>341</v>
      </c>
      <c r="D124" s="180"/>
      <c r="E124" s="180"/>
      <c r="F124" s="180" t="s">
        <v>16</v>
      </c>
      <c r="G124" s="180"/>
      <c r="H124" s="180"/>
      <c r="I124" s="309"/>
      <c r="J124" s="309"/>
      <c r="K124" s="186"/>
      <c r="L124" s="186"/>
      <c r="M124" s="187">
        <v>1</v>
      </c>
      <c r="N124" s="397"/>
    </row>
    <row r="125" spans="2:14">
      <c r="B125" s="798"/>
      <c r="C125" s="179" t="s">
        <v>327</v>
      </c>
      <c r="D125" s="180"/>
      <c r="E125" s="180"/>
      <c r="F125" s="180" t="s">
        <v>16</v>
      </c>
      <c r="G125" s="180"/>
      <c r="H125" s="180"/>
      <c r="I125" s="309"/>
      <c r="J125" s="309"/>
      <c r="K125" s="186"/>
      <c r="L125" s="186"/>
      <c r="M125" s="187">
        <v>1</v>
      </c>
      <c r="N125" s="397"/>
    </row>
    <row r="126" spans="2:14">
      <c r="B126" s="798"/>
      <c r="C126" s="179" t="s">
        <v>343</v>
      </c>
      <c r="D126" s="180"/>
      <c r="E126" s="180"/>
      <c r="F126" s="180" t="s">
        <v>16</v>
      </c>
      <c r="G126" s="180"/>
      <c r="H126" s="180"/>
      <c r="I126" s="309"/>
      <c r="J126" s="309"/>
      <c r="K126" s="186"/>
      <c r="L126" s="186"/>
      <c r="M126" s="187">
        <v>4</v>
      </c>
      <c r="N126" s="397"/>
    </row>
    <row r="127" spans="2:14" ht="38.25">
      <c r="B127" s="798"/>
      <c r="C127" s="179" t="s">
        <v>313</v>
      </c>
      <c r="D127" s="180"/>
      <c r="E127" s="180"/>
      <c r="F127" s="180" t="s">
        <v>16</v>
      </c>
      <c r="G127" s="180"/>
      <c r="H127" s="180"/>
      <c r="I127" s="309"/>
      <c r="J127" s="309"/>
      <c r="K127" s="186"/>
      <c r="L127" s="186"/>
      <c r="M127" s="187">
        <v>2</v>
      </c>
      <c r="N127" s="397"/>
    </row>
    <row r="128" spans="2:14">
      <c r="B128" s="798"/>
      <c r="C128" s="179" t="s">
        <v>388</v>
      </c>
      <c r="D128" s="180"/>
      <c r="E128" s="180"/>
      <c r="F128" s="180" t="s">
        <v>16</v>
      </c>
      <c r="G128" s="180"/>
      <c r="H128" s="180"/>
      <c r="I128" s="309"/>
      <c r="J128" s="309"/>
      <c r="K128" s="186"/>
      <c r="L128" s="186"/>
      <c r="M128" s="187">
        <v>2</v>
      </c>
      <c r="N128" s="397"/>
    </row>
    <row r="129" spans="2:14">
      <c r="B129" s="799"/>
      <c r="C129" s="314" t="s">
        <v>318</v>
      </c>
      <c r="D129" s="216"/>
      <c r="E129" s="216"/>
      <c r="F129" s="216" t="s">
        <v>16</v>
      </c>
      <c r="G129" s="216"/>
      <c r="H129" s="216"/>
      <c r="I129" s="311"/>
      <c r="J129" s="311"/>
      <c r="K129" s="218"/>
      <c r="L129" s="218"/>
      <c r="M129" s="312">
        <v>4</v>
      </c>
      <c r="N129" s="398"/>
    </row>
    <row r="130" spans="2:14" ht="35.25" customHeight="1">
      <c r="B130" s="798" t="s">
        <v>389</v>
      </c>
      <c r="C130" s="318" t="s">
        <v>106</v>
      </c>
      <c r="D130" s="316" t="s">
        <v>16</v>
      </c>
      <c r="E130" s="316"/>
      <c r="F130" s="316" t="s">
        <v>16</v>
      </c>
      <c r="G130" s="316"/>
      <c r="H130" s="316"/>
      <c r="I130" s="317"/>
      <c r="J130" s="317"/>
      <c r="K130" s="187"/>
      <c r="L130" s="187"/>
      <c r="M130" s="187">
        <v>3</v>
      </c>
      <c r="N130" s="397"/>
    </row>
    <row r="131" spans="2:14" ht="25.5">
      <c r="B131" s="798"/>
      <c r="C131" s="179" t="s">
        <v>324</v>
      </c>
      <c r="D131" s="180"/>
      <c r="E131" s="180"/>
      <c r="F131" s="180" t="s">
        <v>16</v>
      </c>
      <c r="G131" s="180"/>
      <c r="H131" s="180"/>
      <c r="I131" s="309"/>
      <c r="J131" s="309"/>
      <c r="K131" s="186"/>
      <c r="L131" s="186"/>
      <c r="M131" s="187">
        <v>1</v>
      </c>
      <c r="N131" s="397"/>
    </row>
    <row r="132" spans="2:14">
      <c r="B132" s="798"/>
      <c r="C132" s="179" t="s">
        <v>325</v>
      </c>
      <c r="D132" s="180"/>
      <c r="E132" s="180"/>
      <c r="F132" s="180" t="s">
        <v>16</v>
      </c>
      <c r="G132" s="180"/>
      <c r="H132" s="180"/>
      <c r="I132" s="309"/>
      <c r="J132" s="309"/>
      <c r="K132" s="186"/>
      <c r="L132" s="186"/>
      <c r="M132" s="187">
        <v>1</v>
      </c>
      <c r="N132" s="397"/>
    </row>
    <row r="133" spans="2:14">
      <c r="B133" s="798"/>
      <c r="C133" s="179" t="s">
        <v>308</v>
      </c>
      <c r="D133" s="180"/>
      <c r="E133" s="180"/>
      <c r="F133" s="180" t="s">
        <v>16</v>
      </c>
      <c r="G133" s="180"/>
      <c r="H133" s="180"/>
      <c r="I133" s="309"/>
      <c r="J133" s="309"/>
      <c r="K133" s="186"/>
      <c r="L133" s="186"/>
      <c r="M133" s="187">
        <v>4</v>
      </c>
      <c r="N133" s="397"/>
    </row>
    <row r="134" spans="2:14">
      <c r="B134" s="798"/>
      <c r="C134" s="179" t="s">
        <v>326</v>
      </c>
      <c r="D134" s="180"/>
      <c r="E134" s="180"/>
      <c r="F134" s="180" t="s">
        <v>16</v>
      </c>
      <c r="G134" s="180"/>
      <c r="H134" s="180"/>
      <c r="I134" s="309"/>
      <c r="J134" s="309"/>
      <c r="K134" s="186"/>
      <c r="L134" s="186"/>
      <c r="M134" s="187">
        <v>4</v>
      </c>
      <c r="N134" s="397"/>
    </row>
    <row r="135" spans="2:14">
      <c r="B135" s="798"/>
      <c r="C135" s="179" t="s">
        <v>327</v>
      </c>
      <c r="D135" s="180"/>
      <c r="E135" s="180"/>
      <c r="F135" s="180" t="s">
        <v>16</v>
      </c>
      <c r="G135" s="180"/>
      <c r="H135" s="180"/>
      <c r="I135" s="309"/>
      <c r="J135" s="309"/>
      <c r="K135" s="186"/>
      <c r="L135" s="186"/>
      <c r="M135" s="187">
        <v>2</v>
      </c>
      <c r="N135" s="397"/>
    </row>
    <row r="136" spans="2:14">
      <c r="B136" s="798"/>
      <c r="C136" s="179" t="s">
        <v>30</v>
      </c>
      <c r="D136" s="180"/>
      <c r="E136" s="180"/>
      <c r="F136" s="180" t="s">
        <v>16</v>
      </c>
      <c r="G136" s="180"/>
      <c r="H136" s="180"/>
      <c r="I136" s="309"/>
      <c r="J136" s="309"/>
      <c r="K136" s="186"/>
      <c r="L136" s="186"/>
      <c r="M136" s="187">
        <v>4</v>
      </c>
      <c r="N136" s="397"/>
    </row>
    <row r="137" spans="2:14">
      <c r="B137" s="799"/>
      <c r="C137" s="314" t="s">
        <v>106</v>
      </c>
      <c r="D137" s="216" t="s">
        <v>16</v>
      </c>
      <c r="E137" s="216" t="s">
        <v>16</v>
      </c>
      <c r="F137" s="216"/>
      <c r="G137" s="216"/>
      <c r="H137" s="216"/>
      <c r="I137" s="311"/>
      <c r="J137" s="311"/>
      <c r="K137" s="218">
        <v>2</v>
      </c>
      <c r="L137" s="218"/>
      <c r="M137" s="312"/>
      <c r="N137" s="398"/>
    </row>
    <row r="138" spans="2:14" ht="58.5" customHeight="1">
      <c r="B138" s="798" t="s">
        <v>387</v>
      </c>
      <c r="C138" s="318" t="s">
        <v>108</v>
      </c>
      <c r="D138" s="316"/>
      <c r="E138" s="316" t="s">
        <v>16</v>
      </c>
      <c r="F138" s="316"/>
      <c r="G138" s="316"/>
      <c r="H138" s="316"/>
      <c r="I138" s="317"/>
      <c r="J138" s="317"/>
      <c r="K138" s="187">
        <v>1</v>
      </c>
      <c r="L138" s="187"/>
      <c r="M138" s="187"/>
      <c r="N138" s="397"/>
    </row>
    <row r="139" spans="2:14">
      <c r="B139" s="798"/>
      <c r="C139" s="179" t="s">
        <v>339</v>
      </c>
      <c r="D139" s="180"/>
      <c r="E139" s="180"/>
      <c r="F139" s="180" t="s">
        <v>16</v>
      </c>
      <c r="G139" s="180"/>
      <c r="H139" s="180"/>
      <c r="I139" s="309"/>
      <c r="J139" s="309"/>
      <c r="K139" s="186">
        <v>1</v>
      </c>
      <c r="L139" s="186"/>
      <c r="M139" s="187"/>
      <c r="N139" s="397"/>
    </row>
    <row r="140" spans="2:14">
      <c r="B140" s="798"/>
      <c r="C140" s="179" t="s">
        <v>112</v>
      </c>
      <c r="D140" s="180"/>
      <c r="E140" s="180"/>
      <c r="F140" s="180" t="s">
        <v>16</v>
      </c>
      <c r="G140" s="180"/>
      <c r="H140" s="180"/>
      <c r="I140" s="309"/>
      <c r="J140" s="309"/>
      <c r="K140" s="186">
        <v>2</v>
      </c>
      <c r="L140" s="186"/>
      <c r="M140" s="187"/>
      <c r="N140" s="397"/>
    </row>
    <row r="141" spans="2:14">
      <c r="B141" s="798"/>
      <c r="C141" s="179" t="s">
        <v>341</v>
      </c>
      <c r="D141" s="180"/>
      <c r="E141" s="180"/>
      <c r="F141" s="180" t="s">
        <v>16</v>
      </c>
      <c r="G141" s="180"/>
      <c r="H141" s="180"/>
      <c r="I141" s="309"/>
      <c r="J141" s="309"/>
      <c r="K141" s="186">
        <v>2</v>
      </c>
      <c r="L141" s="186"/>
      <c r="M141" s="187"/>
      <c r="N141" s="397"/>
    </row>
    <row r="142" spans="2:14">
      <c r="B142" s="798"/>
      <c r="C142" s="179" t="s">
        <v>327</v>
      </c>
      <c r="D142" s="180"/>
      <c r="E142" s="180"/>
      <c r="F142" s="180" t="s">
        <v>16</v>
      </c>
      <c r="G142" s="180"/>
      <c r="H142" s="180"/>
      <c r="I142" s="309"/>
      <c r="J142" s="309"/>
      <c r="K142" s="186">
        <v>2</v>
      </c>
      <c r="L142" s="186"/>
      <c r="M142" s="187"/>
      <c r="N142" s="397"/>
    </row>
    <row r="143" spans="2:14">
      <c r="B143" s="798"/>
      <c r="C143" s="179" t="s">
        <v>343</v>
      </c>
      <c r="D143" s="180"/>
      <c r="E143" s="180"/>
      <c r="F143" s="180" t="s">
        <v>16</v>
      </c>
      <c r="G143" s="180"/>
      <c r="H143" s="180"/>
      <c r="I143" s="309"/>
      <c r="J143" s="309"/>
      <c r="K143" s="186">
        <v>2</v>
      </c>
      <c r="L143" s="186"/>
      <c r="M143" s="187"/>
      <c r="N143" s="397"/>
    </row>
    <row r="144" spans="2:14">
      <c r="B144" s="798"/>
      <c r="C144" s="181" t="s">
        <v>390</v>
      </c>
      <c r="D144" s="180"/>
      <c r="E144" s="180"/>
      <c r="F144" s="180" t="s">
        <v>16</v>
      </c>
      <c r="G144" s="180"/>
      <c r="H144" s="180"/>
      <c r="I144" s="309"/>
      <c r="J144" s="309"/>
      <c r="K144" s="186">
        <v>2</v>
      </c>
      <c r="L144" s="186"/>
      <c r="M144" s="187"/>
      <c r="N144" s="397"/>
    </row>
    <row r="145" spans="2:14">
      <c r="B145" s="798"/>
      <c r="C145" s="179" t="s">
        <v>388</v>
      </c>
      <c r="D145" s="180"/>
      <c r="E145" s="180"/>
      <c r="F145" s="180" t="s">
        <v>16</v>
      </c>
      <c r="G145" s="180"/>
      <c r="H145" s="180"/>
      <c r="I145" s="309"/>
      <c r="J145" s="309"/>
      <c r="K145" s="186">
        <v>2</v>
      </c>
      <c r="L145" s="186"/>
      <c r="M145" s="187"/>
      <c r="N145" s="397"/>
    </row>
    <row r="146" spans="2:14">
      <c r="B146" s="798"/>
      <c r="C146" s="386" t="s">
        <v>391</v>
      </c>
      <c r="D146" s="387"/>
      <c r="E146" s="387"/>
      <c r="F146" s="387" t="s">
        <v>16</v>
      </c>
      <c r="G146" s="387"/>
      <c r="H146" s="387"/>
      <c r="I146" s="388"/>
      <c r="J146" s="388"/>
      <c r="K146" s="389">
        <v>2</v>
      </c>
      <c r="L146" s="389"/>
      <c r="M146" s="385"/>
      <c r="N146" s="397"/>
    </row>
    <row r="147" spans="2:14" ht="23.25" customHeight="1">
      <c r="B147" s="800" t="s">
        <v>392</v>
      </c>
      <c r="C147" s="399" t="s">
        <v>331</v>
      </c>
      <c r="D147" s="400" t="s">
        <v>16</v>
      </c>
      <c r="E147" s="400" t="s">
        <v>16</v>
      </c>
      <c r="F147" s="400"/>
      <c r="G147" s="400"/>
      <c r="H147" s="400"/>
      <c r="I147" s="310"/>
      <c r="J147" s="310"/>
      <c r="K147" s="401">
        <v>2</v>
      </c>
      <c r="L147" s="401">
        <f>K147*0.5</f>
        <v>1</v>
      </c>
      <c r="M147" s="401">
        <f t="shared" ref="M147:M153" si="2">K147*2</f>
        <v>4</v>
      </c>
      <c r="N147" s="396"/>
    </row>
    <row r="148" spans="2:14" ht="26.25">
      <c r="B148" s="798"/>
      <c r="C148" s="404" t="s">
        <v>332</v>
      </c>
      <c r="D148" s="392"/>
      <c r="E148" s="392" t="s">
        <v>16</v>
      </c>
      <c r="F148" s="392"/>
      <c r="G148" s="392"/>
      <c r="H148" s="392"/>
      <c r="I148" s="309"/>
      <c r="J148" s="309"/>
      <c r="K148" s="188">
        <v>1</v>
      </c>
      <c r="L148" s="188">
        <f t="shared" ref="L148:L153" si="3">K148*0.5</f>
        <v>0.5</v>
      </c>
      <c r="M148" s="188">
        <f t="shared" si="2"/>
        <v>2</v>
      </c>
      <c r="N148" s="397"/>
    </row>
    <row r="149" spans="2:14">
      <c r="B149" s="798"/>
      <c r="C149" s="391" t="s">
        <v>325</v>
      </c>
      <c r="D149" s="392"/>
      <c r="E149" s="392"/>
      <c r="F149" s="392" t="s">
        <v>16</v>
      </c>
      <c r="G149" s="392"/>
      <c r="H149" s="392"/>
      <c r="I149" s="309"/>
      <c r="J149" s="309"/>
      <c r="K149" s="188">
        <v>1</v>
      </c>
      <c r="L149" s="188">
        <f t="shared" si="3"/>
        <v>0.5</v>
      </c>
      <c r="M149" s="188">
        <f t="shared" si="2"/>
        <v>2</v>
      </c>
      <c r="N149" s="397"/>
    </row>
    <row r="150" spans="2:14">
      <c r="B150" s="798"/>
      <c r="C150" s="391" t="s">
        <v>308</v>
      </c>
      <c r="D150" s="392"/>
      <c r="E150" s="392"/>
      <c r="F150" s="392" t="s">
        <v>16</v>
      </c>
      <c r="G150" s="392"/>
      <c r="H150" s="392"/>
      <c r="I150" s="309"/>
      <c r="J150" s="309"/>
      <c r="K150" s="188">
        <v>2</v>
      </c>
      <c r="L150" s="188">
        <f t="shared" si="3"/>
        <v>1</v>
      </c>
      <c r="M150" s="188">
        <f t="shared" si="2"/>
        <v>4</v>
      </c>
      <c r="N150" s="397"/>
    </row>
    <row r="151" spans="2:14">
      <c r="B151" s="798"/>
      <c r="C151" s="391" t="s">
        <v>333</v>
      </c>
      <c r="D151" s="392"/>
      <c r="E151" s="392"/>
      <c r="F151" s="392" t="s">
        <v>16</v>
      </c>
      <c r="G151" s="392"/>
      <c r="H151" s="392"/>
      <c r="I151" s="309"/>
      <c r="J151" s="309"/>
      <c r="K151" s="188">
        <v>2</v>
      </c>
      <c r="L151" s="188">
        <f t="shared" si="3"/>
        <v>1</v>
      </c>
      <c r="M151" s="188">
        <f t="shared" si="2"/>
        <v>4</v>
      </c>
      <c r="N151" s="397"/>
    </row>
    <row r="152" spans="2:14">
      <c r="B152" s="798"/>
      <c r="C152" s="391" t="s">
        <v>334</v>
      </c>
      <c r="D152" s="392"/>
      <c r="E152" s="392"/>
      <c r="F152" s="392" t="s">
        <v>16</v>
      </c>
      <c r="G152" s="392"/>
      <c r="H152" s="392"/>
      <c r="I152" s="309"/>
      <c r="J152" s="309"/>
      <c r="K152" s="188">
        <v>2</v>
      </c>
      <c r="L152" s="188">
        <f t="shared" si="3"/>
        <v>1</v>
      </c>
      <c r="M152" s="188">
        <f t="shared" si="2"/>
        <v>4</v>
      </c>
      <c r="N152" s="397"/>
    </row>
    <row r="153" spans="2:14">
      <c r="B153" s="799"/>
      <c r="C153" s="402" t="s">
        <v>180</v>
      </c>
      <c r="D153" s="403"/>
      <c r="E153" s="403" t="s">
        <v>16</v>
      </c>
      <c r="F153" s="403"/>
      <c r="G153" s="403"/>
      <c r="H153" s="403"/>
      <c r="I153" s="311"/>
      <c r="J153" s="311"/>
      <c r="K153" s="295">
        <v>4</v>
      </c>
      <c r="L153" s="295">
        <f t="shared" si="3"/>
        <v>2</v>
      </c>
      <c r="M153" s="295">
        <f t="shared" si="2"/>
        <v>8</v>
      </c>
      <c r="N153" s="398"/>
    </row>
    <row r="154" spans="2:14">
      <c r="B154" s="801" t="s">
        <v>393</v>
      </c>
      <c r="C154" s="315" t="s">
        <v>394</v>
      </c>
      <c r="D154" s="316" t="s">
        <v>16</v>
      </c>
      <c r="E154" s="316" t="s">
        <v>16</v>
      </c>
      <c r="F154" s="316"/>
      <c r="G154" s="316"/>
      <c r="H154" s="316"/>
      <c r="I154" s="317"/>
      <c r="J154" s="317"/>
      <c r="K154" s="187">
        <v>4</v>
      </c>
      <c r="L154" s="187"/>
      <c r="M154" s="187"/>
      <c r="N154" s="397"/>
    </row>
    <row r="155" spans="2:14">
      <c r="B155" s="801"/>
      <c r="C155" s="181" t="s">
        <v>395</v>
      </c>
      <c r="D155" s="180"/>
      <c r="E155" s="180" t="s">
        <v>16</v>
      </c>
      <c r="F155" s="180"/>
      <c r="G155" s="180"/>
      <c r="H155" s="180"/>
      <c r="I155" s="309"/>
      <c r="J155" s="309"/>
      <c r="K155" s="186">
        <v>1</v>
      </c>
      <c r="L155" s="186"/>
      <c r="M155" s="187"/>
      <c r="N155" s="397"/>
    </row>
    <row r="156" spans="2:14">
      <c r="B156" s="801"/>
      <c r="C156" s="181" t="s">
        <v>396</v>
      </c>
      <c r="D156" s="180"/>
      <c r="E156" s="180"/>
      <c r="F156" s="180" t="s">
        <v>16</v>
      </c>
      <c r="G156" s="180"/>
      <c r="H156" s="180"/>
      <c r="I156" s="309"/>
      <c r="J156" s="309"/>
      <c r="K156" s="186">
        <v>2</v>
      </c>
      <c r="L156" s="186"/>
      <c r="M156" s="187"/>
      <c r="N156" s="397"/>
    </row>
    <row r="157" spans="2:14" ht="26.25">
      <c r="B157" s="801"/>
      <c r="C157" s="184" t="s">
        <v>397</v>
      </c>
      <c r="D157" s="180"/>
      <c r="E157" s="180"/>
      <c r="F157" s="180" t="s">
        <v>16</v>
      </c>
      <c r="G157" s="180"/>
      <c r="H157" s="180"/>
      <c r="I157" s="309"/>
      <c r="J157" s="309"/>
      <c r="K157" s="186">
        <v>4</v>
      </c>
      <c r="L157" s="186"/>
      <c r="M157" s="187"/>
      <c r="N157" s="397"/>
    </row>
    <row r="158" spans="2:14" ht="26.25">
      <c r="B158" s="801"/>
      <c r="C158" s="184" t="s">
        <v>398</v>
      </c>
      <c r="D158" s="180"/>
      <c r="E158" s="180"/>
      <c r="F158" s="180" t="s">
        <v>16</v>
      </c>
      <c r="G158" s="180"/>
      <c r="H158" s="180"/>
      <c r="I158" s="309"/>
      <c r="J158" s="309"/>
      <c r="K158" s="186">
        <v>4</v>
      </c>
      <c r="L158" s="186"/>
      <c r="M158" s="187"/>
      <c r="N158" s="397"/>
    </row>
    <row r="159" spans="2:14" ht="39">
      <c r="B159" s="801"/>
      <c r="C159" s="536" t="s">
        <v>399</v>
      </c>
      <c r="D159" s="387"/>
      <c r="E159" s="387"/>
      <c r="F159" s="387" t="s">
        <v>16</v>
      </c>
      <c r="G159" s="387"/>
      <c r="H159" s="387"/>
      <c r="I159" s="388"/>
      <c r="J159" s="388"/>
      <c r="K159" s="389">
        <v>1</v>
      </c>
      <c r="L159" s="389"/>
      <c r="M159" s="385"/>
      <c r="N159" s="397"/>
    </row>
    <row r="160" spans="2:14">
      <c r="B160" s="796" t="s">
        <v>400</v>
      </c>
      <c r="C160" s="537" t="s">
        <v>331</v>
      </c>
      <c r="D160" s="228" t="s">
        <v>16</v>
      </c>
      <c r="E160" s="228" t="s">
        <v>16</v>
      </c>
      <c r="F160" s="228" t="s">
        <v>230</v>
      </c>
      <c r="G160" s="228" t="s">
        <v>230</v>
      </c>
      <c r="H160" s="228" t="s">
        <v>230</v>
      </c>
      <c r="I160" s="269" t="s">
        <v>230</v>
      </c>
      <c r="J160" s="270" t="s">
        <v>230</v>
      </c>
      <c r="K160" s="228">
        <v>2</v>
      </c>
      <c r="L160" s="228"/>
      <c r="M160" s="228"/>
      <c r="N160" s="201"/>
    </row>
    <row r="161" spans="2:14">
      <c r="B161" s="797"/>
      <c r="C161" s="538" t="s">
        <v>332</v>
      </c>
      <c r="D161" s="227" t="s">
        <v>230</v>
      </c>
      <c r="E161" s="227" t="s">
        <v>16</v>
      </c>
      <c r="F161" s="227" t="s">
        <v>230</v>
      </c>
      <c r="G161" s="227" t="s">
        <v>230</v>
      </c>
      <c r="H161" s="227" t="s">
        <v>230</v>
      </c>
      <c r="I161" s="271" t="s">
        <v>230</v>
      </c>
      <c r="J161" s="272" t="s">
        <v>230</v>
      </c>
      <c r="K161" s="227">
        <v>1</v>
      </c>
      <c r="N161" s="202"/>
    </row>
    <row r="162" spans="2:14">
      <c r="B162" s="797"/>
      <c r="C162" s="538" t="s">
        <v>325</v>
      </c>
      <c r="D162" s="227" t="s">
        <v>230</v>
      </c>
      <c r="E162" s="227" t="s">
        <v>16</v>
      </c>
      <c r="F162" s="227" t="s">
        <v>230</v>
      </c>
      <c r="G162" s="227" t="s">
        <v>230</v>
      </c>
      <c r="H162" s="227" t="s">
        <v>230</v>
      </c>
      <c r="I162" s="271" t="s">
        <v>230</v>
      </c>
      <c r="J162" s="272" t="s">
        <v>230</v>
      </c>
      <c r="K162" s="227">
        <v>1</v>
      </c>
      <c r="N162" s="202"/>
    </row>
    <row r="163" spans="2:14">
      <c r="B163" s="797"/>
      <c r="C163" s="538" t="s">
        <v>308</v>
      </c>
      <c r="D163" s="227" t="s">
        <v>230</v>
      </c>
      <c r="E163" s="227" t="s">
        <v>16</v>
      </c>
      <c r="F163" s="227" t="s">
        <v>230</v>
      </c>
      <c r="G163" s="227" t="s">
        <v>230</v>
      </c>
      <c r="H163" s="227" t="s">
        <v>230</v>
      </c>
      <c r="I163" s="271" t="s">
        <v>230</v>
      </c>
      <c r="J163" s="272" t="s">
        <v>230</v>
      </c>
      <c r="K163" s="227">
        <v>2</v>
      </c>
      <c r="N163" s="202"/>
    </row>
    <row r="164" spans="2:14">
      <c r="B164" s="797"/>
      <c r="C164" s="538" t="s">
        <v>333</v>
      </c>
      <c r="D164" s="227" t="s">
        <v>230</v>
      </c>
      <c r="E164" s="227" t="s">
        <v>16</v>
      </c>
      <c r="F164" s="227" t="s">
        <v>230</v>
      </c>
      <c r="G164" s="227" t="s">
        <v>230</v>
      </c>
      <c r="H164" s="227" t="s">
        <v>230</v>
      </c>
      <c r="I164" s="271" t="s">
        <v>230</v>
      </c>
      <c r="J164" s="272" t="s">
        <v>230</v>
      </c>
      <c r="K164" s="227">
        <v>2</v>
      </c>
      <c r="N164" s="202"/>
    </row>
    <row r="165" spans="2:14">
      <c r="B165" s="797"/>
      <c r="C165" s="538" t="s">
        <v>334</v>
      </c>
      <c r="D165" s="227" t="s">
        <v>230</v>
      </c>
      <c r="E165" s="227" t="s">
        <v>16</v>
      </c>
      <c r="F165" s="227" t="s">
        <v>230</v>
      </c>
      <c r="G165" s="227" t="s">
        <v>230</v>
      </c>
      <c r="H165" s="227" t="s">
        <v>230</v>
      </c>
      <c r="I165" s="271" t="s">
        <v>230</v>
      </c>
      <c r="J165" s="272" t="s">
        <v>230</v>
      </c>
      <c r="K165" s="227">
        <v>2</v>
      </c>
      <c r="N165" s="202"/>
    </row>
    <row r="166" spans="2:14">
      <c r="B166" s="797"/>
      <c r="C166" s="540" t="s">
        <v>180</v>
      </c>
      <c r="D166" s="252" t="s">
        <v>230</v>
      </c>
      <c r="E166" s="252" t="s">
        <v>16</v>
      </c>
      <c r="F166" s="252" t="s">
        <v>230</v>
      </c>
      <c r="G166" s="252" t="s">
        <v>230</v>
      </c>
      <c r="H166" s="252" t="s">
        <v>230</v>
      </c>
      <c r="I166" s="273" t="s">
        <v>230</v>
      </c>
      <c r="J166" s="274" t="s">
        <v>230</v>
      </c>
      <c r="K166" s="252">
        <v>4</v>
      </c>
      <c r="L166" s="252"/>
      <c r="M166" s="252"/>
      <c r="N166" s="206"/>
    </row>
    <row r="167" spans="2:14" ht="43.5" customHeight="1">
      <c r="B167" s="735" t="s">
        <v>401</v>
      </c>
      <c r="C167" s="224" t="s">
        <v>320</v>
      </c>
      <c r="D167" s="228" t="s">
        <v>16</v>
      </c>
      <c r="E167" s="228" t="s">
        <v>16</v>
      </c>
      <c r="F167" s="228" t="s">
        <v>230</v>
      </c>
      <c r="G167" s="228" t="s">
        <v>230</v>
      </c>
      <c r="H167" s="228" t="s">
        <v>230</v>
      </c>
      <c r="I167" s="269" t="s">
        <v>230</v>
      </c>
      <c r="J167" s="270" t="s">
        <v>230</v>
      </c>
      <c r="K167" s="228">
        <v>4</v>
      </c>
      <c r="L167" s="228"/>
      <c r="M167" s="228"/>
      <c r="N167" s="201"/>
    </row>
    <row r="168" spans="2:14" ht="30">
      <c r="B168" s="736"/>
      <c r="C168" s="223" t="s">
        <v>108</v>
      </c>
      <c r="D168" s="227" t="s">
        <v>230</v>
      </c>
      <c r="E168" s="227" t="s">
        <v>230</v>
      </c>
      <c r="F168" s="227" t="s">
        <v>16</v>
      </c>
      <c r="G168" s="227" t="s">
        <v>230</v>
      </c>
      <c r="H168" s="227" t="s">
        <v>230</v>
      </c>
      <c r="I168" s="271" t="s">
        <v>230</v>
      </c>
      <c r="J168" s="272" t="s">
        <v>230</v>
      </c>
      <c r="K168" s="227">
        <v>3</v>
      </c>
      <c r="N168" s="202"/>
    </row>
    <row r="169" spans="2:14">
      <c r="B169" s="736"/>
      <c r="C169" s="223" t="s">
        <v>402</v>
      </c>
      <c r="D169" s="227" t="s">
        <v>230</v>
      </c>
      <c r="E169" s="227" t="s">
        <v>230</v>
      </c>
      <c r="F169" s="227" t="s">
        <v>16</v>
      </c>
      <c r="G169" s="227" t="s">
        <v>230</v>
      </c>
      <c r="H169" s="227" t="s">
        <v>230</v>
      </c>
      <c r="I169" s="271" t="s">
        <v>230</v>
      </c>
      <c r="J169" s="272" t="s">
        <v>230</v>
      </c>
      <c r="K169" s="227">
        <v>3</v>
      </c>
      <c r="N169" s="202"/>
    </row>
    <row r="170" spans="2:14" ht="30">
      <c r="B170" s="736"/>
      <c r="C170" s="223" t="s">
        <v>112</v>
      </c>
      <c r="D170" s="227" t="s">
        <v>230</v>
      </c>
      <c r="E170" s="227" t="s">
        <v>230</v>
      </c>
      <c r="F170" s="227" t="s">
        <v>16</v>
      </c>
      <c r="G170" s="227" t="s">
        <v>230</v>
      </c>
      <c r="H170" s="227" t="s">
        <v>230</v>
      </c>
      <c r="I170" s="271" t="s">
        <v>230</v>
      </c>
      <c r="J170" s="272" t="s">
        <v>230</v>
      </c>
      <c r="K170" s="227">
        <v>4</v>
      </c>
      <c r="N170" s="202"/>
    </row>
    <row r="171" spans="2:14">
      <c r="B171" s="736"/>
      <c r="C171" s="223" t="s">
        <v>341</v>
      </c>
      <c r="D171" s="227" t="s">
        <v>230</v>
      </c>
      <c r="E171" s="227" t="s">
        <v>230</v>
      </c>
      <c r="F171" s="227" t="s">
        <v>16</v>
      </c>
      <c r="G171" s="227" t="s">
        <v>230</v>
      </c>
      <c r="H171" s="227" t="s">
        <v>230</v>
      </c>
      <c r="I171" s="271" t="s">
        <v>230</v>
      </c>
      <c r="J171" s="272" t="s">
        <v>230</v>
      </c>
      <c r="K171" s="227">
        <v>4</v>
      </c>
      <c r="N171" s="202"/>
    </row>
    <row r="172" spans="2:14">
      <c r="B172" s="736"/>
      <c r="C172" s="223" t="s">
        <v>403</v>
      </c>
      <c r="D172" s="227" t="s">
        <v>230</v>
      </c>
      <c r="E172" s="227" t="s">
        <v>230</v>
      </c>
      <c r="F172" s="227" t="s">
        <v>16</v>
      </c>
      <c r="G172" s="227" t="s">
        <v>230</v>
      </c>
      <c r="H172" s="227" t="s">
        <v>230</v>
      </c>
      <c r="I172" s="271" t="s">
        <v>230</v>
      </c>
      <c r="J172" s="272" t="s">
        <v>230</v>
      </c>
      <c r="K172" s="227">
        <v>4</v>
      </c>
      <c r="N172" s="202"/>
    </row>
    <row r="173" spans="2:14" ht="30">
      <c r="B173" s="736"/>
      <c r="C173" s="223" t="s">
        <v>404</v>
      </c>
      <c r="D173" s="227" t="s">
        <v>230</v>
      </c>
      <c r="E173" s="227" t="s">
        <v>230</v>
      </c>
      <c r="F173" s="227" t="s">
        <v>16</v>
      </c>
      <c r="G173" s="227" t="s">
        <v>230</v>
      </c>
      <c r="H173" s="227" t="s">
        <v>230</v>
      </c>
      <c r="I173" s="271" t="s">
        <v>230</v>
      </c>
      <c r="J173" s="272" t="s">
        <v>230</v>
      </c>
      <c r="K173" s="227">
        <v>8</v>
      </c>
      <c r="N173" s="202"/>
    </row>
    <row r="174" spans="2:14">
      <c r="B174" s="736"/>
      <c r="C174" s="223" t="s">
        <v>405</v>
      </c>
      <c r="D174" s="227" t="s">
        <v>230</v>
      </c>
      <c r="E174" s="227" t="s">
        <v>230</v>
      </c>
      <c r="F174" s="227" t="s">
        <v>16</v>
      </c>
      <c r="G174" s="227" t="s">
        <v>230</v>
      </c>
      <c r="H174" s="227" t="s">
        <v>230</v>
      </c>
      <c r="I174" s="271" t="s">
        <v>230</v>
      </c>
      <c r="J174" s="272" t="s">
        <v>230</v>
      </c>
      <c r="K174" s="227">
        <v>8</v>
      </c>
      <c r="N174" s="202"/>
    </row>
    <row r="175" spans="2:14">
      <c r="B175" s="736"/>
      <c r="C175" s="223" t="s">
        <v>406</v>
      </c>
      <c r="D175" s="227" t="s">
        <v>230</v>
      </c>
      <c r="E175" s="227" t="s">
        <v>230</v>
      </c>
      <c r="F175" s="227" t="s">
        <v>16</v>
      </c>
      <c r="G175" s="227" t="s">
        <v>230</v>
      </c>
      <c r="H175" s="227" t="s">
        <v>230</v>
      </c>
      <c r="I175" s="271" t="s">
        <v>230</v>
      </c>
      <c r="J175" s="272" t="s">
        <v>230</v>
      </c>
      <c r="K175" s="227">
        <v>8</v>
      </c>
      <c r="N175" s="202"/>
    </row>
    <row r="176" spans="2:14">
      <c r="B176" s="736"/>
      <c r="C176" s="223" t="s">
        <v>407</v>
      </c>
      <c r="D176" s="227" t="s">
        <v>230</v>
      </c>
      <c r="E176" s="227" t="s">
        <v>230</v>
      </c>
      <c r="F176" s="227" t="s">
        <v>23</v>
      </c>
      <c r="G176" s="227" t="s">
        <v>230</v>
      </c>
      <c r="H176" s="227" t="s">
        <v>230</v>
      </c>
      <c r="I176" s="271" t="s">
        <v>230</v>
      </c>
      <c r="J176" s="272" t="s">
        <v>230</v>
      </c>
      <c r="K176" s="227">
        <v>8</v>
      </c>
      <c r="N176" s="202"/>
    </row>
    <row r="177" spans="2:14">
      <c r="B177" s="736"/>
      <c r="C177" s="230" t="s">
        <v>408</v>
      </c>
      <c r="D177" s="252" t="s">
        <v>230</v>
      </c>
      <c r="E177" s="252" t="s">
        <v>230</v>
      </c>
      <c r="F177" s="252" t="s">
        <v>16</v>
      </c>
      <c r="G177" s="252" t="s">
        <v>230</v>
      </c>
      <c r="H177" s="252" t="s">
        <v>230</v>
      </c>
      <c r="I177" s="273" t="s">
        <v>230</v>
      </c>
      <c r="J177" s="274" t="s">
        <v>230</v>
      </c>
      <c r="K177" s="252">
        <v>8</v>
      </c>
      <c r="L177" s="252"/>
      <c r="M177" s="252"/>
      <c r="N177" s="206"/>
    </row>
    <row r="178" spans="2:14">
      <c r="B178" s="735" t="s">
        <v>409</v>
      </c>
      <c r="C178" s="208" t="s">
        <v>320</v>
      </c>
      <c r="D178" s="228" t="s">
        <v>16</v>
      </c>
      <c r="E178" s="228" t="s">
        <v>16</v>
      </c>
      <c r="F178" s="228" t="s">
        <v>230</v>
      </c>
      <c r="G178" s="228" t="s">
        <v>230</v>
      </c>
      <c r="H178" s="228" t="s">
        <v>230</v>
      </c>
      <c r="I178" s="269" t="s">
        <v>230</v>
      </c>
      <c r="J178" s="270" t="s">
        <v>230</v>
      </c>
      <c r="K178" s="228">
        <v>3</v>
      </c>
      <c r="L178" s="228"/>
      <c r="M178" s="228"/>
      <c r="N178" s="201"/>
    </row>
    <row r="179" spans="2:14">
      <c r="B179" s="736"/>
      <c r="C179" s="192" t="s">
        <v>108</v>
      </c>
      <c r="D179" s="227" t="s">
        <v>230</v>
      </c>
      <c r="E179" s="227" t="s">
        <v>230</v>
      </c>
      <c r="F179" s="227" t="s">
        <v>16</v>
      </c>
      <c r="G179" s="227" t="s">
        <v>230</v>
      </c>
      <c r="H179" s="227" t="s">
        <v>230</v>
      </c>
      <c r="I179" s="271" t="s">
        <v>230</v>
      </c>
      <c r="J179" s="272" t="s">
        <v>230</v>
      </c>
      <c r="K179" s="227">
        <v>2</v>
      </c>
      <c r="N179" s="202"/>
    </row>
    <row r="180" spans="2:14">
      <c r="B180" s="736"/>
      <c r="C180" s="192" t="s">
        <v>410</v>
      </c>
      <c r="D180" s="227" t="s">
        <v>230</v>
      </c>
      <c r="E180" s="227" t="s">
        <v>230</v>
      </c>
      <c r="F180" s="227" t="s">
        <v>16</v>
      </c>
      <c r="G180" s="227" t="s">
        <v>230</v>
      </c>
      <c r="H180" s="227" t="s">
        <v>230</v>
      </c>
      <c r="I180" s="271" t="s">
        <v>230</v>
      </c>
      <c r="J180" s="272" t="s">
        <v>230</v>
      </c>
      <c r="K180" s="227">
        <v>2</v>
      </c>
      <c r="N180" s="202"/>
    </row>
    <row r="181" spans="2:14">
      <c r="B181" s="736"/>
      <c r="C181" s="192" t="s">
        <v>411</v>
      </c>
      <c r="D181" s="227" t="s">
        <v>230</v>
      </c>
      <c r="E181" s="227" t="s">
        <v>230</v>
      </c>
      <c r="F181" s="227" t="s">
        <v>16</v>
      </c>
      <c r="G181" s="227" t="s">
        <v>230</v>
      </c>
      <c r="H181" s="227" t="s">
        <v>230</v>
      </c>
      <c r="I181" s="271" t="s">
        <v>230</v>
      </c>
      <c r="J181" s="272" t="s">
        <v>230</v>
      </c>
      <c r="K181" s="227">
        <v>6</v>
      </c>
      <c r="N181" s="202"/>
    </row>
    <row r="182" spans="2:14">
      <c r="B182" s="736"/>
      <c r="C182" s="192" t="s">
        <v>341</v>
      </c>
      <c r="D182" s="227" t="s">
        <v>230</v>
      </c>
      <c r="E182" s="227" t="s">
        <v>230</v>
      </c>
      <c r="F182" s="227" t="s">
        <v>16</v>
      </c>
      <c r="G182" s="227" t="s">
        <v>230</v>
      </c>
      <c r="H182" s="227" t="s">
        <v>230</v>
      </c>
      <c r="I182" s="271" t="s">
        <v>230</v>
      </c>
      <c r="J182" s="272" t="s">
        <v>230</v>
      </c>
      <c r="K182" s="227">
        <v>3</v>
      </c>
      <c r="N182" s="202"/>
    </row>
    <row r="183" spans="2:14">
      <c r="B183" s="736"/>
      <c r="C183" s="192" t="s">
        <v>412</v>
      </c>
      <c r="D183" s="227" t="s">
        <v>230</v>
      </c>
      <c r="E183" s="227" t="s">
        <v>230</v>
      </c>
      <c r="F183" s="227" t="s">
        <v>16</v>
      </c>
      <c r="G183" s="227" t="s">
        <v>230</v>
      </c>
      <c r="H183" s="227" t="s">
        <v>230</v>
      </c>
      <c r="I183" s="271" t="s">
        <v>230</v>
      </c>
      <c r="J183" s="272" t="s">
        <v>230</v>
      </c>
      <c r="K183" s="227">
        <v>8</v>
      </c>
      <c r="N183" s="202"/>
    </row>
    <row r="184" spans="2:14">
      <c r="B184" s="736"/>
      <c r="C184" s="192" t="s">
        <v>413</v>
      </c>
      <c r="D184" s="227" t="s">
        <v>230</v>
      </c>
      <c r="E184" s="227" t="s">
        <v>230</v>
      </c>
      <c r="F184" s="227" t="s">
        <v>16</v>
      </c>
      <c r="G184" s="227" t="s">
        <v>230</v>
      </c>
      <c r="H184" s="227" t="s">
        <v>230</v>
      </c>
      <c r="I184" s="271" t="s">
        <v>230</v>
      </c>
      <c r="J184" s="272" t="s">
        <v>230</v>
      </c>
      <c r="K184" s="227">
        <v>6</v>
      </c>
      <c r="N184" s="202"/>
    </row>
    <row r="185" spans="2:14">
      <c r="B185" s="736"/>
      <c r="C185" s="192" t="s">
        <v>414</v>
      </c>
      <c r="D185" s="227" t="s">
        <v>230</v>
      </c>
      <c r="E185" s="227" t="s">
        <v>230</v>
      </c>
      <c r="F185" s="227" t="s">
        <v>16</v>
      </c>
      <c r="G185" s="227" t="s">
        <v>230</v>
      </c>
      <c r="H185" s="227" t="s">
        <v>230</v>
      </c>
      <c r="I185" s="271" t="s">
        <v>230</v>
      </c>
      <c r="J185" s="272" t="s">
        <v>230</v>
      </c>
      <c r="K185" s="227">
        <v>6</v>
      </c>
      <c r="N185" s="202"/>
    </row>
    <row r="186" spans="2:14">
      <c r="B186" s="736"/>
      <c r="C186" s="192" t="s">
        <v>415</v>
      </c>
      <c r="D186" s="227" t="s">
        <v>230</v>
      </c>
      <c r="E186" s="227" t="s">
        <v>230</v>
      </c>
      <c r="F186" s="227" t="s">
        <v>16</v>
      </c>
      <c r="G186" s="227" t="s">
        <v>230</v>
      </c>
      <c r="H186" s="227" t="s">
        <v>230</v>
      </c>
      <c r="I186" s="271" t="s">
        <v>230</v>
      </c>
      <c r="J186" s="272" t="s">
        <v>230</v>
      </c>
      <c r="K186" s="227">
        <v>4</v>
      </c>
      <c r="N186" s="202"/>
    </row>
    <row r="187" spans="2:14">
      <c r="B187" s="736"/>
      <c r="C187" s="192" t="s">
        <v>416</v>
      </c>
      <c r="D187" s="227" t="s">
        <v>230</v>
      </c>
      <c r="E187" s="227" t="s">
        <v>230</v>
      </c>
      <c r="F187" s="227" t="s">
        <v>16</v>
      </c>
      <c r="G187" s="227" t="s">
        <v>230</v>
      </c>
      <c r="H187" s="227" t="s">
        <v>230</v>
      </c>
      <c r="I187" s="271" t="s">
        <v>230</v>
      </c>
      <c r="J187" s="272" t="s">
        <v>230</v>
      </c>
      <c r="K187" s="227">
        <v>6</v>
      </c>
      <c r="N187" s="202"/>
    </row>
    <row r="188" spans="2:14">
      <c r="B188" s="736"/>
      <c r="C188" s="192" t="s">
        <v>112</v>
      </c>
      <c r="D188" s="227" t="s">
        <v>230</v>
      </c>
      <c r="E188" s="227" t="s">
        <v>230</v>
      </c>
      <c r="F188" s="227" t="s">
        <v>16</v>
      </c>
      <c r="G188" s="227" t="s">
        <v>230</v>
      </c>
      <c r="H188" s="227" t="s">
        <v>230</v>
      </c>
      <c r="I188" s="271" t="s">
        <v>230</v>
      </c>
      <c r="J188" s="272" t="s">
        <v>230</v>
      </c>
      <c r="K188" s="227">
        <v>4</v>
      </c>
      <c r="N188" s="202"/>
    </row>
    <row r="189" spans="2:14">
      <c r="B189" s="736"/>
      <c r="C189" s="222" t="s">
        <v>417</v>
      </c>
      <c r="D189" s="252" t="s">
        <v>230</v>
      </c>
      <c r="E189" s="252" t="s">
        <v>230</v>
      </c>
      <c r="F189" s="252" t="s">
        <v>16</v>
      </c>
      <c r="G189" s="252" t="s">
        <v>230</v>
      </c>
      <c r="H189" s="252" t="s">
        <v>230</v>
      </c>
      <c r="I189" s="273" t="s">
        <v>230</v>
      </c>
      <c r="J189" s="274" t="s">
        <v>230</v>
      </c>
      <c r="K189" s="252">
        <v>6</v>
      </c>
      <c r="L189" s="252"/>
      <c r="M189" s="252"/>
      <c r="N189" s="206"/>
    </row>
    <row r="190" spans="2:14">
      <c r="B190" s="735" t="s">
        <v>418</v>
      </c>
      <c r="C190" s="224" t="s">
        <v>419</v>
      </c>
      <c r="D190" s="228" t="s">
        <v>16</v>
      </c>
      <c r="E190" s="228" t="s">
        <v>230</v>
      </c>
      <c r="F190" s="228" t="s">
        <v>230</v>
      </c>
      <c r="G190" s="228" t="s">
        <v>230</v>
      </c>
      <c r="H190" s="228" t="s">
        <v>230</v>
      </c>
      <c r="I190" s="269" t="s">
        <v>230</v>
      </c>
      <c r="J190" s="270" t="s">
        <v>230</v>
      </c>
      <c r="K190" s="228">
        <v>2</v>
      </c>
      <c r="L190" s="228"/>
      <c r="M190" s="228"/>
      <c r="N190" s="201"/>
    </row>
    <row r="191" spans="2:14">
      <c r="B191" s="736"/>
      <c r="C191" s="223" t="s">
        <v>420</v>
      </c>
      <c r="D191" s="227" t="s">
        <v>230</v>
      </c>
      <c r="E191" s="227" t="s">
        <v>16</v>
      </c>
      <c r="F191" s="227" t="s">
        <v>230</v>
      </c>
      <c r="G191" s="227" t="s">
        <v>230</v>
      </c>
      <c r="H191" s="227" t="s">
        <v>230</v>
      </c>
      <c r="I191" s="271" t="s">
        <v>230</v>
      </c>
      <c r="J191" s="272" t="s">
        <v>230</v>
      </c>
      <c r="K191" s="227">
        <v>2</v>
      </c>
      <c r="N191" s="202"/>
    </row>
    <row r="192" spans="2:14">
      <c r="B192" s="736"/>
      <c r="C192" s="223" t="s">
        <v>421</v>
      </c>
      <c r="D192" s="227" t="s">
        <v>230</v>
      </c>
      <c r="E192" s="227" t="s">
        <v>16</v>
      </c>
      <c r="F192" s="227" t="s">
        <v>230</v>
      </c>
      <c r="G192" s="227" t="s">
        <v>230</v>
      </c>
      <c r="H192" s="227" t="s">
        <v>230</v>
      </c>
      <c r="I192" s="271" t="s">
        <v>230</v>
      </c>
      <c r="J192" s="272" t="s">
        <v>230</v>
      </c>
      <c r="K192" s="227">
        <v>3</v>
      </c>
      <c r="N192" s="202"/>
    </row>
    <row r="193" spans="2:14">
      <c r="B193" s="736"/>
      <c r="C193" s="223" t="s">
        <v>422</v>
      </c>
      <c r="D193" s="227" t="s">
        <v>230</v>
      </c>
      <c r="E193" s="227" t="s">
        <v>16</v>
      </c>
      <c r="F193" s="227" t="s">
        <v>230</v>
      </c>
      <c r="G193" s="227" t="s">
        <v>230</v>
      </c>
      <c r="H193" s="227" t="s">
        <v>230</v>
      </c>
      <c r="I193" s="271" t="s">
        <v>230</v>
      </c>
      <c r="J193" s="272" t="s">
        <v>230</v>
      </c>
      <c r="K193" s="227">
        <v>3</v>
      </c>
      <c r="N193" s="202"/>
    </row>
    <row r="194" spans="2:14">
      <c r="B194" s="736"/>
      <c r="C194" s="223" t="s">
        <v>423</v>
      </c>
      <c r="D194" s="227" t="s">
        <v>230</v>
      </c>
      <c r="E194" s="227" t="s">
        <v>16</v>
      </c>
      <c r="F194" s="227" t="s">
        <v>230</v>
      </c>
      <c r="G194" s="227" t="s">
        <v>230</v>
      </c>
      <c r="H194" s="227" t="s">
        <v>230</v>
      </c>
      <c r="I194" s="271" t="s">
        <v>230</v>
      </c>
      <c r="J194" s="272" t="s">
        <v>230</v>
      </c>
      <c r="K194" s="227">
        <v>3</v>
      </c>
      <c r="N194" s="202"/>
    </row>
    <row r="195" spans="2:14">
      <c r="B195" s="736"/>
      <c r="C195" s="223" t="s">
        <v>424</v>
      </c>
      <c r="D195" s="227" t="s">
        <v>230</v>
      </c>
      <c r="E195" s="227" t="s">
        <v>16</v>
      </c>
      <c r="F195" s="227" t="s">
        <v>230</v>
      </c>
      <c r="G195" s="227" t="s">
        <v>230</v>
      </c>
      <c r="H195" s="227" t="s">
        <v>230</v>
      </c>
      <c r="I195" s="271" t="s">
        <v>230</v>
      </c>
      <c r="J195" s="272" t="s">
        <v>230</v>
      </c>
      <c r="K195" s="227">
        <v>3</v>
      </c>
      <c r="N195" s="202"/>
    </row>
    <row r="196" spans="2:14" ht="30">
      <c r="B196" s="736"/>
      <c r="C196" s="223" t="s">
        <v>425</v>
      </c>
      <c r="D196" s="227" t="s">
        <v>230</v>
      </c>
      <c r="E196" s="227" t="s">
        <v>16</v>
      </c>
      <c r="F196" s="227" t="s">
        <v>230</v>
      </c>
      <c r="G196" s="227" t="s">
        <v>230</v>
      </c>
      <c r="H196" s="227" t="s">
        <v>230</v>
      </c>
      <c r="I196" s="271" t="s">
        <v>230</v>
      </c>
      <c r="J196" s="272" t="s">
        <v>230</v>
      </c>
      <c r="K196" s="227">
        <v>2</v>
      </c>
      <c r="N196" s="202"/>
    </row>
    <row r="197" spans="2:14">
      <c r="B197" s="736"/>
      <c r="C197" s="230" t="s">
        <v>426</v>
      </c>
      <c r="D197" s="252" t="s">
        <v>230</v>
      </c>
      <c r="E197" s="252" t="s">
        <v>16</v>
      </c>
      <c r="F197" s="252" t="s">
        <v>230</v>
      </c>
      <c r="G197" s="252" t="s">
        <v>230</v>
      </c>
      <c r="H197" s="252" t="s">
        <v>230</v>
      </c>
      <c r="I197" s="273" t="s">
        <v>230</v>
      </c>
      <c r="J197" s="274" t="s">
        <v>230</v>
      </c>
      <c r="K197" s="252">
        <v>2</v>
      </c>
      <c r="L197" s="252"/>
      <c r="M197" s="252"/>
      <c r="N197" s="206"/>
    </row>
    <row r="198" spans="2:14" ht="43.5" customHeight="1">
      <c r="B198" s="735" t="s">
        <v>427</v>
      </c>
      <c r="C198" s="208" t="s">
        <v>106</v>
      </c>
      <c r="D198" s="228" t="s">
        <v>16</v>
      </c>
      <c r="E198" s="228" t="s">
        <v>16</v>
      </c>
      <c r="F198" s="228" t="s">
        <v>230</v>
      </c>
      <c r="G198" s="228" t="s">
        <v>230</v>
      </c>
      <c r="H198" s="228" t="s">
        <v>230</v>
      </c>
      <c r="I198" s="269" t="s">
        <v>230</v>
      </c>
      <c r="J198" s="270" t="s">
        <v>230</v>
      </c>
      <c r="K198" s="228">
        <v>1</v>
      </c>
      <c r="L198" s="228"/>
      <c r="M198" s="228"/>
      <c r="N198" s="201"/>
    </row>
    <row r="199" spans="2:14">
      <c r="B199" s="736"/>
      <c r="C199" s="192" t="s">
        <v>108</v>
      </c>
      <c r="D199" s="227" t="s">
        <v>230</v>
      </c>
      <c r="E199" s="227" t="s">
        <v>16</v>
      </c>
      <c r="F199" s="227" t="s">
        <v>230</v>
      </c>
      <c r="G199" s="227" t="s">
        <v>230</v>
      </c>
      <c r="H199" s="227" t="s">
        <v>230</v>
      </c>
      <c r="I199" s="271" t="s">
        <v>230</v>
      </c>
      <c r="J199" s="272" t="s">
        <v>230</v>
      </c>
      <c r="K199" s="227">
        <v>1</v>
      </c>
      <c r="N199" s="202"/>
    </row>
    <row r="200" spans="2:14">
      <c r="B200" s="736"/>
      <c r="C200" s="192" t="s">
        <v>339</v>
      </c>
      <c r="D200" s="227" t="s">
        <v>230</v>
      </c>
      <c r="E200" s="227" t="s">
        <v>230</v>
      </c>
      <c r="F200" s="227" t="s">
        <v>16</v>
      </c>
      <c r="G200" s="227" t="s">
        <v>230</v>
      </c>
      <c r="H200" s="227" t="s">
        <v>230</v>
      </c>
      <c r="I200" s="271" t="s">
        <v>230</v>
      </c>
      <c r="J200" s="272" t="s">
        <v>230</v>
      </c>
      <c r="K200" s="227">
        <v>1</v>
      </c>
      <c r="N200" s="202"/>
    </row>
    <row r="201" spans="2:14">
      <c r="B201" s="736"/>
      <c r="C201" s="192" t="s">
        <v>112</v>
      </c>
      <c r="D201" s="227" t="s">
        <v>230</v>
      </c>
      <c r="E201" s="227" t="s">
        <v>230</v>
      </c>
      <c r="F201" s="227" t="s">
        <v>16</v>
      </c>
      <c r="G201" s="227" t="s">
        <v>230</v>
      </c>
      <c r="H201" s="227" t="s">
        <v>230</v>
      </c>
      <c r="I201" s="271" t="s">
        <v>230</v>
      </c>
      <c r="J201" s="272" t="s">
        <v>230</v>
      </c>
      <c r="K201" s="227">
        <v>1</v>
      </c>
      <c r="N201" s="202"/>
    </row>
    <row r="202" spans="2:14">
      <c r="B202" s="736"/>
      <c r="C202" s="192" t="s">
        <v>341</v>
      </c>
      <c r="D202" s="227" t="s">
        <v>230</v>
      </c>
      <c r="E202" s="227" t="s">
        <v>230</v>
      </c>
      <c r="F202" s="227" t="s">
        <v>16</v>
      </c>
      <c r="G202" s="227" t="s">
        <v>230</v>
      </c>
      <c r="H202" s="227" t="s">
        <v>230</v>
      </c>
      <c r="I202" s="271" t="s">
        <v>230</v>
      </c>
      <c r="J202" s="272" t="s">
        <v>230</v>
      </c>
      <c r="K202" s="227">
        <v>1</v>
      </c>
      <c r="N202" s="202"/>
    </row>
    <row r="203" spans="2:14">
      <c r="B203" s="736"/>
      <c r="C203" s="192" t="s">
        <v>327</v>
      </c>
      <c r="D203" s="227" t="s">
        <v>230</v>
      </c>
      <c r="E203" s="227" t="s">
        <v>230</v>
      </c>
      <c r="F203" s="227" t="s">
        <v>16</v>
      </c>
      <c r="G203" s="227" t="s">
        <v>230</v>
      </c>
      <c r="H203" s="227" t="s">
        <v>230</v>
      </c>
      <c r="I203" s="271" t="s">
        <v>230</v>
      </c>
      <c r="J203" s="272" t="s">
        <v>230</v>
      </c>
      <c r="K203" s="227">
        <v>1</v>
      </c>
      <c r="N203" s="202"/>
    </row>
    <row r="204" spans="2:14">
      <c r="B204" s="736"/>
      <c r="C204" s="192" t="s">
        <v>343</v>
      </c>
      <c r="D204" s="227" t="s">
        <v>230</v>
      </c>
      <c r="E204" s="227" t="s">
        <v>230</v>
      </c>
      <c r="F204" s="227" t="s">
        <v>16</v>
      </c>
      <c r="G204" s="227" t="s">
        <v>230</v>
      </c>
      <c r="H204" s="227" t="s">
        <v>230</v>
      </c>
      <c r="I204" s="271" t="s">
        <v>230</v>
      </c>
      <c r="J204" s="272" t="s">
        <v>230</v>
      </c>
      <c r="K204" s="227">
        <v>1</v>
      </c>
      <c r="N204" s="202"/>
    </row>
    <row r="205" spans="2:14">
      <c r="B205" s="736"/>
      <c r="C205" s="192" t="s">
        <v>390</v>
      </c>
      <c r="D205" s="227" t="s">
        <v>230</v>
      </c>
      <c r="E205" s="227" t="s">
        <v>230</v>
      </c>
      <c r="F205" s="227" t="s">
        <v>16</v>
      </c>
      <c r="G205" s="227" t="s">
        <v>230</v>
      </c>
      <c r="H205" s="227" t="s">
        <v>230</v>
      </c>
      <c r="I205" s="271" t="s">
        <v>230</v>
      </c>
      <c r="J205" s="272" t="s">
        <v>230</v>
      </c>
      <c r="K205" s="227">
        <v>1</v>
      </c>
      <c r="N205" s="202"/>
    </row>
    <row r="206" spans="2:14">
      <c r="B206" s="736"/>
      <c r="C206" s="192" t="s">
        <v>388</v>
      </c>
      <c r="D206" s="227" t="s">
        <v>230</v>
      </c>
      <c r="E206" s="227" t="s">
        <v>230</v>
      </c>
      <c r="F206" s="227" t="s">
        <v>16</v>
      </c>
      <c r="G206" s="227" t="s">
        <v>230</v>
      </c>
      <c r="H206" s="227" t="s">
        <v>230</v>
      </c>
      <c r="I206" s="271" t="s">
        <v>230</v>
      </c>
      <c r="J206" s="272" t="s">
        <v>230</v>
      </c>
      <c r="K206" s="227">
        <v>1</v>
      </c>
      <c r="N206" s="202"/>
    </row>
    <row r="207" spans="2:14">
      <c r="B207" s="736"/>
      <c r="C207" s="222" t="s">
        <v>391</v>
      </c>
      <c r="D207" s="252" t="s">
        <v>230</v>
      </c>
      <c r="E207" s="252" t="s">
        <v>230</v>
      </c>
      <c r="F207" s="252" t="s">
        <v>16</v>
      </c>
      <c r="G207" s="252" t="s">
        <v>230</v>
      </c>
      <c r="H207" s="252" t="s">
        <v>230</v>
      </c>
      <c r="I207" s="273" t="s">
        <v>230</v>
      </c>
      <c r="J207" s="274" t="s">
        <v>230</v>
      </c>
      <c r="K207" s="252">
        <v>1</v>
      </c>
      <c r="L207" s="252"/>
      <c r="M207" s="252"/>
      <c r="N207" s="206"/>
    </row>
    <row r="208" spans="2:14">
      <c r="B208" s="735" t="s">
        <v>428</v>
      </c>
      <c r="C208" s="208" t="s">
        <v>106</v>
      </c>
      <c r="D208" s="543" t="s">
        <v>230</v>
      </c>
      <c r="E208" s="544" t="s">
        <v>230</v>
      </c>
      <c r="F208" s="553" t="s">
        <v>16</v>
      </c>
      <c r="G208" s="553" t="s">
        <v>230</v>
      </c>
      <c r="H208" s="553" t="s">
        <v>230</v>
      </c>
      <c r="I208" s="545" t="s">
        <v>230</v>
      </c>
      <c r="J208" s="545" t="s">
        <v>230</v>
      </c>
      <c r="K208" s="553">
        <v>2</v>
      </c>
      <c r="L208" s="553">
        <v>1</v>
      </c>
      <c r="M208" s="228"/>
      <c r="N208" s="201"/>
    </row>
    <row r="209" spans="2:14">
      <c r="B209" s="736"/>
      <c r="C209" s="192" t="s">
        <v>324</v>
      </c>
      <c r="D209" s="541" t="s">
        <v>230</v>
      </c>
      <c r="E209" s="542" t="s">
        <v>230</v>
      </c>
      <c r="F209" s="542" t="s">
        <v>16</v>
      </c>
      <c r="G209" s="542" t="s">
        <v>230</v>
      </c>
      <c r="H209" s="542" t="s">
        <v>230</v>
      </c>
      <c r="I209" s="535" t="s">
        <v>230</v>
      </c>
      <c r="J209" s="535" t="s">
        <v>230</v>
      </c>
      <c r="K209" s="542">
        <v>1</v>
      </c>
      <c r="L209" s="542" t="s">
        <v>230</v>
      </c>
      <c r="N209" s="202"/>
    </row>
    <row r="210" spans="2:14">
      <c r="B210" s="736"/>
      <c r="C210" s="192" t="s">
        <v>325</v>
      </c>
      <c r="D210" s="541" t="s">
        <v>230</v>
      </c>
      <c r="E210" s="542" t="s">
        <v>230</v>
      </c>
      <c r="F210" s="542" t="s">
        <v>16</v>
      </c>
      <c r="G210" s="542" t="s">
        <v>230</v>
      </c>
      <c r="H210" s="542" t="s">
        <v>230</v>
      </c>
      <c r="I210" s="535" t="s">
        <v>230</v>
      </c>
      <c r="J210" s="535" t="s">
        <v>230</v>
      </c>
      <c r="K210" s="542">
        <v>1</v>
      </c>
      <c r="L210" s="542" t="s">
        <v>230</v>
      </c>
      <c r="N210" s="202"/>
    </row>
    <row r="211" spans="2:14">
      <c r="B211" s="736"/>
      <c r="C211" s="192" t="s">
        <v>308</v>
      </c>
      <c r="D211" s="541" t="s">
        <v>230</v>
      </c>
      <c r="E211" s="551" t="s">
        <v>230</v>
      </c>
      <c r="F211" s="551" t="s">
        <v>16</v>
      </c>
      <c r="G211" s="551" t="s">
        <v>230</v>
      </c>
      <c r="H211" s="551" t="s">
        <v>230</v>
      </c>
      <c r="I211" s="552" t="s">
        <v>230</v>
      </c>
      <c r="J211" s="552" t="s">
        <v>230</v>
      </c>
      <c r="K211" s="551">
        <v>4</v>
      </c>
      <c r="L211" s="551" t="s">
        <v>230</v>
      </c>
      <c r="M211" s="252"/>
      <c r="N211" s="202"/>
    </row>
    <row r="212" spans="2:14">
      <c r="B212" s="736"/>
      <c r="C212" s="192" t="s">
        <v>326</v>
      </c>
      <c r="D212" s="548" t="s">
        <v>230</v>
      </c>
      <c r="E212" s="546" t="s">
        <v>230</v>
      </c>
      <c r="F212" s="546" t="s">
        <v>16</v>
      </c>
      <c r="G212" s="546" t="s">
        <v>230</v>
      </c>
      <c r="H212" s="546" t="s">
        <v>230</v>
      </c>
      <c r="I212" s="547" t="s">
        <v>230</v>
      </c>
      <c r="J212" s="547" t="s">
        <v>230</v>
      </c>
      <c r="K212" s="546">
        <v>4</v>
      </c>
      <c r="L212" s="546" t="s">
        <v>230</v>
      </c>
      <c r="N212" s="280"/>
    </row>
    <row r="213" spans="2:14">
      <c r="B213" s="736"/>
      <c r="C213" s="192" t="s">
        <v>327</v>
      </c>
      <c r="D213" s="548" t="s">
        <v>230</v>
      </c>
      <c r="E213" s="546" t="s">
        <v>230</v>
      </c>
      <c r="F213" s="546" t="s">
        <v>16</v>
      </c>
      <c r="G213" s="546" t="s">
        <v>230</v>
      </c>
      <c r="H213" s="546" t="s">
        <v>230</v>
      </c>
      <c r="I213" s="547" t="s">
        <v>230</v>
      </c>
      <c r="J213" s="547" t="s">
        <v>230</v>
      </c>
      <c r="K213" s="546">
        <v>2</v>
      </c>
      <c r="L213" s="546" t="s">
        <v>230</v>
      </c>
      <c r="N213" s="280"/>
    </row>
    <row r="214" spans="2:14">
      <c r="B214" s="737"/>
      <c r="C214" s="209" t="s">
        <v>30</v>
      </c>
      <c r="D214" s="549" t="s">
        <v>230</v>
      </c>
      <c r="E214" s="554" t="s">
        <v>230</v>
      </c>
      <c r="F214" s="554" t="s">
        <v>16</v>
      </c>
      <c r="G214" s="554" t="s">
        <v>230</v>
      </c>
      <c r="H214" s="554" t="s">
        <v>230</v>
      </c>
      <c r="I214" s="555" t="s">
        <v>230</v>
      </c>
      <c r="J214" s="555" t="s">
        <v>230</v>
      </c>
      <c r="K214" s="554">
        <v>8</v>
      </c>
      <c r="L214" s="554" t="s">
        <v>230</v>
      </c>
      <c r="M214" s="229"/>
      <c r="N214" s="550"/>
    </row>
    <row r="215" spans="2:14">
      <c r="B215" s="83"/>
      <c r="C215" s="207"/>
      <c r="D215" s="541" t="s">
        <v>230</v>
      </c>
      <c r="E215" s="542" t="s">
        <v>230</v>
      </c>
      <c r="F215" s="226"/>
      <c r="G215" s="226"/>
      <c r="H215" s="226"/>
      <c r="I215" s="277"/>
      <c r="J215" s="278"/>
      <c r="K215" s="226"/>
      <c r="L215" s="226"/>
      <c r="M215" s="226"/>
      <c r="N215" s="200"/>
    </row>
  </sheetData>
  <autoFilter ref="B1:N215" xr:uid="{C2469C48-B953-4654-9C57-B823C28E5F7D}"/>
  <mergeCells count="31">
    <mergeCell ref="B2:B10"/>
    <mergeCell ref="B20:B26"/>
    <mergeCell ref="B39:B46"/>
    <mergeCell ref="A39:A46"/>
    <mergeCell ref="B27:B32"/>
    <mergeCell ref="B33:B38"/>
    <mergeCell ref="B11:B19"/>
    <mergeCell ref="A91:A109"/>
    <mergeCell ref="B91:B93"/>
    <mergeCell ref="B94:B101"/>
    <mergeCell ref="B102:B109"/>
    <mergeCell ref="B48:B55"/>
    <mergeCell ref="B65:B67"/>
    <mergeCell ref="B68:B74"/>
    <mergeCell ref="A48:A55"/>
    <mergeCell ref="A56:A64"/>
    <mergeCell ref="B56:B64"/>
    <mergeCell ref="B130:B137"/>
    <mergeCell ref="B138:B146"/>
    <mergeCell ref="B147:B153"/>
    <mergeCell ref="B154:B159"/>
    <mergeCell ref="B75:B83"/>
    <mergeCell ref="B84:B90"/>
    <mergeCell ref="B110:B119"/>
    <mergeCell ref="B120:B129"/>
    <mergeCell ref="B208:B214"/>
    <mergeCell ref="B160:B166"/>
    <mergeCell ref="B167:B177"/>
    <mergeCell ref="B178:B189"/>
    <mergeCell ref="B190:B197"/>
    <mergeCell ref="B198:B20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649E-3C18-4EBA-A23E-0036DC227C91}">
  <dimension ref="B1:N4"/>
  <sheetViews>
    <sheetView workbookViewId="0">
      <selection activeCell="H4" sqref="H4"/>
    </sheetView>
  </sheetViews>
  <sheetFormatPr defaultColWidth="8.7109375" defaultRowHeight="15"/>
  <cols>
    <col min="2" max="2" width="14.42578125" style="159" customWidth="1"/>
    <col min="3" max="3" width="23.28515625" style="159" customWidth="1"/>
    <col min="4" max="8" width="9.140625" style="159"/>
    <col min="9" max="10" width="9.140625" style="5"/>
    <col min="11" max="11" width="12.28515625" style="159" customWidth="1"/>
    <col min="12" max="12" width="14.42578125" style="159" customWidth="1"/>
    <col min="13" max="13" width="18.42578125" style="159" customWidth="1"/>
    <col min="14" max="14" width="22" style="5" customWidth="1"/>
  </cols>
  <sheetData>
    <row r="1" spans="2:14" ht="47.25">
      <c r="B1" s="372" t="s">
        <v>2</v>
      </c>
      <c r="C1" s="519" t="s">
        <v>3</v>
      </c>
      <c r="D1" s="372" t="s">
        <v>4</v>
      </c>
      <c r="E1" s="372" t="s">
        <v>5</v>
      </c>
      <c r="F1" s="372" t="s">
        <v>6</v>
      </c>
      <c r="G1" s="372" t="s">
        <v>7</v>
      </c>
      <c r="H1" s="372" t="s">
        <v>8</v>
      </c>
      <c r="I1" s="372"/>
      <c r="J1" s="372" t="s">
        <v>9</v>
      </c>
      <c r="K1" s="372" t="s">
        <v>10</v>
      </c>
      <c r="L1" s="372" t="s">
        <v>11</v>
      </c>
      <c r="M1" s="520" t="s">
        <v>12</v>
      </c>
      <c r="N1" s="373" t="s">
        <v>13</v>
      </c>
    </row>
    <row r="2" spans="2:14" ht="25.5">
      <c r="B2" s="817" t="s">
        <v>429</v>
      </c>
      <c r="C2" s="142" t="s">
        <v>430</v>
      </c>
      <c r="D2" s="452" t="s">
        <v>16</v>
      </c>
      <c r="E2" s="452" t="s">
        <v>16</v>
      </c>
      <c r="F2" s="452"/>
      <c r="G2" s="452"/>
      <c r="H2" s="452"/>
      <c r="I2" s="518"/>
      <c r="J2" s="518"/>
      <c r="K2" s="451">
        <v>2</v>
      </c>
      <c r="N2" s="14"/>
    </row>
    <row r="3" spans="2:14">
      <c r="B3" s="817"/>
      <c r="C3" s="142" t="s">
        <v>431</v>
      </c>
      <c r="D3" s="452"/>
      <c r="E3" s="452" t="s">
        <v>16</v>
      </c>
      <c r="F3" s="452"/>
      <c r="G3" s="452"/>
      <c r="H3" s="452"/>
      <c r="I3" s="518"/>
      <c r="J3" s="518"/>
      <c r="K3" s="451">
        <v>8</v>
      </c>
    </row>
    <row r="4" spans="2:14" ht="51">
      <c r="B4" s="817"/>
      <c r="C4" s="142" t="s">
        <v>432</v>
      </c>
      <c r="D4" s="452"/>
      <c r="E4" s="452" t="s">
        <v>16</v>
      </c>
      <c r="F4" s="452"/>
      <c r="G4" s="452"/>
      <c r="H4" s="452"/>
      <c r="I4" s="518"/>
      <c r="J4" s="518"/>
      <c r="K4" s="451">
        <v>8</v>
      </c>
    </row>
  </sheetData>
  <mergeCells count="1">
    <mergeCell ref="B2:B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BDB1-CC22-4A91-B500-C1C6B4A2D8BF}">
  <dimension ref="B1:V20"/>
  <sheetViews>
    <sheetView topLeftCell="A11" workbookViewId="0">
      <selection activeCell="F13" sqref="F13"/>
    </sheetView>
  </sheetViews>
  <sheetFormatPr defaultColWidth="8.7109375" defaultRowHeight="24"/>
  <cols>
    <col min="2" max="2" width="10" style="620" customWidth="1"/>
    <col min="3" max="3" width="26" style="621" customWidth="1"/>
    <col min="10" max="10" width="14.140625" style="595" customWidth="1"/>
    <col min="11" max="11" width="28.7109375" style="81" customWidth="1"/>
    <col min="12" max="16" width="9.140625" style="502"/>
    <col min="17" max="18" width="9.140625" style="503"/>
    <col min="19" max="19" width="9.140625" style="502"/>
    <col min="20" max="20" width="15.140625" style="502" customWidth="1"/>
    <col min="21" max="21" width="17.28515625" style="502" customWidth="1"/>
    <col min="22" max="22" width="22.85546875" style="590" customWidth="1"/>
  </cols>
  <sheetData>
    <row r="1" spans="2:22">
      <c r="C1" s="620"/>
      <c r="J1" s="612"/>
      <c r="K1" s="613"/>
      <c r="L1" s="614"/>
      <c r="M1" s="614"/>
      <c r="N1" s="614"/>
      <c r="O1" s="614"/>
      <c r="P1" s="614"/>
      <c r="Q1" s="614"/>
      <c r="R1" s="614"/>
      <c r="S1" s="614"/>
      <c r="T1" s="614"/>
      <c r="U1" s="614"/>
      <c r="V1" s="614"/>
    </row>
    <row r="2" spans="2:22">
      <c r="J2" s="612"/>
      <c r="K2" s="613"/>
      <c r="L2" s="614"/>
      <c r="M2" s="614"/>
      <c r="N2" s="614"/>
      <c r="O2" s="614"/>
      <c r="P2" s="614"/>
      <c r="Q2" s="614"/>
      <c r="R2" s="614"/>
      <c r="S2" s="614"/>
      <c r="T2" s="614"/>
      <c r="U2" s="614"/>
      <c r="V2" s="614"/>
    </row>
    <row r="3" spans="2:22">
      <c r="J3" s="612"/>
      <c r="K3" s="613"/>
      <c r="L3" s="614"/>
      <c r="M3" s="614"/>
      <c r="N3" s="614"/>
      <c r="O3" s="614"/>
      <c r="P3" s="614"/>
      <c r="Q3" s="614"/>
      <c r="R3" s="614"/>
      <c r="S3" s="614"/>
      <c r="T3" s="614"/>
      <c r="U3" s="614"/>
      <c r="V3" s="614"/>
    </row>
    <row r="4" spans="2:22" ht="47.25">
      <c r="B4" s="622" t="s">
        <v>0</v>
      </c>
      <c r="C4" s="623" t="s">
        <v>1</v>
      </c>
      <c r="J4" s="611" t="s">
        <v>2</v>
      </c>
      <c r="K4" s="611" t="s">
        <v>3</v>
      </c>
      <c r="L4" s="372" t="s">
        <v>4</v>
      </c>
      <c r="M4" s="372" t="s">
        <v>5</v>
      </c>
      <c r="N4" s="372" t="s">
        <v>6</v>
      </c>
      <c r="O4" s="372" t="s">
        <v>7</v>
      </c>
      <c r="P4" s="372" t="s">
        <v>8</v>
      </c>
      <c r="Q4" s="372"/>
      <c r="R4" s="372" t="s">
        <v>9</v>
      </c>
      <c r="S4" s="372" t="s">
        <v>10</v>
      </c>
      <c r="T4" s="372" t="s">
        <v>11</v>
      </c>
      <c r="U4" s="372" t="s">
        <v>12</v>
      </c>
      <c r="V4" s="373" t="s">
        <v>13</v>
      </c>
    </row>
    <row r="5" spans="2:22" ht="25.5">
      <c r="B5" s="624">
        <v>1</v>
      </c>
      <c r="C5" s="625" t="str">
        <f>HYPERLINK("#'ARUBA'!A2","Aruba")</f>
        <v>Aruba</v>
      </c>
      <c r="J5" s="818" t="s">
        <v>433</v>
      </c>
      <c r="K5" s="615" t="s">
        <v>434</v>
      </c>
      <c r="L5" s="616"/>
      <c r="M5" s="616"/>
      <c r="N5" s="616" t="s">
        <v>16</v>
      </c>
      <c r="O5" s="616"/>
      <c r="P5" s="616"/>
      <c r="Q5" s="617"/>
      <c r="R5" s="617"/>
      <c r="S5" s="618">
        <v>4</v>
      </c>
      <c r="T5" s="618"/>
      <c r="U5" s="618"/>
      <c r="V5" s="619"/>
    </row>
    <row r="6" spans="2:22" ht="25.5">
      <c r="B6" s="624">
        <v>2</v>
      </c>
      <c r="C6" s="625" t="str">
        <f>HYPERLINK("#'AZURE'!A2","Azure")</f>
        <v>Azure</v>
      </c>
      <c r="J6" s="819"/>
      <c r="K6" s="592" t="s">
        <v>435</v>
      </c>
      <c r="L6" s="112"/>
      <c r="M6" s="112"/>
      <c r="N6" s="112" t="s">
        <v>16</v>
      </c>
      <c r="O6" s="112"/>
      <c r="P6" s="112"/>
      <c r="Q6" s="578"/>
      <c r="R6" s="578"/>
      <c r="S6" s="579">
        <v>10</v>
      </c>
      <c r="T6" s="579">
        <v>10</v>
      </c>
      <c r="U6" s="579"/>
      <c r="V6" s="580"/>
    </row>
    <row r="7" spans="2:22">
      <c r="B7" s="624">
        <v>3</v>
      </c>
      <c r="C7" s="625" t="str">
        <f>HYPERLINK("#'CISCO'!A2","Cisco")</f>
        <v>Cisco</v>
      </c>
      <c r="J7" s="819"/>
      <c r="K7" s="80" t="s">
        <v>436</v>
      </c>
      <c r="L7" s="112"/>
      <c r="M7" s="112"/>
      <c r="N7" s="112" t="s">
        <v>16</v>
      </c>
      <c r="O7" s="112"/>
      <c r="P7" s="112"/>
      <c r="Q7" s="578"/>
      <c r="R7" s="578"/>
      <c r="S7" s="579">
        <v>6</v>
      </c>
      <c r="T7" s="579">
        <v>6</v>
      </c>
      <c r="U7" s="579"/>
      <c r="V7" s="580"/>
    </row>
    <row r="8" spans="2:22" ht="23.25" customHeight="1">
      <c r="B8" s="624">
        <v>4</v>
      </c>
      <c r="C8" s="625" t="str">
        <f>HYPERLINK("#'DELL'!A2","Dell")</f>
        <v>Dell</v>
      </c>
      <c r="J8" s="820"/>
      <c r="K8" s="484" t="s">
        <v>437</v>
      </c>
      <c r="L8" s="426"/>
      <c r="M8" s="426"/>
      <c r="N8" s="426" t="s">
        <v>16</v>
      </c>
      <c r="O8" s="426"/>
      <c r="P8" s="426"/>
      <c r="Q8" s="581"/>
      <c r="R8" s="581"/>
      <c r="S8" s="582">
        <v>4</v>
      </c>
      <c r="T8" s="582">
        <v>4</v>
      </c>
      <c r="U8" s="582"/>
      <c r="V8" s="583"/>
    </row>
    <row r="9" spans="2:22" ht="25.5">
      <c r="B9" s="624">
        <v>5</v>
      </c>
      <c r="C9" s="625" t="str">
        <f>HYPERLINK("#'EQUIPO PIVOTE'!A2","Equipo pivote")</f>
        <v>Equipo pivote</v>
      </c>
      <c r="J9" s="821" t="s">
        <v>438</v>
      </c>
      <c r="K9" s="591" t="s">
        <v>434</v>
      </c>
      <c r="L9" s="574"/>
      <c r="M9" s="574"/>
      <c r="N9" s="574" t="s">
        <v>16</v>
      </c>
      <c r="O9" s="574"/>
      <c r="P9" s="574"/>
      <c r="Q9" s="575"/>
      <c r="R9" s="575"/>
      <c r="S9" s="576">
        <v>4</v>
      </c>
      <c r="T9" s="576"/>
      <c r="U9" s="576"/>
      <c r="V9" s="577"/>
    </row>
    <row r="10" spans="2:22" ht="25.5">
      <c r="B10" s="624">
        <v>6</v>
      </c>
      <c r="C10" s="625" t="str">
        <f>HYPERLINK("#'Firewalls'!A2","Firewalls")</f>
        <v>Firewalls</v>
      </c>
      <c r="J10" s="819"/>
      <c r="K10" s="592" t="s">
        <v>435</v>
      </c>
      <c r="L10" s="112"/>
      <c r="M10" s="112"/>
      <c r="N10" s="112" t="s">
        <v>16</v>
      </c>
      <c r="O10" s="112"/>
      <c r="P10" s="112"/>
      <c r="Q10" s="578"/>
      <c r="R10" s="578"/>
      <c r="S10" s="579">
        <v>10</v>
      </c>
      <c r="T10" s="579">
        <v>10</v>
      </c>
      <c r="U10" s="579"/>
      <c r="V10" s="580"/>
    </row>
    <row r="11" spans="2:22">
      <c r="B11" s="624">
        <v>7</v>
      </c>
      <c r="C11" s="625" t="str">
        <f>HYPERLINK("#'FORTI'!A2","Forti")</f>
        <v>Forti</v>
      </c>
      <c r="J11" s="819"/>
      <c r="K11" s="80" t="s">
        <v>436</v>
      </c>
      <c r="L11" s="112"/>
      <c r="M11" s="112"/>
      <c r="N11" s="112" t="s">
        <v>16</v>
      </c>
      <c r="O11" s="112"/>
      <c r="P11" s="112"/>
      <c r="Q11" s="578"/>
      <c r="R11" s="578"/>
      <c r="S11" s="579">
        <v>6</v>
      </c>
      <c r="T11" s="579">
        <v>6</v>
      </c>
      <c r="U11" s="579"/>
      <c r="V11" s="580"/>
    </row>
    <row r="12" spans="2:22" ht="23.25" customHeight="1">
      <c r="B12" s="624">
        <v>8</v>
      </c>
      <c r="C12" s="625" t="str">
        <f>HYPERLINK("#'HP'!A2","HP")</f>
        <v>HP</v>
      </c>
      <c r="J12" s="819"/>
      <c r="K12" s="80" t="s">
        <v>437</v>
      </c>
      <c r="L12" s="112"/>
      <c r="M12" s="112"/>
      <c r="N12" s="112" t="s">
        <v>16</v>
      </c>
      <c r="O12" s="112"/>
      <c r="P12" s="112"/>
      <c r="Q12" s="578"/>
      <c r="R12" s="578"/>
      <c r="S12" s="579">
        <v>4</v>
      </c>
      <c r="T12" s="579">
        <v>4</v>
      </c>
      <c r="U12" s="579"/>
      <c r="V12" s="580"/>
    </row>
    <row r="13" spans="2:22">
      <c r="B13" s="624">
        <v>9</v>
      </c>
      <c r="C13" s="625" t="str">
        <f>HYPERLINK("#'HPE'!A2","HPE")</f>
        <v>HPE</v>
      </c>
      <c r="F13" s="638"/>
      <c r="J13" s="820"/>
      <c r="K13" s="484" t="s">
        <v>439</v>
      </c>
      <c r="L13" s="426"/>
      <c r="M13" s="426"/>
      <c r="N13" s="426" t="s">
        <v>16</v>
      </c>
      <c r="O13" s="426"/>
      <c r="P13" s="426"/>
      <c r="Q13" s="581"/>
      <c r="R13" s="581"/>
      <c r="S13" s="582">
        <v>4</v>
      </c>
      <c r="T13" s="582"/>
      <c r="U13" s="582"/>
      <c r="V13" s="583"/>
    </row>
    <row r="14" spans="2:22" ht="35.25" customHeight="1">
      <c r="B14" s="624">
        <v>10</v>
      </c>
      <c r="C14" s="625" t="str">
        <f>HYPERLINK("#'ROUTER'!A2","Router")</f>
        <v>Router</v>
      </c>
      <c r="J14" s="822" t="s">
        <v>440</v>
      </c>
      <c r="K14" s="591" t="s">
        <v>441</v>
      </c>
      <c r="L14" s="574"/>
      <c r="M14" s="574"/>
      <c r="N14" s="574" t="s">
        <v>16</v>
      </c>
      <c r="O14" s="574"/>
      <c r="P14" s="574"/>
      <c r="Q14" s="575"/>
      <c r="R14" s="575"/>
      <c r="S14" s="576">
        <v>8</v>
      </c>
      <c r="T14" s="576"/>
      <c r="U14" s="576"/>
      <c r="V14" s="577"/>
    </row>
    <row r="15" spans="2:22" ht="23.25" customHeight="1">
      <c r="B15" s="624">
        <v>11</v>
      </c>
      <c r="C15" s="625" t="str">
        <f>HYPERLINK("#'SERVIDORES'!A2","Servidores")</f>
        <v>Servidores</v>
      </c>
      <c r="J15" s="823"/>
      <c r="K15" s="80" t="s">
        <v>442</v>
      </c>
      <c r="L15" s="112"/>
      <c r="M15" s="112"/>
      <c r="N15" s="112" t="s">
        <v>16</v>
      </c>
      <c r="O15" s="112"/>
      <c r="P15" s="112"/>
      <c r="Q15" s="578"/>
      <c r="R15" s="578"/>
      <c r="S15" s="579">
        <v>8</v>
      </c>
      <c r="T15" s="579"/>
      <c r="U15" s="579"/>
      <c r="V15" s="580"/>
    </row>
    <row r="16" spans="2:22" ht="25.5">
      <c r="B16" s="624">
        <v>12</v>
      </c>
      <c r="C16" s="625" t="str">
        <f>HYPERLINK("#'SITE SURVEY'!A2","Site Survey")</f>
        <v>Site Survey</v>
      </c>
      <c r="J16" s="823"/>
      <c r="K16" s="80" t="s">
        <v>443</v>
      </c>
      <c r="L16" s="112"/>
      <c r="M16" s="112"/>
      <c r="N16" s="112" t="s">
        <v>16</v>
      </c>
      <c r="O16" s="112"/>
      <c r="P16" s="112"/>
      <c r="Q16" s="578"/>
      <c r="R16" s="578"/>
      <c r="S16" s="579">
        <v>12</v>
      </c>
      <c r="T16" s="579"/>
      <c r="U16" s="579"/>
      <c r="V16" s="580"/>
    </row>
    <row r="17" spans="2:22" ht="25.5">
      <c r="B17" s="624">
        <v>13</v>
      </c>
      <c r="C17" s="625" t="str">
        <f>HYPERLINK("#'STORAGE'!A2","Storage")</f>
        <v>Storage</v>
      </c>
      <c r="J17" s="823"/>
      <c r="K17" s="592" t="s">
        <v>444</v>
      </c>
      <c r="L17" s="112"/>
      <c r="M17" s="112"/>
      <c r="N17" s="112" t="s">
        <v>16</v>
      </c>
      <c r="O17" s="112"/>
      <c r="P17" s="112"/>
      <c r="Q17" s="578"/>
      <c r="R17" s="578"/>
      <c r="S17" s="579">
        <v>12</v>
      </c>
      <c r="T17" s="579"/>
      <c r="U17" s="579"/>
      <c r="V17" s="580"/>
    </row>
    <row r="18" spans="2:22">
      <c r="B18" s="624">
        <v>14</v>
      </c>
      <c r="C18" s="625" t="str">
        <f>HYPERLINK("#'SWITCHES'!A2","Switches")</f>
        <v>Switches</v>
      </c>
      <c r="J18" s="823"/>
      <c r="K18" s="80"/>
      <c r="L18" s="112"/>
      <c r="M18" s="112"/>
      <c r="N18" s="112"/>
      <c r="O18" s="112"/>
      <c r="P18" s="112"/>
      <c r="Q18" s="578"/>
      <c r="R18" s="578"/>
      <c r="S18" s="579"/>
      <c r="T18" s="579"/>
      <c r="U18" s="579"/>
      <c r="V18" s="580"/>
    </row>
    <row r="19" spans="2:22" ht="25.5">
      <c r="B19" s="624">
        <v>15</v>
      </c>
      <c r="C19" s="625" t="str">
        <f>HYPERLINK("#'VEEAM'!A2","Veeam")</f>
        <v>Veeam</v>
      </c>
      <c r="J19" s="824"/>
      <c r="K19" s="571" t="s">
        <v>445</v>
      </c>
      <c r="L19" s="584"/>
      <c r="M19" s="584"/>
      <c r="N19" s="584" t="s">
        <v>16</v>
      </c>
      <c r="O19" s="584"/>
      <c r="P19" s="584"/>
      <c r="Q19" s="585"/>
      <c r="R19" s="585"/>
      <c r="S19" s="586">
        <v>20</v>
      </c>
      <c r="T19" s="586"/>
      <c r="U19" s="586"/>
      <c r="V19" s="587"/>
    </row>
    <row r="20" spans="2:22">
      <c r="B20" s="626">
        <v>16</v>
      </c>
      <c r="C20" s="627" t="str">
        <f>HYPERLINK("#'VMWARE'!A2","Vmware")</f>
        <v>Vmware</v>
      </c>
      <c r="J20" s="593"/>
      <c r="K20" s="594"/>
      <c r="L20" s="569"/>
      <c r="M20" s="569"/>
      <c r="N20" s="569"/>
      <c r="O20" s="569"/>
      <c r="P20" s="569"/>
      <c r="Q20" s="588"/>
      <c r="R20" s="588"/>
      <c r="S20" s="569"/>
      <c r="T20" s="569"/>
      <c r="U20" s="569"/>
      <c r="V20" s="589"/>
    </row>
  </sheetData>
  <mergeCells count="3">
    <mergeCell ref="J5:J8"/>
    <mergeCell ref="J9:J13"/>
    <mergeCell ref="J14:J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1070-297E-46B9-B46C-FC0664D76BAF}">
  <dimension ref="B1:M12"/>
  <sheetViews>
    <sheetView workbookViewId="0">
      <selection activeCell="M4" sqref="M4"/>
    </sheetView>
  </sheetViews>
  <sheetFormatPr defaultColWidth="8.7109375" defaultRowHeight="15"/>
  <cols>
    <col min="2" max="2" width="11.140625" style="52" customWidth="1"/>
    <col min="3" max="3" width="12.7109375" style="52" customWidth="1"/>
    <col min="4" max="8" width="9.140625" style="52"/>
    <col min="9" max="10" width="9.140625" style="37"/>
    <col min="11" max="11" width="16.5703125" style="52" customWidth="1"/>
    <col min="12" max="12" width="16.140625" style="52" customWidth="1"/>
    <col min="13" max="13" width="18.42578125" style="52" customWidth="1"/>
  </cols>
  <sheetData>
    <row r="1" spans="2:13" ht="30" customHeight="1">
      <c r="B1" s="639" t="s">
        <v>446</v>
      </c>
      <c r="C1" s="639" t="s">
        <v>447</v>
      </c>
      <c r="D1" s="432" t="s">
        <v>4</v>
      </c>
      <c r="E1" s="432" t="s">
        <v>5</v>
      </c>
      <c r="F1" s="432" t="s">
        <v>6</v>
      </c>
      <c r="G1" s="432" t="s">
        <v>7</v>
      </c>
      <c r="H1" s="432" t="s">
        <v>8</v>
      </c>
      <c r="I1" s="432"/>
      <c r="J1" s="432" t="s">
        <v>9</v>
      </c>
      <c r="K1" s="432" t="s">
        <v>10</v>
      </c>
      <c r="L1" s="432" t="s">
        <v>11</v>
      </c>
      <c r="M1" s="432" t="s">
        <v>12</v>
      </c>
    </row>
    <row r="2" spans="2:13" ht="60">
      <c r="B2" s="825" t="s">
        <v>448</v>
      </c>
      <c r="C2" s="80" t="s">
        <v>449</v>
      </c>
      <c r="D2" s="355"/>
      <c r="E2" s="355"/>
      <c r="F2" s="355"/>
      <c r="G2" s="599"/>
      <c r="H2" s="599"/>
      <c r="I2" s="430"/>
      <c r="J2" s="430"/>
      <c r="K2" s="603"/>
      <c r="L2" s="603"/>
      <c r="M2" s="604"/>
    </row>
    <row r="3" spans="2:13" ht="84">
      <c r="B3" s="826"/>
      <c r="C3" s="80" t="s">
        <v>450</v>
      </c>
      <c r="D3" s="726" t="s">
        <v>16</v>
      </c>
      <c r="E3" s="726"/>
      <c r="F3" s="726" t="s">
        <v>16</v>
      </c>
      <c r="G3" s="727"/>
      <c r="H3" s="727"/>
      <c r="I3" s="728"/>
      <c r="J3" s="728"/>
      <c r="K3" s="303"/>
      <c r="L3" s="303"/>
      <c r="M3" s="729">
        <v>1</v>
      </c>
    </row>
    <row r="4" spans="2:13" ht="24">
      <c r="B4" s="827"/>
      <c r="C4" s="80" t="s">
        <v>451</v>
      </c>
      <c r="D4" s="352" t="s">
        <v>16</v>
      </c>
      <c r="E4" s="352"/>
      <c r="F4" s="352" t="s">
        <v>16</v>
      </c>
      <c r="G4" s="601"/>
      <c r="H4" s="601"/>
      <c r="I4" s="429"/>
      <c r="J4" s="429"/>
      <c r="K4" s="289"/>
      <c r="L4" s="289"/>
      <c r="M4" s="605">
        <v>2</v>
      </c>
    </row>
    <row r="5" spans="2:13" ht="24">
      <c r="B5" s="827"/>
      <c r="C5" s="80" t="s">
        <v>452</v>
      </c>
      <c r="D5" s="352"/>
      <c r="E5" s="352"/>
      <c r="F5" s="352" t="s">
        <v>16</v>
      </c>
      <c r="G5" s="601"/>
      <c r="H5" s="601"/>
      <c r="I5" s="429"/>
      <c r="J5" s="429"/>
      <c r="K5" s="289"/>
      <c r="L5" s="289"/>
      <c r="M5" s="605">
        <v>2</v>
      </c>
    </row>
    <row r="6" spans="2:13" ht="24">
      <c r="B6" s="827"/>
      <c r="C6" s="80" t="s">
        <v>453</v>
      </c>
      <c r="D6" s="352"/>
      <c r="E6" s="352"/>
      <c r="F6" s="352" t="s">
        <v>16</v>
      </c>
      <c r="G6" s="601"/>
      <c r="H6" s="601"/>
      <c r="I6" s="429"/>
      <c r="J6" s="429"/>
      <c r="K6" s="289"/>
      <c r="L6" s="289"/>
      <c r="M6" s="605">
        <v>1</v>
      </c>
    </row>
    <row r="7" spans="2:13" ht="52.5" customHeight="1">
      <c r="B7" s="827"/>
      <c r="C7" s="80" t="s">
        <v>454</v>
      </c>
      <c r="D7" s="352"/>
      <c r="E7" s="352"/>
      <c r="F7" s="352" t="s">
        <v>16</v>
      </c>
      <c r="G7" s="601"/>
      <c r="H7" s="601"/>
      <c r="I7" s="429"/>
      <c r="J7" s="429"/>
      <c r="K7" s="289"/>
      <c r="L7" s="289"/>
      <c r="M7" s="605">
        <v>1</v>
      </c>
    </row>
    <row r="8" spans="2:13" ht="42" customHeight="1">
      <c r="B8" s="827"/>
      <c r="C8" s="80" t="s">
        <v>455</v>
      </c>
      <c r="D8" s="352"/>
      <c r="E8" s="352"/>
      <c r="F8" s="352" t="s">
        <v>16</v>
      </c>
      <c r="G8" s="601"/>
      <c r="H8" s="601"/>
      <c r="I8" s="429"/>
      <c r="J8" s="429"/>
      <c r="K8" s="289"/>
      <c r="L8" s="289"/>
      <c r="M8" s="605">
        <v>4</v>
      </c>
    </row>
    <row r="9" spans="2:13" ht="58.5" customHeight="1">
      <c r="B9" s="827"/>
      <c r="C9" s="80" t="s">
        <v>456</v>
      </c>
      <c r="D9" s="352"/>
      <c r="E9" s="352"/>
      <c r="F9" s="352" t="s">
        <v>16</v>
      </c>
      <c r="G9" s="601"/>
      <c r="H9" s="601"/>
      <c r="I9" s="429"/>
      <c r="J9" s="429"/>
      <c r="K9" s="289"/>
      <c r="L9" s="289"/>
      <c r="M9" s="605">
        <v>2</v>
      </c>
    </row>
    <row r="10" spans="2:13">
      <c r="B10" s="827"/>
      <c r="C10" s="600"/>
      <c r="D10" s="352"/>
      <c r="E10" s="352"/>
      <c r="F10" s="352" t="s">
        <v>16</v>
      </c>
      <c r="G10" s="601"/>
      <c r="H10" s="601"/>
      <c r="I10" s="429"/>
      <c r="J10" s="429"/>
      <c r="K10" s="289"/>
      <c r="L10" s="289">
        <f t="shared" ref="L4:L11" si="0">K10*1.5</f>
        <v>0</v>
      </c>
      <c r="M10" s="605">
        <f t="shared" ref="M4:M11" si="1">K10*2</f>
        <v>0</v>
      </c>
    </row>
    <row r="11" spans="2:13">
      <c r="B11" s="828"/>
      <c r="C11" s="602"/>
      <c r="D11" s="572"/>
      <c r="E11" s="572"/>
      <c r="F11" s="572"/>
      <c r="G11" s="572"/>
      <c r="H11" s="572"/>
      <c r="I11" s="431"/>
      <c r="J11" s="431"/>
      <c r="K11" s="573"/>
      <c r="L11" s="606">
        <f t="shared" si="0"/>
        <v>0</v>
      </c>
      <c r="M11" s="607">
        <f t="shared" si="1"/>
        <v>0</v>
      </c>
    </row>
    <row r="12" spans="2:13">
      <c r="B12" s="348"/>
      <c r="C12" s="348"/>
      <c r="D12" s="348"/>
      <c r="E12" s="348"/>
      <c r="F12" s="348"/>
      <c r="G12" s="348"/>
      <c r="H12" s="348"/>
      <c r="I12" s="49"/>
      <c r="J12" s="49"/>
      <c r="K12" s="348"/>
      <c r="L12" s="348"/>
      <c r="M12" s="348"/>
    </row>
  </sheetData>
  <mergeCells count="1">
    <mergeCell ref="B2:B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52217-181A-4CCE-A07A-45660FB23EEA}">
  <dimension ref="B1:N33"/>
  <sheetViews>
    <sheetView workbookViewId="0">
      <selection activeCell="B1" sqref="B1:N1"/>
    </sheetView>
  </sheetViews>
  <sheetFormatPr defaultColWidth="8.7109375" defaultRowHeight="15"/>
  <cols>
    <col min="2" max="2" width="23.7109375" style="159" customWidth="1"/>
    <col min="3" max="3" width="55.5703125" style="159" customWidth="1"/>
    <col min="4" max="8" width="9.140625" style="160" customWidth="1"/>
    <col min="9" max="10" width="9.140625" style="44" customWidth="1"/>
    <col min="11" max="11" width="13.7109375" style="160" customWidth="1"/>
    <col min="12" max="12" width="14.5703125" style="160" customWidth="1"/>
    <col min="13" max="13" width="13.42578125" style="176" customWidth="1"/>
    <col min="14" max="14" width="56.85546875" style="37" customWidth="1"/>
  </cols>
  <sheetData>
    <row r="1" spans="2:14" ht="47.25">
      <c r="B1" s="609" t="s">
        <v>2</v>
      </c>
      <c r="C1" s="608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/>
      <c r="J1" s="12" t="s">
        <v>9</v>
      </c>
      <c r="K1" s="12" t="s">
        <v>10</v>
      </c>
      <c r="L1" s="12" t="s">
        <v>11</v>
      </c>
      <c r="M1" s="337" t="s">
        <v>12</v>
      </c>
      <c r="N1" s="13" t="s">
        <v>13</v>
      </c>
    </row>
    <row r="2" spans="2:14" ht="23.25" customHeight="1">
      <c r="B2" s="832" t="s">
        <v>457</v>
      </c>
      <c r="C2" s="165" t="s">
        <v>106</v>
      </c>
      <c r="D2" s="146" t="s">
        <v>16</v>
      </c>
      <c r="E2" s="146" t="s">
        <v>16</v>
      </c>
      <c r="F2" s="146"/>
      <c r="G2" s="146"/>
      <c r="H2" s="146"/>
      <c r="I2" s="17"/>
      <c r="J2" s="17"/>
      <c r="K2" s="161">
        <v>2</v>
      </c>
      <c r="L2" s="161"/>
      <c r="M2" s="174"/>
      <c r="N2" s="46"/>
    </row>
    <row r="3" spans="2:14" ht="25.5">
      <c r="B3" s="833"/>
      <c r="C3" s="149" t="s">
        <v>458</v>
      </c>
      <c r="D3" s="150"/>
      <c r="E3" s="150" t="s">
        <v>16</v>
      </c>
      <c r="F3" s="150"/>
      <c r="G3" s="150"/>
      <c r="H3" s="150"/>
      <c r="I3" s="3"/>
      <c r="J3" s="3"/>
      <c r="K3" s="163">
        <v>18</v>
      </c>
      <c r="L3" s="163"/>
      <c r="M3" s="175"/>
      <c r="N3" s="47"/>
    </row>
    <row r="4" spans="2:14">
      <c r="B4" s="833"/>
      <c r="C4" s="149" t="s">
        <v>459</v>
      </c>
      <c r="D4" s="150"/>
      <c r="E4" s="150" t="s">
        <v>16</v>
      </c>
      <c r="F4" s="150"/>
      <c r="G4" s="150"/>
      <c r="H4" s="150"/>
      <c r="I4" s="3"/>
      <c r="J4" s="3"/>
      <c r="K4" s="163">
        <v>3</v>
      </c>
      <c r="L4" s="163"/>
      <c r="M4" s="175"/>
      <c r="N4" s="47"/>
    </row>
    <row r="5" spans="2:14">
      <c r="B5" s="833"/>
      <c r="C5" s="149" t="s">
        <v>460</v>
      </c>
      <c r="D5" s="150"/>
      <c r="E5" s="150" t="s">
        <v>16</v>
      </c>
      <c r="F5" s="150"/>
      <c r="G5" s="150"/>
      <c r="H5" s="150"/>
      <c r="I5" s="3"/>
      <c r="J5" s="3"/>
      <c r="K5" s="163">
        <v>2</v>
      </c>
      <c r="L5" s="163">
        <v>4</v>
      </c>
      <c r="M5" s="175"/>
      <c r="N5" s="47"/>
    </row>
    <row r="6" spans="2:14">
      <c r="B6" s="833"/>
      <c r="C6" s="149" t="s">
        <v>461</v>
      </c>
      <c r="E6" s="150" t="s">
        <v>16</v>
      </c>
      <c r="K6" s="163">
        <v>20</v>
      </c>
      <c r="N6" s="47"/>
    </row>
    <row r="7" spans="2:14">
      <c r="B7" s="833"/>
      <c r="C7" s="166" t="s">
        <v>462</v>
      </c>
      <c r="D7" s="167"/>
      <c r="E7" s="167"/>
      <c r="F7" s="168"/>
      <c r="G7" s="169"/>
      <c r="H7" s="169"/>
      <c r="K7" s="163">
        <v>6</v>
      </c>
      <c r="N7" s="47"/>
    </row>
    <row r="8" spans="2:14">
      <c r="B8" s="834"/>
      <c r="C8" s="170" t="s">
        <v>463</v>
      </c>
      <c r="D8" s="171"/>
      <c r="E8" s="171" t="s">
        <v>16</v>
      </c>
      <c r="F8" s="172"/>
      <c r="G8" s="173"/>
      <c r="H8" s="173"/>
      <c r="I8" s="50"/>
      <c r="J8" s="50"/>
      <c r="K8" s="177"/>
      <c r="L8" s="177"/>
      <c r="M8" s="178"/>
      <c r="N8" s="51"/>
    </row>
    <row r="9" spans="2:14" ht="23.25" customHeight="1">
      <c r="B9" s="832" t="s">
        <v>464</v>
      </c>
      <c r="C9" s="165" t="s">
        <v>106</v>
      </c>
      <c r="D9" s="146"/>
      <c r="E9" s="146" t="s">
        <v>16</v>
      </c>
      <c r="F9" s="146"/>
      <c r="G9" s="146"/>
      <c r="H9" s="146"/>
      <c r="I9" s="17"/>
      <c r="J9" s="17"/>
      <c r="K9" s="161">
        <v>1</v>
      </c>
      <c r="L9" s="161"/>
      <c r="M9" s="174"/>
      <c r="N9" s="46"/>
    </row>
    <row r="10" spans="2:14">
      <c r="B10" s="833"/>
      <c r="C10" s="149" t="s">
        <v>465</v>
      </c>
      <c r="D10" s="150"/>
      <c r="E10" s="150" t="s">
        <v>16</v>
      </c>
      <c r="F10" s="150"/>
      <c r="G10" s="150"/>
      <c r="H10" s="150"/>
      <c r="I10" s="3"/>
      <c r="J10" s="3"/>
      <c r="K10" s="163">
        <v>2</v>
      </c>
      <c r="L10" s="163"/>
      <c r="M10" s="175"/>
      <c r="N10" s="47"/>
    </row>
    <row r="11" spans="2:14" ht="25.5">
      <c r="B11" s="833"/>
      <c r="C11" s="149" t="s">
        <v>466</v>
      </c>
      <c r="D11" s="150"/>
      <c r="E11" s="150" t="s">
        <v>16</v>
      </c>
      <c r="F11" s="150"/>
      <c r="G11" s="150"/>
      <c r="H11" s="150"/>
      <c r="I11" s="3"/>
      <c r="J11" s="3"/>
      <c r="K11" s="163">
        <v>16</v>
      </c>
      <c r="L11" s="163"/>
      <c r="M11" s="175"/>
      <c r="N11" s="47"/>
    </row>
    <row r="12" spans="2:14" ht="25.5">
      <c r="B12" s="833"/>
      <c r="C12" s="149" t="s">
        <v>467</v>
      </c>
      <c r="D12" s="150"/>
      <c r="E12" s="150" t="s">
        <v>16</v>
      </c>
      <c r="F12" s="150"/>
      <c r="G12" s="150"/>
      <c r="H12" s="150"/>
      <c r="I12" s="3"/>
      <c r="J12" s="3"/>
      <c r="K12" s="163">
        <v>8</v>
      </c>
      <c r="L12" s="163"/>
      <c r="M12" s="175"/>
      <c r="N12" s="47"/>
    </row>
    <row r="13" spans="2:14">
      <c r="B13" s="834"/>
      <c r="C13" s="147" t="s">
        <v>460</v>
      </c>
      <c r="D13" s="148"/>
      <c r="E13" s="148" t="s">
        <v>16</v>
      </c>
      <c r="F13" s="148"/>
      <c r="G13" s="148"/>
      <c r="H13" s="148"/>
      <c r="I13" s="18"/>
      <c r="J13" s="18"/>
      <c r="K13" s="162"/>
      <c r="L13" s="162">
        <v>2</v>
      </c>
      <c r="M13" s="563">
        <v>4</v>
      </c>
      <c r="N13" s="51"/>
    </row>
    <row r="14" spans="2:14">
      <c r="B14" s="735" t="s">
        <v>468</v>
      </c>
      <c r="C14" s="556" t="s">
        <v>106</v>
      </c>
      <c r="D14" s="164" t="s">
        <v>230</v>
      </c>
      <c r="E14" s="164" t="s">
        <v>16</v>
      </c>
      <c r="F14" s="164" t="s">
        <v>230</v>
      </c>
      <c r="G14" s="164" t="s">
        <v>230</v>
      </c>
      <c r="H14" s="164" t="s">
        <v>230</v>
      </c>
      <c r="I14" s="557" t="s">
        <v>230</v>
      </c>
      <c r="J14" s="557" t="s">
        <v>230</v>
      </c>
      <c r="K14" s="164">
        <v>2</v>
      </c>
      <c r="L14" s="164"/>
      <c r="M14" s="558"/>
      <c r="N14" s="46"/>
    </row>
    <row r="15" spans="2:14">
      <c r="B15" s="736"/>
      <c r="C15" s="159" t="s">
        <v>465</v>
      </c>
      <c r="D15" s="160" t="s">
        <v>230</v>
      </c>
      <c r="E15" s="160" t="s">
        <v>16</v>
      </c>
      <c r="F15" s="160" t="s">
        <v>230</v>
      </c>
      <c r="G15" s="160" t="s">
        <v>230</v>
      </c>
      <c r="H15" s="160" t="s">
        <v>230</v>
      </c>
      <c r="I15" s="44" t="s">
        <v>230</v>
      </c>
      <c r="J15" s="44" t="s">
        <v>230</v>
      </c>
      <c r="K15" s="160">
        <v>4</v>
      </c>
      <c r="N15" s="47"/>
    </row>
    <row r="16" spans="2:14">
      <c r="B16" s="736"/>
      <c r="C16" s="159" t="s">
        <v>18</v>
      </c>
      <c r="D16" s="160" t="s">
        <v>230</v>
      </c>
      <c r="E16" s="160" t="s">
        <v>16</v>
      </c>
      <c r="F16" s="160" t="s">
        <v>230</v>
      </c>
      <c r="G16" s="160" t="s">
        <v>230</v>
      </c>
      <c r="H16" s="160" t="s">
        <v>230</v>
      </c>
      <c r="I16" s="44" t="s">
        <v>230</v>
      </c>
      <c r="J16" s="44" t="s">
        <v>230</v>
      </c>
      <c r="K16" s="160">
        <v>8</v>
      </c>
      <c r="N16" s="47"/>
    </row>
    <row r="17" spans="2:14">
      <c r="B17" s="737"/>
      <c r="C17" s="559" t="s">
        <v>460</v>
      </c>
      <c r="D17" s="560" t="s">
        <v>230</v>
      </c>
      <c r="E17" s="560" t="s">
        <v>16</v>
      </c>
      <c r="F17" s="560" t="s">
        <v>230</v>
      </c>
      <c r="G17" s="560" t="s">
        <v>230</v>
      </c>
      <c r="H17" s="560" t="s">
        <v>230</v>
      </c>
      <c r="I17" s="561" t="s">
        <v>230</v>
      </c>
      <c r="J17" s="561" t="s">
        <v>230</v>
      </c>
      <c r="K17" s="560">
        <v>2</v>
      </c>
      <c r="L17" s="560"/>
      <c r="M17" s="562"/>
      <c r="N17" s="48"/>
    </row>
    <row r="18" spans="2:14">
      <c r="B18" s="829" t="s">
        <v>469</v>
      </c>
      <c r="C18" s="324" t="s">
        <v>470</v>
      </c>
      <c r="D18" s="324" t="s">
        <v>16</v>
      </c>
      <c r="E18" s="324" t="s">
        <v>16</v>
      </c>
      <c r="F18" s="324" t="s">
        <v>230</v>
      </c>
      <c r="G18" s="324" t="s">
        <v>230</v>
      </c>
      <c r="H18" s="324" t="s">
        <v>230</v>
      </c>
      <c r="I18" s="407" t="s">
        <v>230</v>
      </c>
      <c r="J18" s="407" t="s">
        <v>230</v>
      </c>
      <c r="K18" s="324">
        <v>2</v>
      </c>
      <c r="L18" s="324"/>
      <c r="M18" s="324"/>
      <c r="N18" s="49"/>
    </row>
    <row r="19" spans="2:14">
      <c r="B19" s="830"/>
      <c r="C19" s="324" t="s">
        <v>17</v>
      </c>
      <c r="D19" s="324" t="s">
        <v>230</v>
      </c>
      <c r="E19" s="324" t="s">
        <v>16</v>
      </c>
      <c r="F19" s="324" t="s">
        <v>230</v>
      </c>
      <c r="G19" s="324" t="s">
        <v>230</v>
      </c>
      <c r="H19" s="324" t="s">
        <v>230</v>
      </c>
      <c r="I19" s="407" t="s">
        <v>230</v>
      </c>
      <c r="J19" s="407" t="s">
        <v>230</v>
      </c>
      <c r="K19" s="324">
        <v>2</v>
      </c>
      <c r="L19" s="324"/>
      <c r="M19" s="324"/>
    </row>
    <row r="20" spans="2:14">
      <c r="B20" s="830"/>
      <c r="C20" s="324" t="s">
        <v>471</v>
      </c>
      <c r="D20" s="324" t="s">
        <v>230</v>
      </c>
      <c r="E20" s="324" t="s">
        <v>16</v>
      </c>
      <c r="F20" s="324" t="s">
        <v>230</v>
      </c>
      <c r="G20" s="324" t="s">
        <v>230</v>
      </c>
      <c r="H20" s="324" t="s">
        <v>230</v>
      </c>
      <c r="I20" s="407" t="s">
        <v>230</v>
      </c>
      <c r="J20" s="407" t="s">
        <v>230</v>
      </c>
      <c r="K20" s="324">
        <v>2</v>
      </c>
      <c r="L20" s="324"/>
      <c r="M20" s="324"/>
    </row>
    <row r="21" spans="2:14">
      <c r="B21" s="830"/>
      <c r="C21" s="324" t="s">
        <v>19</v>
      </c>
      <c r="D21" s="324" t="s">
        <v>230</v>
      </c>
      <c r="E21" s="324" t="s">
        <v>16</v>
      </c>
      <c r="F21" s="324" t="s">
        <v>230</v>
      </c>
      <c r="G21" s="324" t="s">
        <v>230</v>
      </c>
      <c r="H21" s="324" t="s">
        <v>230</v>
      </c>
      <c r="I21" s="407" t="s">
        <v>230</v>
      </c>
      <c r="J21" s="407" t="s">
        <v>230</v>
      </c>
      <c r="K21" s="324">
        <v>2</v>
      </c>
      <c r="L21" s="324"/>
      <c r="M21" s="324"/>
    </row>
    <row r="22" spans="2:14">
      <c r="B22" s="831"/>
      <c r="C22" s="324" t="s">
        <v>472</v>
      </c>
      <c r="D22" s="324" t="s">
        <v>230</v>
      </c>
      <c r="E22" s="324" t="s">
        <v>16</v>
      </c>
      <c r="F22" s="324" t="s">
        <v>230</v>
      </c>
      <c r="G22" s="324" t="s">
        <v>230</v>
      </c>
      <c r="H22" s="324" t="s">
        <v>230</v>
      </c>
      <c r="I22" s="407" t="s">
        <v>230</v>
      </c>
      <c r="J22" s="407" t="s">
        <v>230</v>
      </c>
      <c r="K22" s="324">
        <v>4</v>
      </c>
      <c r="L22" s="324"/>
      <c r="M22" s="324"/>
    </row>
    <row r="23" spans="2:14">
      <c r="B23" s="829" t="s">
        <v>473</v>
      </c>
      <c r="C23" s="324" t="s">
        <v>474</v>
      </c>
      <c r="D23" s="324" t="s">
        <v>16</v>
      </c>
      <c r="E23" s="324" t="s">
        <v>16</v>
      </c>
      <c r="F23" s="324" t="s">
        <v>230</v>
      </c>
      <c r="G23" s="324" t="s">
        <v>230</v>
      </c>
      <c r="H23" s="324" t="s">
        <v>230</v>
      </c>
      <c r="I23" s="407" t="s">
        <v>230</v>
      </c>
      <c r="J23" s="407" t="s">
        <v>230</v>
      </c>
      <c r="K23" s="324">
        <v>1</v>
      </c>
      <c r="L23" s="324"/>
      <c r="M23" s="324"/>
    </row>
    <row r="24" spans="2:14">
      <c r="B24" s="830"/>
      <c r="C24" s="324" t="s">
        <v>17</v>
      </c>
      <c r="D24" s="324" t="s">
        <v>230</v>
      </c>
      <c r="E24" s="324" t="s">
        <v>16</v>
      </c>
      <c r="F24" s="324" t="s">
        <v>230</v>
      </c>
      <c r="G24" s="324" t="s">
        <v>230</v>
      </c>
      <c r="H24" s="324" t="s">
        <v>230</v>
      </c>
      <c r="I24" s="407" t="s">
        <v>230</v>
      </c>
      <c r="J24" s="407" t="s">
        <v>230</v>
      </c>
      <c r="K24" s="324">
        <v>1</v>
      </c>
      <c r="L24" s="324"/>
      <c r="M24" s="324"/>
    </row>
    <row r="25" spans="2:14">
      <c r="B25" s="830"/>
      <c r="C25" s="324" t="s">
        <v>471</v>
      </c>
      <c r="D25" s="324" t="s">
        <v>230</v>
      </c>
      <c r="E25" s="324" t="s">
        <v>16</v>
      </c>
      <c r="F25" s="324" t="s">
        <v>230</v>
      </c>
      <c r="G25" s="324" t="s">
        <v>230</v>
      </c>
      <c r="H25" s="324" t="s">
        <v>230</v>
      </c>
      <c r="I25" s="407" t="s">
        <v>230</v>
      </c>
      <c r="J25" s="407" t="s">
        <v>230</v>
      </c>
      <c r="K25" s="324">
        <v>1</v>
      </c>
      <c r="L25" s="324"/>
      <c r="M25" s="324"/>
    </row>
    <row r="26" spans="2:14">
      <c r="B26" s="830"/>
      <c r="C26" s="324" t="s">
        <v>19</v>
      </c>
      <c r="D26" s="324" t="s">
        <v>230</v>
      </c>
      <c r="E26" s="324" t="s">
        <v>16</v>
      </c>
      <c r="F26" s="324" t="s">
        <v>230</v>
      </c>
      <c r="G26" s="324" t="s">
        <v>230</v>
      </c>
      <c r="H26" s="324" t="s">
        <v>230</v>
      </c>
      <c r="I26" s="407" t="s">
        <v>230</v>
      </c>
      <c r="J26" s="407" t="s">
        <v>230</v>
      </c>
      <c r="K26" s="324">
        <v>1</v>
      </c>
      <c r="L26" s="324"/>
      <c r="M26" s="324"/>
    </row>
    <row r="27" spans="2:14">
      <c r="B27" s="830"/>
      <c r="C27" s="324" t="s">
        <v>132</v>
      </c>
      <c r="D27" s="324" t="s">
        <v>230</v>
      </c>
      <c r="E27" s="324" t="s">
        <v>16</v>
      </c>
      <c r="F27" s="324" t="s">
        <v>230</v>
      </c>
      <c r="G27" s="324" t="s">
        <v>230</v>
      </c>
      <c r="H27" s="324" t="s">
        <v>230</v>
      </c>
      <c r="I27" s="407" t="s">
        <v>230</v>
      </c>
      <c r="J27" s="407" t="s">
        <v>230</v>
      </c>
      <c r="K27" s="324">
        <v>1</v>
      </c>
      <c r="L27" s="324"/>
      <c r="M27" s="324"/>
    </row>
    <row r="28" spans="2:14">
      <c r="B28" s="831"/>
      <c r="C28" s="324" t="s">
        <v>472</v>
      </c>
      <c r="D28" s="324" t="s">
        <v>230</v>
      </c>
      <c r="E28" s="324" t="s">
        <v>16</v>
      </c>
      <c r="F28" s="324" t="s">
        <v>230</v>
      </c>
      <c r="G28" s="324" t="s">
        <v>230</v>
      </c>
      <c r="H28" s="324" t="s">
        <v>230</v>
      </c>
      <c r="I28" s="407" t="s">
        <v>230</v>
      </c>
      <c r="J28" s="407" t="s">
        <v>230</v>
      </c>
      <c r="K28" s="324">
        <v>2</v>
      </c>
      <c r="L28" s="324"/>
      <c r="M28" s="324"/>
    </row>
    <row r="29" spans="2:14">
      <c r="B29" s="829" t="s">
        <v>475</v>
      </c>
      <c r="C29" s="324" t="s">
        <v>476</v>
      </c>
      <c r="D29" s="324" t="s">
        <v>230</v>
      </c>
      <c r="E29" s="324" t="s">
        <v>230</v>
      </c>
      <c r="F29" s="324" t="s">
        <v>230</v>
      </c>
      <c r="G29" s="324" t="s">
        <v>230</v>
      </c>
      <c r="H29" s="324" t="s">
        <v>230</v>
      </c>
      <c r="I29" s="407" t="s">
        <v>230</v>
      </c>
      <c r="J29" s="407" t="s">
        <v>230</v>
      </c>
      <c r="K29" s="324" t="s">
        <v>230</v>
      </c>
      <c r="L29" s="324"/>
      <c r="M29" s="324"/>
    </row>
    <row r="30" spans="2:14">
      <c r="B30" s="830"/>
      <c r="C30" s="324" t="s">
        <v>477</v>
      </c>
      <c r="D30" s="324" t="s">
        <v>230</v>
      </c>
      <c r="E30" s="324" t="s">
        <v>16</v>
      </c>
      <c r="F30" s="324" t="s">
        <v>230</v>
      </c>
      <c r="G30" s="324" t="s">
        <v>230</v>
      </c>
      <c r="H30" s="324" t="s">
        <v>230</v>
      </c>
      <c r="I30" s="407" t="s">
        <v>230</v>
      </c>
      <c r="J30" s="407" t="s">
        <v>230</v>
      </c>
      <c r="K30" s="324">
        <v>12</v>
      </c>
      <c r="L30" s="324"/>
      <c r="M30" s="324"/>
    </row>
    <row r="31" spans="2:14">
      <c r="B31" s="830"/>
      <c r="C31" s="324" t="s">
        <v>478</v>
      </c>
      <c r="D31" s="324" t="s">
        <v>230</v>
      </c>
      <c r="E31" s="324" t="s">
        <v>16</v>
      </c>
      <c r="F31" s="324" t="s">
        <v>230</v>
      </c>
      <c r="G31" s="324" t="s">
        <v>230</v>
      </c>
      <c r="H31" s="324" t="s">
        <v>230</v>
      </c>
      <c r="I31" s="407" t="s">
        <v>230</v>
      </c>
      <c r="J31" s="407" t="s">
        <v>230</v>
      </c>
      <c r="K31" s="324" t="s">
        <v>230</v>
      </c>
      <c r="L31" s="324"/>
      <c r="M31" s="324"/>
    </row>
    <row r="32" spans="2:14">
      <c r="B32" s="830"/>
      <c r="C32" s="324" t="s">
        <v>479</v>
      </c>
      <c r="D32" s="324" t="s">
        <v>230</v>
      </c>
      <c r="E32" s="324" t="s">
        <v>16</v>
      </c>
      <c r="F32" s="324" t="s">
        <v>230</v>
      </c>
      <c r="G32" s="324" t="s">
        <v>230</v>
      </c>
      <c r="H32" s="324" t="s">
        <v>230</v>
      </c>
      <c r="I32" s="407" t="s">
        <v>230</v>
      </c>
      <c r="J32" s="407" t="s">
        <v>230</v>
      </c>
      <c r="K32" s="324" t="s">
        <v>230</v>
      </c>
      <c r="L32" s="324"/>
      <c r="M32" s="324"/>
    </row>
    <row r="33" spans="2:13">
      <c r="B33" s="831"/>
      <c r="C33" s="324" t="s">
        <v>480</v>
      </c>
      <c r="D33" s="324" t="s">
        <v>230</v>
      </c>
      <c r="E33" s="324" t="s">
        <v>16</v>
      </c>
      <c r="F33" s="324" t="s">
        <v>230</v>
      </c>
      <c r="G33" s="324" t="s">
        <v>230</v>
      </c>
      <c r="H33" s="324" t="s">
        <v>230</v>
      </c>
      <c r="I33" s="407" t="s">
        <v>230</v>
      </c>
      <c r="J33" s="407" t="s">
        <v>230</v>
      </c>
      <c r="K33" s="324" t="s">
        <v>230</v>
      </c>
      <c r="L33" s="324"/>
      <c r="M33" s="324"/>
    </row>
  </sheetData>
  <autoFilter ref="B1:M1" xr:uid="{2B352217-181A-4CCE-A07A-45660FB23EEA}"/>
  <mergeCells count="6">
    <mergeCell ref="B29:B33"/>
    <mergeCell ref="B2:B8"/>
    <mergeCell ref="B9:B13"/>
    <mergeCell ref="B14:B17"/>
    <mergeCell ref="B18:B22"/>
    <mergeCell ref="B23:B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8A8E-19D0-49FF-9CF4-25133F13E3AD}">
  <dimension ref="B1:N95"/>
  <sheetViews>
    <sheetView topLeftCell="A33" workbookViewId="0">
      <selection activeCell="B1" sqref="B1"/>
    </sheetView>
  </sheetViews>
  <sheetFormatPr defaultColWidth="8.7109375" defaultRowHeight="15"/>
  <cols>
    <col min="2" max="2" width="18.28515625" style="158" customWidth="1"/>
    <col min="3" max="3" width="45.140625" style="159" customWidth="1"/>
    <col min="4" max="8" width="9.140625" style="160"/>
    <col min="9" max="10" width="9.140625" style="44"/>
    <col min="11" max="11" width="15" style="160" customWidth="1"/>
    <col min="12" max="12" width="15.5703125" style="160" customWidth="1"/>
    <col min="13" max="13" width="20" style="160" customWidth="1"/>
    <col min="14" max="14" width="18.140625" style="5" customWidth="1"/>
  </cols>
  <sheetData>
    <row r="1" spans="2:14" ht="50.25" customHeight="1">
      <c r="B1" s="608" t="s">
        <v>2</v>
      </c>
      <c r="C1" s="608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/>
      <c r="J1" s="12" t="s">
        <v>9</v>
      </c>
      <c r="K1" s="12" t="s">
        <v>10</v>
      </c>
      <c r="L1" s="12" t="s">
        <v>11</v>
      </c>
      <c r="M1" s="12" t="s">
        <v>12</v>
      </c>
      <c r="N1" s="13" t="s">
        <v>13</v>
      </c>
    </row>
    <row r="2" spans="2:14" ht="24.75" customHeight="1">
      <c r="B2" s="770" t="s">
        <v>481</v>
      </c>
      <c r="C2" s="141" t="s">
        <v>482</v>
      </c>
      <c r="D2" s="89"/>
      <c r="E2" s="89"/>
      <c r="F2" s="89" t="s">
        <v>16</v>
      </c>
      <c r="G2" s="89"/>
      <c r="H2" s="89"/>
      <c r="I2" s="40"/>
      <c r="J2" s="40"/>
      <c r="K2" s="89">
        <v>5</v>
      </c>
      <c r="L2" s="89"/>
      <c r="M2" s="89">
        <v>2</v>
      </c>
      <c r="N2" s="9"/>
    </row>
    <row r="3" spans="2:14" ht="24.75" customHeight="1">
      <c r="B3" s="771"/>
      <c r="C3" s="142" t="s">
        <v>483</v>
      </c>
      <c r="D3" s="90"/>
      <c r="E3" s="90"/>
      <c r="F3" s="90" t="s">
        <v>16</v>
      </c>
      <c r="G3" s="90"/>
      <c r="H3" s="90"/>
      <c r="I3" s="41"/>
      <c r="J3" s="41"/>
      <c r="K3" s="90"/>
      <c r="L3" s="90"/>
      <c r="M3" s="90">
        <v>2</v>
      </c>
      <c r="N3" s="10"/>
    </row>
    <row r="4" spans="2:14" ht="24.75" customHeight="1">
      <c r="B4" s="771"/>
      <c r="C4" s="142" t="s">
        <v>484</v>
      </c>
      <c r="D4" s="90"/>
      <c r="E4" s="90"/>
      <c r="F4" s="90" t="s">
        <v>16</v>
      </c>
      <c r="G4" s="90"/>
      <c r="H4" s="90"/>
      <c r="I4" s="41"/>
      <c r="J4" s="41"/>
      <c r="K4" s="90"/>
      <c r="L4" s="90"/>
      <c r="M4" s="90">
        <v>2</v>
      </c>
      <c r="N4" s="10"/>
    </row>
    <row r="5" spans="2:14" ht="24.75" customHeight="1">
      <c r="B5" s="771"/>
      <c r="C5" s="142" t="s">
        <v>485</v>
      </c>
      <c r="D5" s="90"/>
      <c r="E5" s="90"/>
      <c r="F5" s="90" t="s">
        <v>16</v>
      </c>
      <c r="G5" s="90"/>
      <c r="H5" s="90"/>
      <c r="I5" s="41"/>
      <c r="J5" s="41"/>
      <c r="K5" s="90"/>
      <c r="L5" s="90"/>
      <c r="M5" s="90">
        <v>2</v>
      </c>
      <c r="N5" s="10"/>
    </row>
    <row r="6" spans="2:14" ht="24.75" customHeight="1">
      <c r="B6" s="771"/>
      <c r="C6" s="143" t="s">
        <v>486</v>
      </c>
      <c r="D6" s="90"/>
      <c r="E6" s="90"/>
      <c r="F6" s="90" t="s">
        <v>16</v>
      </c>
      <c r="G6" s="90"/>
      <c r="H6" s="90"/>
      <c r="I6" s="41"/>
      <c r="J6" s="41"/>
      <c r="K6" s="90"/>
      <c r="L6" s="90"/>
      <c r="M6" s="90">
        <v>2</v>
      </c>
      <c r="N6" s="10"/>
    </row>
    <row r="7" spans="2:14" ht="24.75" customHeight="1">
      <c r="B7" s="772"/>
      <c r="C7" s="144" t="s">
        <v>487</v>
      </c>
      <c r="D7" s="91"/>
      <c r="E7" s="91"/>
      <c r="F7" s="91" t="s">
        <v>16</v>
      </c>
      <c r="G7" s="91"/>
      <c r="H7" s="91"/>
      <c r="I7" s="42"/>
      <c r="J7" s="42"/>
      <c r="K7" s="91"/>
      <c r="L7" s="91"/>
      <c r="M7" s="91">
        <v>2</v>
      </c>
      <c r="N7" s="16"/>
    </row>
    <row r="8" spans="2:14" ht="24.75" customHeight="1">
      <c r="B8" s="744" t="s">
        <v>488</v>
      </c>
      <c r="C8" s="145" t="s">
        <v>489</v>
      </c>
      <c r="D8" s="146" t="s">
        <v>16</v>
      </c>
      <c r="E8" s="146" t="s">
        <v>16</v>
      </c>
      <c r="F8" s="146"/>
      <c r="G8" s="146"/>
      <c r="H8" s="146"/>
      <c r="I8" s="17"/>
      <c r="J8" s="17"/>
      <c r="K8" s="161">
        <v>4</v>
      </c>
      <c r="L8" s="161"/>
      <c r="M8" s="161">
        <v>4</v>
      </c>
      <c r="N8" s="9"/>
    </row>
    <row r="9" spans="2:14" ht="24.75" customHeight="1">
      <c r="B9" s="746"/>
      <c r="C9" s="147" t="s">
        <v>490</v>
      </c>
      <c r="D9" s="148"/>
      <c r="E9" s="148"/>
      <c r="F9" s="148" t="s">
        <v>16</v>
      </c>
      <c r="G9" s="148"/>
      <c r="H9" s="148"/>
      <c r="I9" s="18"/>
      <c r="J9" s="18"/>
      <c r="K9" s="162">
        <v>8</v>
      </c>
      <c r="L9" s="162">
        <v>2</v>
      </c>
      <c r="M9" s="162"/>
      <c r="N9" s="16"/>
    </row>
    <row r="10" spans="2:14" ht="24.75" customHeight="1">
      <c r="B10" s="744" t="s">
        <v>491</v>
      </c>
      <c r="C10" s="145" t="s">
        <v>106</v>
      </c>
      <c r="D10" s="146" t="s">
        <v>16</v>
      </c>
      <c r="E10" s="146" t="s">
        <v>16</v>
      </c>
      <c r="F10" s="146"/>
      <c r="G10" s="146"/>
      <c r="H10" s="146"/>
      <c r="I10" s="17"/>
      <c r="J10" s="17"/>
      <c r="K10" s="161">
        <v>2</v>
      </c>
      <c r="L10" s="161"/>
      <c r="M10" s="161"/>
      <c r="N10" s="9"/>
    </row>
    <row r="11" spans="2:14" ht="24.75" customHeight="1">
      <c r="B11" s="745"/>
      <c r="C11" s="149" t="s">
        <v>108</v>
      </c>
      <c r="D11" s="150"/>
      <c r="E11" s="150" t="s">
        <v>16</v>
      </c>
      <c r="F11" s="150"/>
      <c r="G11" s="150"/>
      <c r="H11" s="150"/>
      <c r="I11" s="3"/>
      <c r="J11" s="3"/>
      <c r="K11" s="163">
        <v>1</v>
      </c>
      <c r="L11" s="163"/>
      <c r="M11" s="163"/>
      <c r="N11" s="10"/>
    </row>
    <row r="12" spans="2:14" ht="24.75" customHeight="1">
      <c r="B12" s="745"/>
      <c r="C12" s="149" t="s">
        <v>492</v>
      </c>
      <c r="D12" s="150"/>
      <c r="E12" s="150" t="s">
        <v>16</v>
      </c>
      <c r="F12" s="150"/>
      <c r="G12" s="150"/>
      <c r="H12" s="150"/>
      <c r="I12" s="3"/>
      <c r="J12" s="3"/>
      <c r="K12" s="163">
        <v>1</v>
      </c>
      <c r="L12" s="163"/>
      <c r="M12" s="163"/>
      <c r="N12" s="10"/>
    </row>
    <row r="13" spans="2:14" ht="24.75" customHeight="1">
      <c r="B13" s="745"/>
      <c r="C13" s="149" t="s">
        <v>493</v>
      </c>
      <c r="D13" s="150"/>
      <c r="E13" s="150"/>
      <c r="F13" s="150" t="s">
        <v>16</v>
      </c>
      <c r="G13" s="150"/>
      <c r="H13" s="150"/>
      <c r="I13" s="3"/>
      <c r="J13" s="3"/>
      <c r="K13" s="163">
        <v>2</v>
      </c>
      <c r="L13" s="163"/>
      <c r="M13" s="163"/>
      <c r="N13" s="10"/>
    </row>
    <row r="14" spans="2:14" ht="24.75" customHeight="1">
      <c r="B14" s="745"/>
      <c r="C14" s="149" t="s">
        <v>341</v>
      </c>
      <c r="D14" s="150"/>
      <c r="E14" s="150"/>
      <c r="F14" s="150" t="s">
        <v>16</v>
      </c>
      <c r="G14" s="150"/>
      <c r="H14" s="150"/>
      <c r="I14" s="3"/>
      <c r="J14" s="3"/>
      <c r="K14" s="163">
        <v>1</v>
      </c>
      <c r="L14" s="163"/>
      <c r="M14" s="163"/>
      <c r="N14" s="10"/>
    </row>
    <row r="15" spans="2:14" ht="24.75" customHeight="1">
      <c r="B15" s="745"/>
      <c r="C15" s="149" t="s">
        <v>327</v>
      </c>
      <c r="D15" s="150"/>
      <c r="E15" s="150"/>
      <c r="F15" s="150" t="s">
        <v>16</v>
      </c>
      <c r="G15" s="150"/>
      <c r="H15" s="150"/>
      <c r="I15" s="3"/>
      <c r="J15" s="3"/>
      <c r="K15" s="163">
        <v>1</v>
      </c>
      <c r="L15" s="163"/>
      <c r="M15" s="163"/>
      <c r="N15" s="10"/>
    </row>
    <row r="16" spans="2:14" ht="24.75" customHeight="1">
      <c r="B16" s="745"/>
      <c r="C16" s="149" t="s">
        <v>343</v>
      </c>
      <c r="D16" s="150"/>
      <c r="E16" s="150"/>
      <c r="F16" s="150" t="s">
        <v>16</v>
      </c>
      <c r="G16" s="150"/>
      <c r="H16" s="150"/>
      <c r="I16" s="3"/>
      <c r="J16" s="3"/>
      <c r="K16" s="163">
        <v>4</v>
      </c>
      <c r="L16" s="163"/>
      <c r="M16" s="163"/>
      <c r="N16" s="10"/>
    </row>
    <row r="17" spans="2:14" ht="24.75" customHeight="1">
      <c r="B17" s="745"/>
      <c r="C17" s="149" t="s">
        <v>494</v>
      </c>
      <c r="D17" s="150"/>
      <c r="E17" s="150"/>
      <c r="F17" s="150" t="s">
        <v>16</v>
      </c>
      <c r="G17" s="150"/>
      <c r="H17" s="150"/>
      <c r="I17" s="3"/>
      <c r="J17" s="3"/>
      <c r="K17" s="163">
        <v>1</v>
      </c>
      <c r="L17" s="163"/>
      <c r="M17" s="163"/>
      <c r="N17" s="10"/>
    </row>
    <row r="18" spans="2:14" ht="24.75" customHeight="1">
      <c r="B18" s="745"/>
      <c r="C18" s="149" t="s">
        <v>30</v>
      </c>
      <c r="D18" s="150"/>
      <c r="E18" s="150"/>
      <c r="F18" s="150" t="s">
        <v>16</v>
      </c>
      <c r="G18" s="150"/>
      <c r="H18" s="150"/>
      <c r="I18" s="3"/>
      <c r="J18" s="3"/>
      <c r="K18" s="163">
        <v>1</v>
      </c>
      <c r="L18" s="163"/>
      <c r="M18" s="163"/>
      <c r="N18" s="10"/>
    </row>
    <row r="19" spans="2:14" ht="24.75" customHeight="1">
      <c r="B19" s="746"/>
      <c r="C19" s="147" t="s">
        <v>495</v>
      </c>
      <c r="D19" s="148"/>
      <c r="E19" s="148"/>
      <c r="F19" s="148" t="s">
        <v>16</v>
      </c>
      <c r="G19" s="148"/>
      <c r="H19" s="148"/>
      <c r="I19" s="18"/>
      <c r="J19" s="18"/>
      <c r="K19" s="162"/>
      <c r="L19" s="162"/>
      <c r="M19" s="162">
        <v>12</v>
      </c>
      <c r="N19" s="16"/>
    </row>
    <row r="20" spans="2:14" ht="24.75" customHeight="1">
      <c r="B20" s="770" t="s">
        <v>496</v>
      </c>
      <c r="C20" s="141" t="s">
        <v>497</v>
      </c>
      <c r="D20" s="151"/>
      <c r="E20" s="151"/>
      <c r="F20" s="151" t="s">
        <v>16</v>
      </c>
      <c r="G20" s="146"/>
      <c r="H20" s="146"/>
      <c r="I20" s="17"/>
      <c r="J20" s="17"/>
      <c r="K20" s="151">
        <v>1</v>
      </c>
      <c r="L20" s="161"/>
      <c r="M20" s="161"/>
      <c r="N20" s="9"/>
    </row>
    <row r="21" spans="2:14" ht="24.75" customHeight="1">
      <c r="B21" s="771"/>
      <c r="C21" s="142" t="s">
        <v>498</v>
      </c>
      <c r="D21" s="152"/>
      <c r="E21" s="152"/>
      <c r="F21" s="152" t="s">
        <v>16</v>
      </c>
      <c r="G21" s="150"/>
      <c r="H21" s="150"/>
      <c r="I21" s="3"/>
      <c r="J21" s="3"/>
      <c r="K21" s="152">
        <v>1</v>
      </c>
      <c r="L21" s="163"/>
      <c r="M21" s="163"/>
      <c r="N21" s="10"/>
    </row>
    <row r="22" spans="2:14" ht="24.75" customHeight="1">
      <c r="B22" s="771"/>
      <c r="C22" s="142" t="s">
        <v>499</v>
      </c>
      <c r="D22" s="152"/>
      <c r="E22" s="152"/>
      <c r="F22" s="152" t="s">
        <v>16</v>
      </c>
      <c r="G22" s="150"/>
      <c r="H22" s="150"/>
      <c r="I22" s="3"/>
      <c r="J22" s="3"/>
      <c r="K22" s="152">
        <v>1</v>
      </c>
      <c r="L22" s="163"/>
      <c r="M22" s="163"/>
      <c r="N22" s="10"/>
    </row>
    <row r="23" spans="2:14" ht="24.75" customHeight="1">
      <c r="B23" s="772"/>
      <c r="C23" s="144" t="s">
        <v>30</v>
      </c>
      <c r="D23" s="153"/>
      <c r="E23" s="153" t="s">
        <v>16</v>
      </c>
      <c r="F23" s="153"/>
      <c r="G23" s="148"/>
      <c r="H23" s="148"/>
      <c r="I23" s="18"/>
      <c r="J23" s="18"/>
      <c r="K23" s="153">
        <v>8</v>
      </c>
      <c r="L23" s="162"/>
      <c r="M23" s="162"/>
      <c r="N23" s="16"/>
    </row>
    <row r="24" spans="2:14" ht="24.75" customHeight="1">
      <c r="B24" s="754" t="s">
        <v>500</v>
      </c>
      <c r="C24" s="154" t="s">
        <v>106</v>
      </c>
      <c r="D24" s="146" t="s">
        <v>16</v>
      </c>
      <c r="E24" s="146"/>
      <c r="F24" s="146" t="s">
        <v>16</v>
      </c>
      <c r="G24" s="146"/>
      <c r="H24" s="146"/>
      <c r="I24" s="19"/>
      <c r="J24" s="19"/>
      <c r="K24" s="151">
        <v>2</v>
      </c>
      <c r="L24" s="164"/>
      <c r="M24" s="164"/>
      <c r="N24" s="9"/>
    </row>
    <row r="25" spans="2:14" ht="24.75" customHeight="1">
      <c r="B25" s="755"/>
      <c r="C25" s="142" t="s">
        <v>108</v>
      </c>
      <c r="D25" s="150"/>
      <c r="E25" s="150"/>
      <c r="F25" s="150" t="s">
        <v>16</v>
      </c>
      <c r="G25" s="150"/>
      <c r="H25" s="150"/>
      <c r="I25" s="4"/>
      <c r="J25" s="4"/>
      <c r="K25" s="152">
        <v>1</v>
      </c>
      <c r="N25" s="10"/>
    </row>
    <row r="26" spans="2:14" ht="24.75" customHeight="1">
      <c r="B26" s="755"/>
      <c r="C26" s="142" t="s">
        <v>501</v>
      </c>
      <c r="D26" s="150"/>
      <c r="E26" s="150"/>
      <c r="F26" s="150" t="s">
        <v>16</v>
      </c>
      <c r="G26" s="150"/>
      <c r="H26" s="150"/>
      <c r="I26" s="4"/>
      <c r="J26" s="4"/>
      <c r="K26" s="152">
        <v>2</v>
      </c>
      <c r="N26" s="10"/>
    </row>
    <row r="27" spans="2:14" ht="24.75" customHeight="1">
      <c r="B27" s="755"/>
      <c r="C27" s="142" t="s">
        <v>112</v>
      </c>
      <c r="D27" s="150"/>
      <c r="E27" s="150"/>
      <c r="F27" s="150" t="s">
        <v>16</v>
      </c>
      <c r="G27" s="150"/>
      <c r="H27" s="150"/>
      <c r="I27" s="4"/>
      <c r="J27" s="4"/>
      <c r="K27" s="152">
        <v>2</v>
      </c>
      <c r="N27" s="10"/>
    </row>
    <row r="28" spans="2:14" ht="24.75" customHeight="1">
      <c r="B28" s="755"/>
      <c r="C28" s="142" t="s">
        <v>502</v>
      </c>
      <c r="D28" s="150"/>
      <c r="E28" s="150"/>
      <c r="F28" s="150" t="s">
        <v>16</v>
      </c>
      <c r="G28" s="150"/>
      <c r="H28" s="150"/>
      <c r="I28" s="4"/>
      <c r="J28" s="4"/>
      <c r="K28" s="152">
        <v>2</v>
      </c>
      <c r="N28" s="10"/>
    </row>
    <row r="29" spans="2:14" ht="24.75" customHeight="1">
      <c r="B29" s="755"/>
      <c r="C29" s="142" t="s">
        <v>503</v>
      </c>
      <c r="D29" s="150"/>
      <c r="E29" s="150"/>
      <c r="F29" s="150" t="s">
        <v>16</v>
      </c>
      <c r="G29" s="150"/>
      <c r="H29" s="150"/>
      <c r="I29" s="4"/>
      <c r="J29" s="4"/>
      <c r="K29" s="152">
        <v>1</v>
      </c>
      <c r="N29" s="10"/>
    </row>
    <row r="30" spans="2:14" ht="24.75" customHeight="1">
      <c r="B30" s="755"/>
      <c r="C30" s="142" t="s">
        <v>504</v>
      </c>
      <c r="D30" s="150"/>
      <c r="E30" s="150"/>
      <c r="F30" s="150" t="s">
        <v>16</v>
      </c>
      <c r="G30" s="150"/>
      <c r="H30" s="150"/>
      <c r="I30" s="4"/>
      <c r="J30" s="4"/>
      <c r="K30" s="152">
        <v>2</v>
      </c>
      <c r="N30" s="10"/>
    </row>
    <row r="31" spans="2:14" ht="24.75" customHeight="1">
      <c r="B31" s="755"/>
      <c r="C31" s="144" t="s">
        <v>30</v>
      </c>
      <c r="D31" s="148"/>
      <c r="E31" s="148"/>
      <c r="F31" s="148" t="s">
        <v>16</v>
      </c>
      <c r="G31" s="148"/>
      <c r="H31" s="148"/>
      <c r="I31" s="20"/>
      <c r="J31" s="20"/>
      <c r="K31" s="153">
        <v>2</v>
      </c>
      <c r="L31" s="177"/>
      <c r="M31" s="177"/>
      <c r="N31" s="16"/>
    </row>
    <row r="32" spans="2:14" ht="24.75" customHeight="1">
      <c r="B32" s="835" t="s">
        <v>505</v>
      </c>
      <c r="C32" s="364" t="s">
        <v>106</v>
      </c>
      <c r="D32" s="365"/>
      <c r="E32" s="365" t="s">
        <v>16</v>
      </c>
      <c r="F32" s="365"/>
      <c r="G32" s="365"/>
      <c r="H32" s="365"/>
      <c r="I32" s="366"/>
      <c r="J32" s="366"/>
      <c r="K32" s="365">
        <v>1</v>
      </c>
      <c r="L32" s="365"/>
      <c r="M32" s="365"/>
      <c r="N32" s="26"/>
    </row>
    <row r="33" spans="2:14" ht="24.75" customHeight="1">
      <c r="B33" s="836"/>
      <c r="C33" s="361" t="s">
        <v>108</v>
      </c>
      <c r="D33" s="362"/>
      <c r="E33" s="362" t="s">
        <v>16</v>
      </c>
      <c r="F33" s="362"/>
      <c r="G33" s="362"/>
      <c r="H33" s="362"/>
      <c r="I33" s="363"/>
      <c r="J33" s="363"/>
      <c r="K33" s="362">
        <v>1</v>
      </c>
      <c r="L33" s="362"/>
      <c r="M33" s="362"/>
      <c r="N33" s="367"/>
    </row>
    <row r="34" spans="2:14" ht="24.75" customHeight="1">
      <c r="B34" s="836"/>
      <c r="C34" s="361" t="s">
        <v>506</v>
      </c>
      <c r="D34" s="362"/>
      <c r="E34" s="362" t="s">
        <v>16</v>
      </c>
      <c r="F34" s="362"/>
      <c r="G34" s="362"/>
      <c r="H34" s="362"/>
      <c r="I34" s="363"/>
      <c r="J34" s="363"/>
      <c r="K34" s="362">
        <v>1</v>
      </c>
      <c r="L34" s="362"/>
      <c r="M34" s="362"/>
      <c r="N34" s="367"/>
    </row>
    <row r="35" spans="2:14" ht="34.5" customHeight="1">
      <c r="B35" s="836"/>
      <c r="C35" s="361" t="s">
        <v>493</v>
      </c>
      <c r="D35" s="362"/>
      <c r="E35" s="362"/>
      <c r="F35" s="362" t="s">
        <v>16</v>
      </c>
      <c r="G35" s="362"/>
      <c r="H35" s="362"/>
      <c r="I35" s="363"/>
      <c r="J35" s="363"/>
      <c r="K35" s="362">
        <v>1</v>
      </c>
      <c r="L35" s="362"/>
      <c r="M35" s="362"/>
      <c r="N35" s="367"/>
    </row>
    <row r="36" spans="2:14" ht="24.75" customHeight="1">
      <c r="B36" s="836"/>
      <c r="C36" s="361" t="s">
        <v>341</v>
      </c>
      <c r="D36" s="362"/>
      <c r="E36" s="362"/>
      <c r="F36" s="362" t="s">
        <v>16</v>
      </c>
      <c r="G36" s="362"/>
      <c r="H36" s="362"/>
      <c r="I36" s="363"/>
      <c r="J36" s="363"/>
      <c r="K36" s="362">
        <v>1</v>
      </c>
      <c r="L36" s="362"/>
      <c r="M36" s="362"/>
      <c r="N36" s="367"/>
    </row>
    <row r="37" spans="2:14" ht="24.75" customHeight="1">
      <c r="B37" s="836"/>
      <c r="C37" s="361" t="s">
        <v>327</v>
      </c>
      <c r="D37" s="362"/>
      <c r="E37" s="362"/>
      <c r="F37" s="362" t="s">
        <v>16</v>
      </c>
      <c r="G37" s="362"/>
      <c r="H37" s="362"/>
      <c r="I37" s="363"/>
      <c r="J37" s="363"/>
      <c r="K37" s="362">
        <v>1</v>
      </c>
      <c r="L37" s="362"/>
      <c r="M37" s="362"/>
      <c r="N37" s="367"/>
    </row>
    <row r="38" spans="2:14" ht="24.75" customHeight="1">
      <c r="B38" s="836"/>
      <c r="C38" s="361" t="s">
        <v>343</v>
      </c>
      <c r="D38" s="362"/>
      <c r="E38" s="362"/>
      <c r="F38" s="362" t="s">
        <v>16</v>
      </c>
      <c r="G38" s="362"/>
      <c r="H38" s="362"/>
      <c r="I38" s="363"/>
      <c r="J38" s="363"/>
      <c r="K38" s="362">
        <v>2</v>
      </c>
      <c r="L38" s="362"/>
      <c r="M38" s="362"/>
      <c r="N38" s="367"/>
    </row>
    <row r="39" spans="2:14" ht="24.75" customHeight="1">
      <c r="B39" s="836"/>
      <c r="C39" s="361" t="s">
        <v>494</v>
      </c>
      <c r="D39" s="362"/>
      <c r="E39" s="362"/>
      <c r="F39" s="362" t="s">
        <v>16</v>
      </c>
      <c r="G39" s="362"/>
      <c r="H39" s="362"/>
      <c r="I39" s="363"/>
      <c r="J39" s="363"/>
      <c r="K39" s="362">
        <v>1</v>
      </c>
      <c r="L39" s="362"/>
      <c r="M39" s="362"/>
      <c r="N39" s="367"/>
    </row>
    <row r="40" spans="2:14" ht="24.75" customHeight="1">
      <c r="B40" s="837"/>
      <c r="C40" s="368" t="s">
        <v>30</v>
      </c>
      <c r="D40" s="369"/>
      <c r="E40" s="369"/>
      <c r="F40" s="369" t="s">
        <v>16</v>
      </c>
      <c r="G40" s="369"/>
      <c r="H40" s="369"/>
      <c r="I40" s="370"/>
      <c r="J40" s="370"/>
      <c r="K40" s="369">
        <v>2</v>
      </c>
      <c r="L40" s="369"/>
      <c r="M40" s="369"/>
      <c r="N40" s="371"/>
    </row>
    <row r="41" spans="2:14" ht="24.75" customHeight="1">
      <c r="B41" s="155"/>
      <c r="C41" s="156"/>
      <c r="D41" s="157"/>
      <c r="E41" s="157"/>
      <c r="F41" s="157"/>
      <c r="G41" s="157"/>
      <c r="H41" s="157"/>
      <c r="I41" s="43"/>
      <c r="J41" s="43"/>
      <c r="K41" s="157"/>
      <c r="L41" s="157"/>
      <c r="M41" s="157"/>
      <c r="N41" s="14"/>
    </row>
    <row r="42" spans="2:14" ht="24.75" customHeight="1"/>
    <row r="43" spans="2:14" ht="24.75" customHeight="1"/>
    <row r="44" spans="2:14" ht="24.75" customHeight="1"/>
    <row r="45" spans="2:14" ht="24.75" customHeight="1"/>
    <row r="46" spans="2:14" ht="24.75" customHeight="1"/>
    <row r="47" spans="2:14" ht="24.75" customHeight="1"/>
    <row r="48" spans="2:14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</sheetData>
  <autoFilter ref="B1:N1" xr:uid="{86218A8E-19D0-49FF-9CF4-25133F13E3AD}"/>
  <mergeCells count="6">
    <mergeCell ref="B32:B40"/>
    <mergeCell ref="B2:B7"/>
    <mergeCell ref="B8:B9"/>
    <mergeCell ref="B10:B19"/>
    <mergeCell ref="B20:B23"/>
    <mergeCell ref="B24:B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A172-4456-4150-97DA-E430D61728B4}">
  <dimension ref="B1:N71"/>
  <sheetViews>
    <sheetView topLeftCell="A15" workbookViewId="0">
      <selection activeCell="E26" sqref="E26"/>
    </sheetView>
  </sheetViews>
  <sheetFormatPr defaultColWidth="8.7109375" defaultRowHeight="15"/>
  <cols>
    <col min="2" max="2" width="19.85546875" style="159" customWidth="1"/>
    <col min="3" max="3" width="29.140625" style="361" customWidth="1"/>
    <col min="4" max="8" width="9.140625" style="159"/>
    <col min="9" max="10" width="9.140625" style="37"/>
    <col min="11" max="11" width="12.85546875" style="159" customWidth="1"/>
    <col min="12" max="12" width="16.28515625" style="159" customWidth="1"/>
    <col min="13" max="13" width="14.140625" style="159" customWidth="1"/>
    <col min="14" max="14" width="27.28515625" style="37" customWidth="1"/>
  </cols>
  <sheetData>
    <row r="1" spans="2:14" ht="47.25">
      <c r="B1" s="12" t="s">
        <v>2</v>
      </c>
      <c r="C1" s="609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/>
      <c r="J1" s="12" t="s">
        <v>9</v>
      </c>
      <c r="K1" s="12" t="s">
        <v>10</v>
      </c>
      <c r="L1" s="12" t="s">
        <v>11</v>
      </c>
      <c r="M1" s="12" t="s">
        <v>12</v>
      </c>
      <c r="N1" s="13" t="s">
        <v>13</v>
      </c>
    </row>
    <row r="2" spans="2:14" ht="23.25" customHeight="1">
      <c r="B2" s="838" t="s">
        <v>507</v>
      </c>
      <c r="C2" s="469" t="s">
        <v>106</v>
      </c>
      <c r="D2" s="470" t="s">
        <v>16</v>
      </c>
      <c r="E2" s="470" t="s">
        <v>16</v>
      </c>
      <c r="F2" s="470"/>
      <c r="G2" s="470"/>
      <c r="H2" s="470"/>
      <c r="I2" s="471"/>
      <c r="J2" s="471"/>
      <c r="K2" s="472">
        <v>1</v>
      </c>
      <c r="L2" s="151"/>
      <c r="M2" s="151"/>
      <c r="N2" s="46"/>
    </row>
    <row r="3" spans="2:14" ht="25.5">
      <c r="B3" s="839"/>
      <c r="C3" s="465" t="s">
        <v>108</v>
      </c>
      <c r="D3" s="466"/>
      <c r="E3" s="466" t="s">
        <v>16</v>
      </c>
      <c r="F3" s="466"/>
      <c r="G3" s="466"/>
      <c r="H3" s="466"/>
      <c r="I3" s="448"/>
      <c r="J3" s="448"/>
      <c r="K3" s="467">
        <v>1</v>
      </c>
      <c r="L3" s="152"/>
      <c r="M3" s="152"/>
      <c r="N3" s="47"/>
    </row>
    <row r="4" spans="2:14">
      <c r="B4" s="839"/>
      <c r="C4" s="465" t="s">
        <v>492</v>
      </c>
      <c r="D4" s="466"/>
      <c r="E4" s="466" t="s">
        <v>16</v>
      </c>
      <c r="F4" s="466"/>
      <c r="G4" s="466"/>
      <c r="H4" s="466"/>
      <c r="I4" s="448"/>
      <c r="J4" s="448"/>
      <c r="K4" s="467">
        <v>1</v>
      </c>
      <c r="L4" s="451"/>
      <c r="M4" s="451"/>
      <c r="N4" s="47"/>
    </row>
    <row r="5" spans="2:14" ht="25.5">
      <c r="B5" s="839"/>
      <c r="C5" s="465" t="s">
        <v>308</v>
      </c>
      <c r="D5" s="466"/>
      <c r="E5" s="466" t="s">
        <v>16</v>
      </c>
      <c r="F5" s="466"/>
      <c r="G5" s="466"/>
      <c r="H5" s="466"/>
      <c r="I5" s="448"/>
      <c r="J5" s="448"/>
      <c r="K5" s="467">
        <v>2</v>
      </c>
      <c r="L5" s="451"/>
      <c r="M5" s="451"/>
      <c r="N5" s="47"/>
    </row>
    <row r="6" spans="2:14" ht="25.5">
      <c r="B6" s="839"/>
      <c r="C6" s="465" t="s">
        <v>341</v>
      </c>
      <c r="D6" s="466"/>
      <c r="E6" s="466" t="s">
        <v>16</v>
      </c>
      <c r="F6" s="466"/>
      <c r="G6" s="466"/>
      <c r="H6" s="466"/>
      <c r="I6" s="448"/>
      <c r="J6" s="448"/>
      <c r="K6" s="467">
        <v>1</v>
      </c>
      <c r="L6" s="451"/>
      <c r="M6" s="451"/>
      <c r="N6" s="473"/>
    </row>
    <row r="7" spans="2:14" ht="25.5">
      <c r="B7" s="839"/>
      <c r="C7" s="465" t="s">
        <v>327</v>
      </c>
      <c r="D7" s="466"/>
      <c r="E7" s="466" t="s">
        <v>16</v>
      </c>
      <c r="F7" s="466"/>
      <c r="G7" s="466"/>
      <c r="H7" s="466"/>
      <c r="I7" s="448"/>
      <c r="J7" s="448"/>
      <c r="K7" s="467">
        <v>1</v>
      </c>
      <c r="L7" s="451"/>
      <c r="M7" s="451"/>
      <c r="N7" s="473"/>
    </row>
    <row r="8" spans="2:14" ht="25.5">
      <c r="B8" s="839"/>
      <c r="C8" s="465" t="s">
        <v>508</v>
      </c>
      <c r="D8" s="466"/>
      <c r="E8" s="466"/>
      <c r="F8" s="466" t="s">
        <v>16</v>
      </c>
      <c r="G8" s="466"/>
      <c r="H8" s="466"/>
      <c r="I8" s="448"/>
      <c r="J8" s="448"/>
      <c r="K8" s="467">
        <v>6</v>
      </c>
      <c r="L8" s="451"/>
      <c r="M8" s="451"/>
      <c r="N8" s="473"/>
    </row>
    <row r="9" spans="2:14">
      <c r="B9" s="840"/>
      <c r="C9" s="474" t="s">
        <v>30</v>
      </c>
      <c r="D9" s="475"/>
      <c r="E9" s="475" t="s">
        <v>16</v>
      </c>
      <c r="F9" s="475"/>
      <c r="G9" s="475"/>
      <c r="H9" s="475"/>
      <c r="I9" s="476"/>
      <c r="J9" s="476"/>
      <c r="K9" s="477">
        <v>1</v>
      </c>
      <c r="L9" s="457"/>
      <c r="M9" s="457"/>
      <c r="N9" s="478"/>
    </row>
    <row r="10" spans="2:14">
      <c r="B10" s="841" t="s">
        <v>509</v>
      </c>
      <c r="C10" s="487" t="s">
        <v>106</v>
      </c>
      <c r="D10" s="480" t="s">
        <v>16</v>
      </c>
      <c r="E10" s="480" t="s">
        <v>16</v>
      </c>
      <c r="F10" s="480"/>
      <c r="G10" s="480"/>
      <c r="H10" s="480"/>
      <c r="I10" s="407"/>
      <c r="J10" s="407"/>
      <c r="K10" s="324">
        <v>2</v>
      </c>
      <c r="L10" s="324"/>
      <c r="M10" s="458"/>
      <c r="N10" s="479"/>
    </row>
    <row r="11" spans="2:14" ht="30">
      <c r="B11" s="842"/>
      <c r="C11" s="487" t="s">
        <v>108</v>
      </c>
      <c r="D11" s="480"/>
      <c r="E11" s="480" t="s">
        <v>16</v>
      </c>
      <c r="F11" s="480"/>
      <c r="G11" s="480"/>
      <c r="H11" s="480"/>
      <c r="I11" s="407"/>
      <c r="J11" s="407"/>
      <c r="K11" s="324">
        <v>1</v>
      </c>
      <c r="L11" s="324"/>
      <c r="M11" s="451"/>
      <c r="N11" s="468"/>
    </row>
    <row r="12" spans="2:14">
      <c r="B12" s="842"/>
      <c r="C12" s="487" t="s">
        <v>492</v>
      </c>
      <c r="D12" s="480"/>
      <c r="E12" s="480" t="s">
        <v>16</v>
      </c>
      <c r="F12" s="480"/>
      <c r="G12" s="480"/>
      <c r="H12" s="480"/>
      <c r="I12" s="407"/>
      <c r="J12" s="407"/>
      <c r="K12" s="324">
        <v>1</v>
      </c>
      <c r="L12" s="324"/>
      <c r="M12" s="451"/>
      <c r="N12" s="468"/>
    </row>
    <row r="13" spans="2:14" ht="30">
      <c r="B13" s="842"/>
      <c r="C13" s="487" t="s">
        <v>493</v>
      </c>
      <c r="D13" s="480"/>
      <c r="E13" s="480"/>
      <c r="F13" s="480" t="s">
        <v>16</v>
      </c>
      <c r="G13" s="480"/>
      <c r="H13" s="480"/>
      <c r="I13" s="407"/>
      <c r="J13" s="407"/>
      <c r="K13" s="324">
        <v>1</v>
      </c>
      <c r="L13" s="324"/>
      <c r="M13" s="156"/>
      <c r="N13" s="49"/>
    </row>
    <row r="14" spans="2:14" ht="30">
      <c r="B14" s="842"/>
      <c r="C14" s="487" t="s">
        <v>341</v>
      </c>
      <c r="D14" s="480"/>
      <c r="E14" s="480"/>
      <c r="F14" s="480" t="s">
        <v>16</v>
      </c>
      <c r="G14" s="480"/>
      <c r="H14" s="480"/>
      <c r="I14" s="407"/>
      <c r="J14" s="407"/>
      <c r="K14" s="324">
        <v>1</v>
      </c>
      <c r="L14" s="324"/>
    </row>
    <row r="15" spans="2:14" ht="30">
      <c r="B15" s="842"/>
      <c r="C15" s="487" t="s">
        <v>343</v>
      </c>
      <c r="D15" s="480"/>
      <c r="E15" s="480"/>
      <c r="F15" s="480" t="s">
        <v>16</v>
      </c>
      <c r="G15" s="480"/>
      <c r="H15" s="480"/>
      <c r="I15" s="407"/>
      <c r="J15" s="407"/>
      <c r="K15" s="324">
        <v>2</v>
      </c>
      <c r="L15" s="324"/>
    </row>
    <row r="16" spans="2:14">
      <c r="B16" s="842"/>
      <c r="C16" s="487" t="s">
        <v>494</v>
      </c>
      <c r="D16" s="480"/>
      <c r="E16" s="480"/>
      <c r="F16" s="480" t="s">
        <v>16</v>
      </c>
      <c r="G16" s="480"/>
      <c r="H16" s="480"/>
      <c r="I16" s="407"/>
      <c r="J16" s="407"/>
      <c r="K16" s="324">
        <v>2</v>
      </c>
      <c r="L16" s="324"/>
    </row>
    <row r="17" spans="2:12">
      <c r="B17" s="842"/>
      <c r="C17" s="487" t="s">
        <v>30</v>
      </c>
      <c r="D17" s="480"/>
      <c r="E17" s="480"/>
      <c r="F17" s="480" t="s">
        <v>16</v>
      </c>
      <c r="G17" s="480"/>
      <c r="H17" s="480"/>
      <c r="I17" s="407"/>
      <c r="J17" s="407"/>
      <c r="K17" s="324">
        <v>1</v>
      </c>
      <c r="L17" s="324"/>
    </row>
    <row r="18" spans="2:12" ht="30">
      <c r="B18" s="843"/>
      <c r="C18" s="487" t="s">
        <v>510</v>
      </c>
      <c r="D18" s="480"/>
      <c r="E18" s="480"/>
      <c r="F18" s="480" t="s">
        <v>16</v>
      </c>
      <c r="G18" s="480"/>
      <c r="H18" s="480"/>
      <c r="I18" s="407"/>
      <c r="J18" s="407"/>
      <c r="K18" s="324">
        <v>32</v>
      </c>
      <c r="L18" s="324"/>
    </row>
    <row r="19" spans="2:12">
      <c r="B19" s="841" t="s">
        <v>511</v>
      </c>
      <c r="C19" s="487" t="s">
        <v>106</v>
      </c>
      <c r="D19" s="480" t="s">
        <v>16</v>
      </c>
      <c r="E19" s="480" t="s">
        <v>16</v>
      </c>
      <c r="F19" s="480"/>
      <c r="G19" s="480"/>
      <c r="H19" s="480"/>
      <c r="I19" s="407"/>
      <c r="J19" s="407"/>
      <c r="K19" s="324">
        <v>2</v>
      </c>
      <c r="L19" s="324"/>
    </row>
    <row r="20" spans="2:12" ht="30">
      <c r="B20" s="842"/>
      <c r="C20" s="487" t="s">
        <v>108</v>
      </c>
      <c r="D20" s="480"/>
      <c r="E20" s="480" t="s">
        <v>16</v>
      </c>
      <c r="F20" s="480"/>
      <c r="G20" s="480"/>
      <c r="H20" s="480"/>
      <c r="I20" s="407"/>
      <c r="J20" s="407"/>
      <c r="K20" s="324">
        <v>1</v>
      </c>
      <c r="L20" s="324"/>
    </row>
    <row r="21" spans="2:12">
      <c r="B21" s="842"/>
      <c r="C21" s="487" t="s">
        <v>492</v>
      </c>
      <c r="D21" s="480"/>
      <c r="E21" s="480" t="s">
        <v>16</v>
      </c>
      <c r="F21" s="480"/>
      <c r="G21" s="480"/>
      <c r="H21" s="480"/>
      <c r="I21" s="407"/>
      <c r="J21" s="407"/>
      <c r="K21" s="324">
        <v>1</v>
      </c>
      <c r="L21" s="324"/>
    </row>
    <row r="22" spans="2:12" ht="30">
      <c r="B22" s="842"/>
      <c r="C22" s="487" t="s">
        <v>493</v>
      </c>
      <c r="D22" s="480"/>
      <c r="E22" s="480"/>
      <c r="F22" s="480" t="s">
        <v>16</v>
      </c>
      <c r="G22" s="480"/>
      <c r="H22" s="480"/>
      <c r="I22" s="407"/>
      <c r="J22" s="407"/>
      <c r="K22" s="324">
        <v>1</v>
      </c>
      <c r="L22" s="324"/>
    </row>
    <row r="23" spans="2:12" ht="29.25">
      <c r="B23" s="842"/>
      <c r="C23" s="487" t="s">
        <v>341</v>
      </c>
      <c r="D23" s="480"/>
      <c r="E23" s="480"/>
      <c r="F23" s="480" t="s">
        <v>16</v>
      </c>
      <c r="G23" s="480"/>
      <c r="H23" s="480"/>
      <c r="I23" s="407"/>
      <c r="J23" s="407"/>
      <c r="K23" s="324">
        <v>1</v>
      </c>
      <c r="L23" s="324"/>
    </row>
    <row r="24" spans="2:12" ht="30">
      <c r="B24" s="842"/>
      <c r="C24" s="487" t="s">
        <v>343</v>
      </c>
      <c r="D24" s="480"/>
      <c r="E24" s="480"/>
      <c r="F24" s="480" t="s">
        <v>16</v>
      </c>
      <c r="G24" s="480"/>
      <c r="H24" s="480"/>
      <c r="I24" s="407"/>
      <c r="J24" s="407"/>
      <c r="K24" s="324">
        <v>2</v>
      </c>
      <c r="L24" s="324"/>
    </row>
    <row r="25" spans="2:12">
      <c r="B25" s="842"/>
      <c r="C25" s="487" t="s">
        <v>494</v>
      </c>
      <c r="D25" s="480"/>
      <c r="E25" s="480"/>
      <c r="F25" s="480" t="s">
        <v>16</v>
      </c>
      <c r="G25" s="480"/>
      <c r="H25" s="480"/>
      <c r="I25" s="407"/>
      <c r="J25" s="407"/>
      <c r="K25" s="324">
        <v>2</v>
      </c>
      <c r="L25" s="324"/>
    </row>
    <row r="26" spans="2:12">
      <c r="B26" s="843"/>
      <c r="C26" s="487" t="s">
        <v>30</v>
      </c>
      <c r="D26" s="480"/>
      <c r="E26" s="480"/>
      <c r="F26" s="480" t="s">
        <v>16</v>
      </c>
      <c r="G26" s="480"/>
      <c r="H26" s="480"/>
      <c r="I26" s="407"/>
      <c r="J26" s="407"/>
      <c r="K26" s="324">
        <v>1</v>
      </c>
      <c r="L26" s="324"/>
    </row>
    <row r="27" spans="2:12" ht="21" customHeight="1">
      <c r="B27" s="844" t="s">
        <v>512</v>
      </c>
      <c r="C27" s="361" t="s">
        <v>513</v>
      </c>
      <c r="D27" s="160" t="s">
        <v>16</v>
      </c>
      <c r="E27" s="160" t="s">
        <v>16</v>
      </c>
      <c r="F27" s="160"/>
      <c r="K27" s="159">
        <v>2</v>
      </c>
    </row>
    <row r="28" spans="2:12" ht="30">
      <c r="B28" s="845"/>
      <c r="C28" s="361" t="s">
        <v>514</v>
      </c>
      <c r="D28" s="160"/>
      <c r="E28" s="160" t="s">
        <v>16</v>
      </c>
      <c r="F28" s="160"/>
      <c r="K28" s="159">
        <v>2</v>
      </c>
    </row>
    <row r="29" spans="2:12">
      <c r="B29" s="845"/>
      <c r="C29" s="361" t="s">
        <v>17</v>
      </c>
      <c r="D29" s="160"/>
      <c r="E29" s="160" t="s">
        <v>16</v>
      </c>
      <c r="F29" s="160"/>
      <c r="K29" s="159">
        <v>2</v>
      </c>
    </row>
    <row r="30" spans="2:12">
      <c r="B30" s="845"/>
      <c r="C30" s="361" t="s">
        <v>515</v>
      </c>
      <c r="D30" s="160"/>
      <c r="E30" s="160"/>
      <c r="F30" s="160" t="s">
        <v>16</v>
      </c>
      <c r="K30" s="159">
        <v>2</v>
      </c>
    </row>
    <row r="31" spans="2:12">
      <c r="B31" s="845"/>
      <c r="C31" s="361" t="s">
        <v>516</v>
      </c>
      <c r="D31" s="160"/>
      <c r="E31" s="160"/>
      <c r="F31" s="160" t="s">
        <v>16</v>
      </c>
      <c r="K31" s="159">
        <v>3</v>
      </c>
    </row>
    <row r="32" spans="2:12">
      <c r="B32" s="846"/>
      <c r="C32" s="361" t="s">
        <v>30</v>
      </c>
      <c r="D32" s="160"/>
      <c r="E32" s="160" t="s">
        <v>16</v>
      </c>
      <c r="F32" s="160"/>
      <c r="K32" s="159">
        <v>2</v>
      </c>
    </row>
    <row r="33" spans="2:14">
      <c r="B33" s="847" t="s">
        <v>517</v>
      </c>
      <c r="C33" s="361" t="s">
        <v>497</v>
      </c>
      <c r="D33" s="159" t="s">
        <v>16</v>
      </c>
      <c r="E33" s="159" t="s">
        <v>16</v>
      </c>
      <c r="K33" s="159">
        <v>2</v>
      </c>
    </row>
    <row r="34" spans="2:14" ht="45">
      <c r="B34" s="848"/>
      <c r="C34" s="361" t="s">
        <v>498</v>
      </c>
      <c r="E34" s="159" t="s">
        <v>16</v>
      </c>
      <c r="K34" s="159">
        <v>3</v>
      </c>
    </row>
    <row r="35" spans="2:14">
      <c r="B35" s="848"/>
      <c r="C35" s="361" t="s">
        <v>499</v>
      </c>
      <c r="F35" s="159" t="s">
        <v>16</v>
      </c>
      <c r="K35" s="159">
        <v>2</v>
      </c>
    </row>
    <row r="36" spans="2:14">
      <c r="B36" s="848"/>
      <c r="C36" s="361" t="s">
        <v>518</v>
      </c>
      <c r="F36" s="159" t="s">
        <v>16</v>
      </c>
      <c r="K36" s="159">
        <v>3</v>
      </c>
    </row>
    <row r="37" spans="2:14">
      <c r="B37" s="848"/>
      <c r="C37" s="361" t="s">
        <v>519</v>
      </c>
      <c r="F37" s="159" t="s">
        <v>16</v>
      </c>
      <c r="K37" s="159">
        <v>3</v>
      </c>
    </row>
    <row r="38" spans="2:14">
      <c r="B38" s="849"/>
      <c r="C38" s="361" t="s">
        <v>30</v>
      </c>
      <c r="E38" s="159" t="s">
        <v>16</v>
      </c>
      <c r="K38" s="159">
        <v>1</v>
      </c>
    </row>
    <row r="39" spans="2:14" ht="15" customHeight="1">
      <c r="B39" s="738" t="s">
        <v>520</v>
      </c>
      <c r="C39" s="504" t="s">
        <v>106</v>
      </c>
      <c r="D39" s="108" t="s">
        <v>16</v>
      </c>
      <c r="E39" s="108" t="s">
        <v>16</v>
      </c>
      <c r="F39" s="108"/>
      <c r="G39" s="108"/>
      <c r="H39" s="108"/>
      <c r="I39" s="505"/>
      <c r="J39" s="505"/>
      <c r="K39" s="108">
        <v>1</v>
      </c>
      <c r="L39" s="108"/>
      <c r="M39" s="108"/>
    </row>
    <row r="40" spans="2:14" ht="30">
      <c r="B40" s="739"/>
      <c r="C40" s="487" t="s">
        <v>108</v>
      </c>
      <c r="D40" s="502"/>
      <c r="E40" s="502" t="s">
        <v>16</v>
      </c>
      <c r="F40" s="502"/>
      <c r="G40" s="502"/>
      <c r="H40" s="502"/>
      <c r="I40" s="503"/>
      <c r="J40" s="503"/>
      <c r="K40" s="502">
        <v>1</v>
      </c>
      <c r="L40" s="502"/>
      <c r="M40" s="502"/>
    </row>
    <row r="41" spans="2:14">
      <c r="B41" s="739"/>
      <c r="C41" s="487" t="s">
        <v>492</v>
      </c>
      <c r="D41" s="502"/>
      <c r="E41" s="502" t="s">
        <v>16</v>
      </c>
      <c r="F41" s="502"/>
      <c r="G41" s="502"/>
      <c r="H41" s="502"/>
      <c r="I41" s="503"/>
      <c r="J41" s="503"/>
      <c r="K41" s="502">
        <v>1</v>
      </c>
      <c r="L41" s="502"/>
      <c r="M41" s="502"/>
    </row>
    <row r="42" spans="2:14" ht="30">
      <c r="B42" s="739"/>
      <c r="C42" s="487" t="s">
        <v>493</v>
      </c>
      <c r="D42" s="502"/>
      <c r="E42" s="502" t="s">
        <v>16</v>
      </c>
      <c r="F42" s="502"/>
      <c r="G42" s="502"/>
      <c r="H42" s="502"/>
      <c r="I42" s="503"/>
      <c r="J42" s="503"/>
      <c r="K42" s="502">
        <v>1</v>
      </c>
      <c r="L42" s="502"/>
      <c r="M42" s="502"/>
    </row>
    <row r="43" spans="2:14" ht="30">
      <c r="B43" s="739"/>
      <c r="C43" s="487" t="s">
        <v>341</v>
      </c>
      <c r="D43" s="502"/>
      <c r="E43" s="502" t="s">
        <v>16</v>
      </c>
      <c r="F43" s="502"/>
      <c r="G43" s="502"/>
      <c r="H43" s="502"/>
      <c r="I43" s="503"/>
      <c r="J43" s="503"/>
      <c r="K43" s="502">
        <v>1</v>
      </c>
      <c r="L43" s="502"/>
      <c r="M43" s="502">
        <v>4</v>
      </c>
    </row>
    <row r="44" spans="2:14" ht="30">
      <c r="B44" s="739"/>
      <c r="C44" s="487" t="s">
        <v>343</v>
      </c>
      <c r="D44" s="502"/>
      <c r="E44" s="502"/>
      <c r="F44" s="502" t="s">
        <v>16</v>
      </c>
      <c r="G44" s="502"/>
      <c r="H44" s="502"/>
      <c r="I44" s="503"/>
      <c r="J44" s="503"/>
      <c r="K44" s="502">
        <v>2</v>
      </c>
      <c r="L44" s="502"/>
      <c r="M44" s="502"/>
    </row>
    <row r="45" spans="2:14">
      <c r="B45" s="739"/>
      <c r="C45" s="487" t="s">
        <v>521</v>
      </c>
      <c r="D45" s="502"/>
      <c r="E45" s="502"/>
      <c r="F45" s="502" t="s">
        <v>16</v>
      </c>
      <c r="G45" s="502"/>
      <c r="H45" s="502"/>
      <c r="I45" s="503"/>
      <c r="J45" s="503"/>
      <c r="K45" s="502">
        <v>2</v>
      </c>
      <c r="L45" s="502"/>
      <c r="M45" s="502"/>
    </row>
    <row r="46" spans="2:14">
      <c r="B46" s="739"/>
      <c r="C46" s="487" t="s">
        <v>522</v>
      </c>
      <c r="D46" s="502"/>
      <c r="E46" s="502"/>
      <c r="F46" s="502" t="s">
        <v>16</v>
      </c>
      <c r="G46" s="502"/>
      <c r="H46" s="502"/>
      <c r="I46" s="503"/>
      <c r="J46" s="503"/>
      <c r="K46" s="502">
        <v>2</v>
      </c>
      <c r="L46" s="502"/>
      <c r="M46" s="502"/>
    </row>
    <row r="47" spans="2:14" ht="30">
      <c r="B47" s="739"/>
      <c r="C47" s="487" t="s">
        <v>523</v>
      </c>
      <c r="D47" s="502"/>
      <c r="E47" s="502"/>
      <c r="F47" s="502" t="s">
        <v>16</v>
      </c>
      <c r="G47" s="502"/>
      <c r="H47" s="502"/>
      <c r="I47" s="503"/>
      <c r="J47" s="503"/>
      <c r="K47" s="502">
        <v>1</v>
      </c>
      <c r="L47" s="502"/>
      <c r="M47" s="502"/>
    </row>
    <row r="48" spans="2:14">
      <c r="B48" s="739"/>
      <c r="C48" s="515" t="s">
        <v>30</v>
      </c>
      <c r="D48" s="507"/>
      <c r="E48" s="507"/>
      <c r="F48" s="507" t="s">
        <v>16</v>
      </c>
      <c r="G48" s="507"/>
      <c r="H48" s="507"/>
      <c r="I48" s="508"/>
      <c r="J48" s="508"/>
      <c r="K48" s="507">
        <v>2</v>
      </c>
      <c r="L48" s="507"/>
      <c r="M48" s="507"/>
      <c r="N48" s="564"/>
    </row>
    <row r="49" spans="2:14" ht="29.25" customHeight="1">
      <c r="B49" s="735" t="s">
        <v>524</v>
      </c>
      <c r="C49" s="364" t="s">
        <v>525</v>
      </c>
      <c r="D49" s="556"/>
      <c r="E49" s="556" t="s">
        <v>16</v>
      </c>
      <c r="F49" s="556"/>
      <c r="G49" s="556"/>
      <c r="H49" s="556"/>
      <c r="I49" s="498"/>
      <c r="J49" s="498"/>
      <c r="K49" s="556">
        <v>2</v>
      </c>
      <c r="L49" s="556"/>
      <c r="M49" s="556"/>
      <c r="N49" s="46"/>
    </row>
    <row r="50" spans="2:14" ht="30">
      <c r="B50" s="736"/>
      <c r="C50" s="361" t="s">
        <v>526</v>
      </c>
      <c r="E50" s="159" t="s">
        <v>16</v>
      </c>
      <c r="K50" s="159">
        <v>1</v>
      </c>
      <c r="N50" s="47"/>
    </row>
    <row r="51" spans="2:14">
      <c r="B51" s="736"/>
      <c r="C51" s="361" t="s">
        <v>527</v>
      </c>
      <c r="E51" s="159" t="s">
        <v>16</v>
      </c>
      <c r="N51" s="47"/>
    </row>
    <row r="52" spans="2:14">
      <c r="B52" s="736"/>
      <c r="C52" s="361" t="s">
        <v>528</v>
      </c>
      <c r="E52" s="159" t="s">
        <v>16</v>
      </c>
      <c r="K52" s="159">
        <v>2</v>
      </c>
      <c r="N52" s="47"/>
    </row>
    <row r="53" spans="2:14" ht="45">
      <c r="B53" s="736"/>
      <c r="C53" s="361" t="s">
        <v>529</v>
      </c>
      <c r="E53" s="159" t="s">
        <v>16</v>
      </c>
      <c r="K53" s="159">
        <v>2</v>
      </c>
      <c r="N53" s="47"/>
    </row>
    <row r="54" spans="2:14">
      <c r="B54" s="736"/>
      <c r="C54" s="361" t="s">
        <v>530</v>
      </c>
      <c r="E54" s="159" t="s">
        <v>16</v>
      </c>
      <c r="K54" s="159">
        <v>1</v>
      </c>
      <c r="N54" s="47"/>
    </row>
    <row r="55" spans="2:14">
      <c r="B55" s="736"/>
      <c r="C55" s="565" t="s">
        <v>417</v>
      </c>
      <c r="D55" s="566"/>
      <c r="E55" s="566" t="s">
        <v>16</v>
      </c>
      <c r="F55" s="566"/>
      <c r="G55" s="566"/>
      <c r="H55" s="566"/>
      <c r="I55" s="564"/>
      <c r="J55" s="564"/>
      <c r="K55" s="566">
        <v>2</v>
      </c>
      <c r="L55" s="566"/>
      <c r="M55" s="566"/>
      <c r="N55" s="51"/>
    </row>
    <row r="56" spans="2:14" ht="30">
      <c r="B56" s="735" t="s">
        <v>531</v>
      </c>
      <c r="C56" s="364" t="s">
        <v>532</v>
      </c>
      <c r="D56" s="556"/>
      <c r="E56" s="556" t="s">
        <v>16</v>
      </c>
      <c r="F56" s="556"/>
      <c r="G56" s="556"/>
      <c r="H56" s="556"/>
      <c r="I56" s="498"/>
      <c r="J56" s="498"/>
      <c r="K56" s="556">
        <v>1</v>
      </c>
      <c r="L56" s="556"/>
      <c r="M56" s="556"/>
      <c r="N56" s="46"/>
    </row>
    <row r="57" spans="2:14" ht="30">
      <c r="B57" s="736"/>
      <c r="C57" s="361" t="s">
        <v>533</v>
      </c>
      <c r="E57" s="159" t="s">
        <v>16</v>
      </c>
      <c r="K57" s="159">
        <v>1</v>
      </c>
      <c r="N57" s="47"/>
    </row>
    <row r="58" spans="2:14" ht="30">
      <c r="B58" s="736"/>
      <c r="C58" s="361" t="s">
        <v>534</v>
      </c>
      <c r="E58" s="159" t="s">
        <v>16</v>
      </c>
      <c r="K58" s="159">
        <v>1</v>
      </c>
      <c r="N58" s="47"/>
    </row>
    <row r="59" spans="2:14" ht="45">
      <c r="B59" s="736"/>
      <c r="C59" s="361" t="s">
        <v>535</v>
      </c>
      <c r="E59" s="159" t="s">
        <v>16</v>
      </c>
      <c r="N59" s="47"/>
    </row>
    <row r="60" spans="2:14" ht="45">
      <c r="B60" s="736"/>
      <c r="C60" s="361" t="s">
        <v>529</v>
      </c>
      <c r="E60" s="159" t="s">
        <v>16</v>
      </c>
      <c r="K60" s="159">
        <v>2</v>
      </c>
      <c r="N60" s="47"/>
    </row>
    <row r="61" spans="2:14">
      <c r="B61" s="736"/>
      <c r="C61" s="361" t="s">
        <v>530</v>
      </c>
      <c r="E61" s="159" t="s">
        <v>16</v>
      </c>
      <c r="K61" s="159">
        <v>2</v>
      </c>
      <c r="N61" s="47"/>
    </row>
    <row r="62" spans="2:14">
      <c r="B62" s="736"/>
      <c r="C62" s="565" t="s">
        <v>417</v>
      </c>
      <c r="D62" s="566"/>
      <c r="E62" s="566" t="s">
        <v>16</v>
      </c>
      <c r="F62" s="566"/>
      <c r="G62" s="566"/>
      <c r="H62" s="566"/>
      <c r="I62" s="564"/>
      <c r="J62" s="564"/>
      <c r="K62" s="566">
        <v>2</v>
      </c>
      <c r="L62" s="566"/>
      <c r="M62" s="566"/>
      <c r="N62" s="51"/>
    </row>
    <row r="63" spans="2:14" ht="24.75" customHeight="1">
      <c r="B63" s="735" t="s">
        <v>536</v>
      </c>
      <c r="C63" s="364" t="s">
        <v>106</v>
      </c>
      <c r="D63" s="556" t="s">
        <v>16</v>
      </c>
      <c r="E63" s="556" t="s">
        <v>16</v>
      </c>
      <c r="F63" s="556"/>
      <c r="G63" s="556"/>
      <c r="H63" s="556"/>
      <c r="I63" s="498"/>
      <c r="J63" s="498"/>
      <c r="K63" s="556">
        <v>1</v>
      </c>
      <c r="L63" s="556"/>
      <c r="M63" s="556"/>
      <c r="N63" s="46"/>
    </row>
    <row r="64" spans="2:14" ht="30">
      <c r="B64" s="736"/>
      <c r="C64" s="361" t="s">
        <v>108</v>
      </c>
      <c r="E64" s="159" t="s">
        <v>16</v>
      </c>
      <c r="K64" s="159">
        <v>1</v>
      </c>
      <c r="N64" s="47"/>
    </row>
    <row r="65" spans="2:14">
      <c r="B65" s="736"/>
      <c r="C65" s="361" t="s">
        <v>492</v>
      </c>
      <c r="E65" s="159" t="s">
        <v>16</v>
      </c>
      <c r="K65" s="159">
        <v>1</v>
      </c>
      <c r="N65" s="47"/>
    </row>
    <row r="66" spans="2:14" ht="30">
      <c r="B66" s="736"/>
      <c r="C66" s="361" t="s">
        <v>308</v>
      </c>
      <c r="E66" s="159" t="s">
        <v>16</v>
      </c>
      <c r="K66" s="159">
        <v>2</v>
      </c>
      <c r="N66" s="47"/>
    </row>
    <row r="67" spans="2:14" ht="30">
      <c r="B67" s="736"/>
      <c r="C67" s="361" t="s">
        <v>341</v>
      </c>
      <c r="E67" s="159" t="s">
        <v>16</v>
      </c>
      <c r="K67" s="159">
        <v>1</v>
      </c>
      <c r="N67" s="47"/>
    </row>
    <row r="68" spans="2:14" ht="30">
      <c r="B68" s="736"/>
      <c r="C68" s="361" t="s">
        <v>413</v>
      </c>
      <c r="E68" s="159" t="s">
        <v>16</v>
      </c>
      <c r="K68" s="159">
        <v>2</v>
      </c>
      <c r="N68" s="47"/>
    </row>
    <row r="69" spans="2:14">
      <c r="B69" s="736"/>
      <c r="C69" s="361" t="s">
        <v>530</v>
      </c>
      <c r="E69" s="159" t="s">
        <v>16</v>
      </c>
      <c r="K69" s="159">
        <v>2</v>
      </c>
      <c r="N69" s="47"/>
    </row>
    <row r="70" spans="2:14">
      <c r="B70" s="737"/>
      <c r="C70" s="368" t="s">
        <v>30</v>
      </c>
      <c r="D70" s="559"/>
      <c r="E70" s="559" t="s">
        <v>16</v>
      </c>
      <c r="F70" s="559"/>
      <c r="G70" s="559"/>
      <c r="H70" s="559"/>
      <c r="I70" s="500"/>
      <c r="J70" s="500"/>
      <c r="K70" s="559">
        <v>2</v>
      </c>
      <c r="L70" s="559"/>
      <c r="M70" s="559"/>
      <c r="N70" s="48"/>
    </row>
    <row r="71" spans="2:14">
      <c r="B71" s="156"/>
      <c r="C71" s="464"/>
      <c r="D71" s="156"/>
      <c r="E71" s="156"/>
      <c r="F71" s="156"/>
      <c r="G71" s="156"/>
      <c r="H71" s="156"/>
      <c r="I71" s="49"/>
      <c r="J71" s="49"/>
      <c r="K71" s="156"/>
      <c r="L71" s="156"/>
      <c r="M71" s="156"/>
      <c r="N71" s="49"/>
    </row>
  </sheetData>
  <mergeCells count="9">
    <mergeCell ref="B63:B70"/>
    <mergeCell ref="B2:B9"/>
    <mergeCell ref="B10:B18"/>
    <mergeCell ref="B19:B26"/>
    <mergeCell ref="B27:B32"/>
    <mergeCell ref="B33:B38"/>
    <mergeCell ref="B39:B48"/>
    <mergeCell ref="B49:B55"/>
    <mergeCell ref="B56:B6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264A-F08D-45DF-8E24-15F32F065940}">
  <dimension ref="B1:O6"/>
  <sheetViews>
    <sheetView workbookViewId="0">
      <selection activeCell="M7" sqref="M7"/>
    </sheetView>
  </sheetViews>
  <sheetFormatPr defaultColWidth="8.7109375" defaultRowHeight="15"/>
  <cols>
    <col min="2" max="2" width="15.28515625" style="52" customWidth="1"/>
    <col min="3" max="3" width="29.140625" style="324" customWidth="1"/>
    <col min="4" max="8" width="9.140625" style="52"/>
    <col min="9" max="10" width="9.140625" style="37"/>
    <col min="11" max="11" width="12.85546875" style="52" customWidth="1"/>
    <col min="12" max="12" width="14.7109375" style="52" customWidth="1"/>
    <col min="13" max="13" width="14.5703125" style="52" customWidth="1"/>
    <col min="14" max="14" width="19.28515625" style="37" customWidth="1"/>
  </cols>
  <sheetData>
    <row r="1" spans="2:15" ht="47.25">
      <c r="B1" s="611" t="s">
        <v>2</v>
      </c>
      <c r="C1" s="611" t="s">
        <v>3</v>
      </c>
      <c r="D1" s="372" t="s">
        <v>4</v>
      </c>
      <c r="E1" s="372" t="s">
        <v>5</v>
      </c>
      <c r="F1" s="372" t="s">
        <v>6</v>
      </c>
      <c r="G1" s="372" t="s">
        <v>7</v>
      </c>
      <c r="H1" s="372" t="s">
        <v>8</v>
      </c>
      <c r="I1" s="372"/>
      <c r="J1" s="372" t="s">
        <v>9</v>
      </c>
      <c r="K1" s="372" t="s">
        <v>10</v>
      </c>
      <c r="L1" s="372" t="s">
        <v>11</v>
      </c>
      <c r="M1" s="372" t="s">
        <v>12</v>
      </c>
      <c r="N1" s="373" t="s">
        <v>13</v>
      </c>
    </row>
    <row r="2" spans="2:15" ht="21.75" customHeight="1">
      <c r="B2" s="850" t="s">
        <v>537</v>
      </c>
      <c r="C2" s="596" t="s">
        <v>538</v>
      </c>
      <c r="D2" s="352"/>
      <c r="E2" s="352" t="s">
        <v>16</v>
      </c>
      <c r="F2" s="352"/>
      <c r="G2" s="352"/>
      <c r="H2" s="352"/>
      <c r="I2" s="570"/>
      <c r="J2" s="570"/>
      <c r="K2" s="353">
        <f>$N2*1</f>
        <v>1</v>
      </c>
      <c r="L2" s="598"/>
      <c r="M2" s="598"/>
      <c r="N2" s="37">
        <v>1</v>
      </c>
      <c r="O2" t="s">
        <v>539</v>
      </c>
    </row>
    <row r="3" spans="2:15" ht="23.25" customHeight="1">
      <c r="B3" s="850"/>
      <c r="C3" s="597" t="s">
        <v>17</v>
      </c>
      <c r="D3" s="352"/>
      <c r="E3" s="352" t="s">
        <v>16</v>
      </c>
      <c r="F3" s="352"/>
      <c r="G3" s="352"/>
      <c r="H3" s="352"/>
      <c r="I3" s="570"/>
      <c r="J3" s="570"/>
      <c r="K3" s="353">
        <f>1*N2</f>
        <v>1</v>
      </c>
      <c r="L3" s="598"/>
      <c r="M3" s="598"/>
    </row>
    <row r="4" spans="2:15" ht="46.5" customHeight="1">
      <c r="B4" s="850"/>
      <c r="C4" s="597" t="s">
        <v>540</v>
      </c>
      <c r="D4" s="352"/>
      <c r="E4" s="352" t="s">
        <v>16</v>
      </c>
      <c r="F4" s="352"/>
      <c r="G4" s="352"/>
      <c r="H4" s="352"/>
      <c r="I4" s="570"/>
      <c r="J4" s="570"/>
      <c r="K4" s="353">
        <f>2*N2</f>
        <v>2</v>
      </c>
      <c r="L4" s="598"/>
      <c r="M4" s="598"/>
    </row>
    <row r="5" spans="2:15" ht="35.25" customHeight="1">
      <c r="B5" s="850"/>
      <c r="C5" s="597" t="s">
        <v>19</v>
      </c>
      <c r="D5" s="352"/>
      <c r="E5" s="352" t="s">
        <v>16</v>
      </c>
      <c r="F5" s="352"/>
      <c r="G5" s="352"/>
      <c r="H5" s="352"/>
      <c r="I5" s="570"/>
      <c r="J5" s="570"/>
      <c r="K5" s="353">
        <f>1*N2</f>
        <v>1</v>
      </c>
      <c r="L5" s="598"/>
      <c r="M5" s="598"/>
    </row>
    <row r="6" spans="2:15">
      <c r="B6" s="850"/>
      <c r="C6" s="596" t="s">
        <v>84</v>
      </c>
      <c r="D6" s="352"/>
      <c r="E6" s="352" t="s">
        <v>16</v>
      </c>
      <c r="F6" s="352"/>
      <c r="G6" s="352"/>
      <c r="H6" s="352"/>
      <c r="I6" s="570"/>
      <c r="J6" s="570"/>
      <c r="K6" s="353"/>
      <c r="L6" s="598"/>
      <c r="M6" s="598">
        <f>2*N2</f>
        <v>2</v>
      </c>
    </row>
  </sheetData>
  <mergeCells count="1">
    <mergeCell ref="B2:B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B2BF-FA06-446D-8381-FB335620B97C}">
  <dimension ref="B1:N110"/>
  <sheetViews>
    <sheetView topLeftCell="A13" workbookViewId="0">
      <selection activeCell="C15" sqref="C15"/>
    </sheetView>
  </sheetViews>
  <sheetFormatPr defaultColWidth="20.5703125" defaultRowHeight="15"/>
  <cols>
    <col min="1" max="1" width="8.28515625" style="390" customWidth="1"/>
    <col min="2" max="2" width="15.42578125" style="324" customWidth="1"/>
    <col min="3" max="3" width="34.7109375" style="487" customWidth="1"/>
    <col min="4" max="4" width="8.85546875" style="480" customWidth="1"/>
    <col min="5" max="5" width="8.42578125" style="480" customWidth="1"/>
    <col min="6" max="6" width="8.85546875" style="480" customWidth="1"/>
    <col min="7" max="7" width="9.5703125" style="480" customWidth="1"/>
    <col min="8" max="8" width="7.140625" style="480" customWidth="1"/>
    <col min="9" max="9" width="8.140625" style="407" customWidth="1"/>
    <col min="10" max="10" width="11.140625" style="407" customWidth="1"/>
    <col min="11" max="13" width="20.5703125" style="324"/>
    <col min="14" max="14" width="20.5703125" style="406"/>
    <col min="15" max="16384" width="20.5703125" style="390"/>
  </cols>
  <sheetData>
    <row r="1" spans="2:14" ht="31.5"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/>
      <c r="J1" s="12" t="s">
        <v>9</v>
      </c>
      <c r="K1" s="12" t="s">
        <v>10</v>
      </c>
      <c r="L1" s="12" t="s">
        <v>11</v>
      </c>
      <c r="M1" s="12" t="s">
        <v>12</v>
      </c>
      <c r="N1" s="412" t="s">
        <v>13</v>
      </c>
    </row>
    <row r="2" spans="2:14">
      <c r="B2" s="852" t="s">
        <v>541</v>
      </c>
      <c r="C2" s="481" t="s">
        <v>106</v>
      </c>
      <c r="D2" s="488" t="s">
        <v>16</v>
      </c>
      <c r="E2" s="488"/>
      <c r="F2" s="488" t="s">
        <v>16</v>
      </c>
      <c r="G2" s="488"/>
      <c r="H2" s="488"/>
      <c r="I2" s="408"/>
      <c r="J2" s="408"/>
      <c r="K2" s="331"/>
      <c r="L2" s="331">
        <v>2</v>
      </c>
      <c r="M2" s="331">
        <v>6</v>
      </c>
      <c r="N2" s="409"/>
    </row>
    <row r="3" spans="2:14" ht="25.5">
      <c r="B3" s="853"/>
      <c r="C3" s="482" t="s">
        <v>108</v>
      </c>
      <c r="D3" s="489"/>
      <c r="E3" s="489"/>
      <c r="F3" s="489" t="s">
        <v>16</v>
      </c>
      <c r="G3" s="489"/>
      <c r="H3" s="489"/>
      <c r="I3" s="405"/>
      <c r="J3" s="405"/>
      <c r="K3" s="323"/>
      <c r="L3" s="323">
        <v>2</v>
      </c>
      <c r="M3" s="323"/>
      <c r="N3" s="410"/>
    </row>
    <row r="4" spans="2:14">
      <c r="B4" s="853"/>
      <c r="C4" s="482" t="s">
        <v>110</v>
      </c>
      <c r="D4" s="489"/>
      <c r="E4" s="489" t="s">
        <v>16</v>
      </c>
      <c r="F4" s="489"/>
      <c r="G4" s="489"/>
      <c r="H4" s="489"/>
      <c r="I4" s="405"/>
      <c r="J4" s="405"/>
      <c r="K4" s="323"/>
      <c r="L4" s="323">
        <v>10</v>
      </c>
      <c r="M4" s="323"/>
      <c r="N4" s="410"/>
    </row>
    <row r="5" spans="2:14" ht="25.5">
      <c r="B5" s="853"/>
      <c r="C5" s="482" t="s">
        <v>112</v>
      </c>
      <c r="D5" s="489"/>
      <c r="E5" s="489" t="s">
        <v>16</v>
      </c>
      <c r="F5" s="489"/>
      <c r="G5" s="489"/>
      <c r="H5" s="489"/>
      <c r="I5" s="405"/>
      <c r="J5" s="405"/>
      <c r="K5" s="323">
        <v>2</v>
      </c>
      <c r="L5" s="323"/>
      <c r="M5" s="323"/>
      <c r="N5" s="410"/>
    </row>
    <row r="6" spans="2:14" ht="25.5">
      <c r="B6" s="853"/>
      <c r="C6" s="482" t="s">
        <v>341</v>
      </c>
      <c r="D6" s="489"/>
      <c r="E6" s="489" t="s">
        <v>16</v>
      </c>
      <c r="F6" s="489"/>
      <c r="G6" s="489"/>
      <c r="H6" s="489"/>
      <c r="I6" s="405"/>
      <c r="J6" s="405"/>
      <c r="K6" s="323">
        <v>4</v>
      </c>
      <c r="L6" s="323"/>
      <c r="M6" s="323"/>
      <c r="N6" s="410"/>
    </row>
    <row r="7" spans="2:14" ht="25.5">
      <c r="B7" s="853"/>
      <c r="C7" s="482" t="s">
        <v>327</v>
      </c>
      <c r="D7" s="489"/>
      <c r="E7" s="489"/>
      <c r="F7" s="489" t="s">
        <v>16</v>
      </c>
      <c r="G7" s="489"/>
      <c r="H7" s="489"/>
      <c r="I7" s="405"/>
      <c r="J7" s="405"/>
      <c r="K7" s="323"/>
      <c r="L7" s="323">
        <v>16</v>
      </c>
      <c r="M7" s="323"/>
      <c r="N7" s="410"/>
    </row>
    <row r="8" spans="2:14" ht="25.5">
      <c r="B8" s="853"/>
      <c r="C8" s="482" t="s">
        <v>366</v>
      </c>
      <c r="D8" s="489"/>
      <c r="E8" s="489"/>
      <c r="F8" s="489" t="s">
        <v>16</v>
      </c>
      <c r="G8" s="489"/>
      <c r="H8" s="489"/>
      <c r="I8" s="405"/>
      <c r="J8" s="405"/>
      <c r="K8" s="323"/>
      <c r="L8" s="323"/>
      <c r="M8" s="323">
        <v>4</v>
      </c>
      <c r="N8" s="410"/>
    </row>
    <row r="9" spans="2:14">
      <c r="B9" s="853"/>
      <c r="C9" s="482" t="s">
        <v>367</v>
      </c>
      <c r="D9" s="489"/>
      <c r="E9" s="489"/>
      <c r="F9" s="489" t="s">
        <v>16</v>
      </c>
      <c r="G9" s="489"/>
      <c r="H9" s="489"/>
      <c r="I9" s="405"/>
      <c r="J9" s="405"/>
      <c r="K9" s="323"/>
      <c r="L9" s="323">
        <f t="shared" ref="L9:L10" si="0">K9*0.5</f>
        <v>0</v>
      </c>
      <c r="M9" s="323">
        <f t="shared" ref="M9:M10" si="1">K9*2</f>
        <v>0</v>
      </c>
      <c r="N9" s="410"/>
    </row>
    <row r="10" spans="2:14">
      <c r="B10" s="854"/>
      <c r="C10" s="483" t="s">
        <v>30</v>
      </c>
      <c r="D10" s="490"/>
      <c r="E10" s="490"/>
      <c r="F10" s="490"/>
      <c r="G10" s="490"/>
      <c r="H10" s="490"/>
      <c r="I10" s="413"/>
      <c r="J10" s="413"/>
      <c r="K10" s="345"/>
      <c r="L10" s="345">
        <f t="shared" si="0"/>
        <v>0</v>
      </c>
      <c r="M10" s="345">
        <f t="shared" si="1"/>
        <v>0</v>
      </c>
      <c r="N10" s="414"/>
    </row>
    <row r="11" spans="2:14" ht="25.5">
      <c r="B11" s="852" t="s">
        <v>542</v>
      </c>
      <c r="C11" s="354" t="s">
        <v>96</v>
      </c>
      <c r="D11" s="488" t="s">
        <v>16</v>
      </c>
      <c r="E11" s="488"/>
      <c r="F11" s="488" t="s">
        <v>16</v>
      </c>
      <c r="G11" s="488"/>
      <c r="H11" s="488"/>
      <c r="I11" s="408"/>
      <c r="J11" s="408"/>
      <c r="K11" s="331"/>
      <c r="L11" s="331">
        <v>2</v>
      </c>
      <c r="M11" s="331">
        <v>6</v>
      </c>
      <c r="N11" s="409"/>
    </row>
    <row r="12" spans="2:14" ht="25.5">
      <c r="B12" s="853"/>
      <c r="C12" s="80" t="s">
        <v>97</v>
      </c>
      <c r="D12" s="489"/>
      <c r="E12" s="489"/>
      <c r="F12" s="489" t="s">
        <v>16</v>
      </c>
      <c r="G12" s="489"/>
      <c r="H12" s="489"/>
      <c r="I12" s="405"/>
      <c r="J12" s="405"/>
      <c r="K12" s="323"/>
      <c r="L12" s="323">
        <v>2</v>
      </c>
      <c r="M12" s="323"/>
      <c r="N12" s="410"/>
    </row>
    <row r="13" spans="2:14" ht="25.5">
      <c r="B13" s="853"/>
      <c r="C13" s="80" t="s">
        <v>98</v>
      </c>
      <c r="D13" s="489"/>
      <c r="E13" s="489" t="s">
        <v>16</v>
      </c>
      <c r="F13" s="489"/>
      <c r="G13" s="489"/>
      <c r="H13" s="489"/>
      <c r="I13" s="405"/>
      <c r="J13" s="405"/>
      <c r="K13" s="323"/>
      <c r="L13" s="323">
        <v>10</v>
      </c>
      <c r="M13" s="323"/>
      <c r="N13" s="410"/>
    </row>
    <row r="14" spans="2:14" ht="25.5">
      <c r="B14" s="853"/>
      <c r="C14" s="80" t="s">
        <v>99</v>
      </c>
      <c r="D14" s="489"/>
      <c r="E14" s="489" t="s">
        <v>16</v>
      </c>
      <c r="F14" s="489"/>
      <c r="G14" s="489"/>
      <c r="H14" s="489"/>
      <c r="I14" s="405"/>
      <c r="J14" s="405"/>
      <c r="K14" s="323">
        <v>2</v>
      </c>
      <c r="L14" s="323"/>
      <c r="M14" s="323"/>
      <c r="N14" s="410"/>
    </row>
    <row r="15" spans="2:14" ht="25.5">
      <c r="B15" s="853"/>
      <c r="C15" s="80" t="s">
        <v>100</v>
      </c>
      <c r="D15" s="489"/>
      <c r="E15" s="489" t="s">
        <v>16</v>
      </c>
      <c r="F15" s="489"/>
      <c r="G15" s="489"/>
      <c r="H15" s="489"/>
      <c r="I15" s="405"/>
      <c r="J15" s="405"/>
      <c r="K15" s="323">
        <v>4</v>
      </c>
      <c r="L15" s="323"/>
      <c r="M15" s="323"/>
      <c r="N15" s="410"/>
    </row>
    <row r="16" spans="2:14" ht="25.5">
      <c r="B16" s="853"/>
      <c r="C16" s="80" t="s">
        <v>101</v>
      </c>
      <c r="D16" s="489"/>
      <c r="E16" s="489"/>
      <c r="F16" s="489" t="s">
        <v>16</v>
      </c>
      <c r="G16" s="489"/>
      <c r="H16" s="489"/>
      <c r="I16" s="405"/>
      <c r="J16" s="405"/>
      <c r="K16" s="323"/>
      <c r="L16" s="323">
        <v>16</v>
      </c>
      <c r="M16" s="323"/>
      <c r="N16" s="410"/>
    </row>
    <row r="17" spans="2:14" ht="25.5">
      <c r="B17" s="853"/>
      <c r="C17" s="80" t="s">
        <v>102</v>
      </c>
      <c r="D17" s="489"/>
      <c r="E17" s="489"/>
      <c r="F17" s="489" t="s">
        <v>16</v>
      </c>
      <c r="G17" s="489"/>
      <c r="H17" s="489"/>
      <c r="I17" s="405"/>
      <c r="J17" s="405"/>
      <c r="K17" s="323"/>
      <c r="L17" s="323"/>
      <c r="M17" s="323">
        <v>4</v>
      </c>
      <c r="N17" s="410"/>
    </row>
    <row r="18" spans="2:14" ht="25.5">
      <c r="B18" s="854"/>
      <c r="C18" s="484" t="s">
        <v>103</v>
      </c>
      <c r="D18" s="490"/>
      <c r="E18" s="490"/>
      <c r="F18" s="490" t="s">
        <v>16</v>
      </c>
      <c r="G18" s="490"/>
      <c r="H18" s="490"/>
      <c r="I18" s="413"/>
      <c r="J18" s="413"/>
      <c r="K18" s="345"/>
      <c r="L18" s="345">
        <f t="shared" ref="L18" si="2">K18*0.5</f>
        <v>0</v>
      </c>
      <c r="M18" s="345">
        <f t="shared" ref="M18" si="3">K18*2</f>
        <v>0</v>
      </c>
      <c r="N18" s="414"/>
    </row>
    <row r="19" spans="2:14" ht="25.5">
      <c r="B19" s="855" t="s">
        <v>543</v>
      </c>
      <c r="C19" s="416" t="s">
        <v>112</v>
      </c>
      <c r="D19" s="491"/>
      <c r="E19" s="491" t="s">
        <v>16</v>
      </c>
      <c r="F19" s="491"/>
      <c r="G19" s="491"/>
      <c r="H19" s="491"/>
      <c r="I19" s="417"/>
      <c r="J19" s="417"/>
      <c r="K19" s="418">
        <v>2</v>
      </c>
      <c r="L19" s="418">
        <f>K19*0.5</f>
        <v>1</v>
      </c>
      <c r="M19" s="418">
        <f>K19*2</f>
        <v>4</v>
      </c>
      <c r="N19" s="409"/>
    </row>
    <row r="20" spans="2:14" ht="25.5">
      <c r="B20" s="856"/>
      <c r="C20" s="182" t="s">
        <v>544</v>
      </c>
      <c r="D20" s="492"/>
      <c r="E20" s="492" t="s">
        <v>16</v>
      </c>
      <c r="F20" s="492"/>
      <c r="G20" s="492"/>
      <c r="H20" s="492"/>
      <c r="I20" s="309"/>
      <c r="J20" s="309"/>
      <c r="K20" s="188">
        <v>2</v>
      </c>
      <c r="L20" s="188">
        <f t="shared" ref="L20:L26" si="4">K20*0.5</f>
        <v>1</v>
      </c>
      <c r="M20" s="415">
        <f t="shared" ref="M20:M26" si="5">K20*2</f>
        <v>4</v>
      </c>
      <c r="N20" s="410"/>
    </row>
    <row r="21" spans="2:14">
      <c r="B21" s="856"/>
      <c r="C21" s="182" t="s">
        <v>545</v>
      </c>
      <c r="D21" s="492"/>
      <c r="E21" s="492" t="s">
        <v>16</v>
      </c>
      <c r="F21" s="492"/>
      <c r="G21" s="492"/>
      <c r="H21" s="492"/>
      <c r="I21" s="309"/>
      <c r="J21" s="309"/>
      <c r="K21" s="188">
        <v>1</v>
      </c>
      <c r="L21" s="188">
        <f t="shared" si="4"/>
        <v>0.5</v>
      </c>
      <c r="M21" s="415">
        <f t="shared" si="5"/>
        <v>2</v>
      </c>
      <c r="N21" s="410"/>
    </row>
    <row r="22" spans="2:14">
      <c r="B22" s="856"/>
      <c r="C22" s="341" t="s">
        <v>30</v>
      </c>
      <c r="D22" s="493"/>
      <c r="E22" s="493" t="s">
        <v>16</v>
      </c>
      <c r="F22" s="493"/>
      <c r="G22" s="493"/>
      <c r="H22" s="493"/>
      <c r="I22" s="388"/>
      <c r="J22" s="388"/>
      <c r="K22" s="419">
        <v>2</v>
      </c>
      <c r="L22" s="419">
        <f t="shared" si="4"/>
        <v>1</v>
      </c>
      <c r="M22" s="420">
        <f t="shared" si="5"/>
        <v>4</v>
      </c>
      <c r="N22" s="414"/>
    </row>
    <row r="23" spans="2:14" ht="25.5">
      <c r="B23" s="857" t="s">
        <v>546</v>
      </c>
      <c r="C23" s="485" t="s">
        <v>112</v>
      </c>
      <c r="D23" s="494"/>
      <c r="E23" s="494" t="s">
        <v>16</v>
      </c>
      <c r="F23" s="494"/>
      <c r="G23" s="494"/>
      <c r="H23" s="494"/>
      <c r="I23" s="310"/>
      <c r="J23" s="310"/>
      <c r="K23" s="401">
        <v>2</v>
      </c>
      <c r="L23" s="422">
        <f t="shared" si="4"/>
        <v>1</v>
      </c>
      <c r="M23" s="422">
        <f t="shared" si="5"/>
        <v>4</v>
      </c>
      <c r="N23" s="409"/>
    </row>
    <row r="24" spans="2:14" ht="25.5">
      <c r="B24" s="858"/>
      <c r="C24" s="486" t="s">
        <v>544</v>
      </c>
      <c r="D24" s="492"/>
      <c r="E24" s="492" t="s">
        <v>16</v>
      </c>
      <c r="F24" s="492"/>
      <c r="G24" s="492"/>
      <c r="H24" s="492"/>
      <c r="I24" s="309"/>
      <c r="J24" s="309"/>
      <c r="K24" s="291">
        <v>2</v>
      </c>
      <c r="L24" s="289">
        <f t="shared" si="4"/>
        <v>1</v>
      </c>
      <c r="M24" s="289">
        <f t="shared" si="5"/>
        <v>4</v>
      </c>
      <c r="N24" s="421"/>
    </row>
    <row r="25" spans="2:14">
      <c r="B25" s="858"/>
      <c r="C25" s="486" t="s">
        <v>547</v>
      </c>
      <c r="D25" s="492"/>
      <c r="E25" s="492" t="s">
        <v>16</v>
      </c>
      <c r="F25" s="492"/>
      <c r="G25" s="492"/>
      <c r="H25" s="492"/>
      <c r="I25" s="309"/>
      <c r="J25" s="309"/>
      <c r="K25" s="291">
        <v>1.5</v>
      </c>
      <c r="L25" s="289">
        <f t="shared" si="4"/>
        <v>0.75</v>
      </c>
      <c r="M25" s="289">
        <f t="shared" si="5"/>
        <v>3</v>
      </c>
      <c r="N25" s="421"/>
    </row>
    <row r="26" spans="2:14">
      <c r="B26" s="858"/>
      <c r="C26" s="513" t="s">
        <v>30</v>
      </c>
      <c r="D26" s="493"/>
      <c r="E26" s="493" t="s">
        <v>16</v>
      </c>
      <c r="F26" s="493"/>
      <c r="G26" s="493"/>
      <c r="H26" s="493"/>
      <c r="I26" s="388"/>
      <c r="J26" s="388"/>
      <c r="K26" s="419">
        <v>2</v>
      </c>
      <c r="L26" s="514">
        <f t="shared" si="4"/>
        <v>1</v>
      </c>
      <c r="M26" s="514">
        <f t="shared" si="5"/>
        <v>4</v>
      </c>
      <c r="N26" s="414"/>
    </row>
    <row r="27" spans="2:14" ht="34.5" customHeight="1">
      <c r="B27" s="738" t="s">
        <v>548</v>
      </c>
      <c r="C27" s="504" t="s">
        <v>106</v>
      </c>
      <c r="D27" s="509" t="s">
        <v>16</v>
      </c>
      <c r="E27" s="509" t="s">
        <v>16</v>
      </c>
      <c r="F27" s="509"/>
      <c r="G27" s="509"/>
      <c r="H27" s="509"/>
      <c r="I27" s="510"/>
      <c r="J27" s="510"/>
      <c r="K27" s="332">
        <v>1</v>
      </c>
      <c r="L27" s="332"/>
      <c r="M27" s="332"/>
      <c r="N27" s="409"/>
    </row>
    <row r="28" spans="2:14" ht="30">
      <c r="B28" s="739"/>
      <c r="C28" s="487" t="s">
        <v>108</v>
      </c>
      <c r="E28" s="480" t="s">
        <v>16</v>
      </c>
      <c r="K28" s="324">
        <v>1</v>
      </c>
      <c r="N28" s="410"/>
    </row>
    <row r="29" spans="2:14" ht="30">
      <c r="B29" s="739"/>
      <c r="C29" s="487" t="s">
        <v>110</v>
      </c>
      <c r="E29" s="480" t="s">
        <v>16</v>
      </c>
      <c r="K29" s="324">
        <v>1</v>
      </c>
      <c r="N29" s="410"/>
    </row>
    <row r="30" spans="2:14" ht="30">
      <c r="B30" s="739"/>
      <c r="C30" s="487" t="s">
        <v>112</v>
      </c>
      <c r="F30" s="480" t="s">
        <v>16</v>
      </c>
      <c r="K30" s="324">
        <v>2</v>
      </c>
      <c r="N30" s="410"/>
    </row>
    <row r="31" spans="2:14" ht="30">
      <c r="B31" s="739"/>
      <c r="C31" s="487" t="s">
        <v>341</v>
      </c>
      <c r="F31" s="480" t="s">
        <v>16</v>
      </c>
      <c r="K31" s="324">
        <v>1</v>
      </c>
      <c r="N31" s="410"/>
    </row>
    <row r="32" spans="2:14" ht="30">
      <c r="B32" s="739"/>
      <c r="C32" s="487" t="s">
        <v>327</v>
      </c>
      <c r="F32" s="480" t="s">
        <v>16</v>
      </c>
      <c r="K32" s="324">
        <v>1</v>
      </c>
      <c r="N32" s="410"/>
    </row>
    <row r="33" spans="2:14">
      <c r="B33" s="739"/>
      <c r="C33" s="515" t="s">
        <v>549</v>
      </c>
      <c r="D33" s="516"/>
      <c r="E33" s="516" t="s">
        <v>16</v>
      </c>
      <c r="F33" s="516"/>
      <c r="G33" s="516"/>
      <c r="H33" s="516"/>
      <c r="I33" s="517"/>
      <c r="J33" s="517"/>
      <c r="K33" s="346">
        <v>2</v>
      </c>
      <c r="L33" s="346"/>
      <c r="M33" s="346"/>
      <c r="N33" s="414"/>
    </row>
    <row r="34" spans="2:14" ht="30" customHeight="1">
      <c r="B34" s="738" t="s">
        <v>509</v>
      </c>
      <c r="C34" s="504" t="s">
        <v>106</v>
      </c>
      <c r="D34" s="509" t="s">
        <v>16</v>
      </c>
      <c r="E34" s="509" t="s">
        <v>16</v>
      </c>
      <c r="F34" s="509"/>
      <c r="G34" s="509"/>
      <c r="H34" s="509"/>
      <c r="I34" s="510"/>
      <c r="J34" s="510"/>
      <c r="K34" s="332">
        <v>2</v>
      </c>
      <c r="L34" s="332"/>
      <c r="M34" s="332"/>
      <c r="N34" s="409"/>
    </row>
    <row r="35" spans="2:14" ht="30">
      <c r="B35" s="739"/>
      <c r="C35" s="487" t="s">
        <v>108</v>
      </c>
      <c r="E35" s="480" t="s">
        <v>16</v>
      </c>
      <c r="K35" s="324">
        <v>1</v>
      </c>
      <c r="N35" s="410"/>
    </row>
    <row r="36" spans="2:14">
      <c r="B36" s="739"/>
      <c r="C36" s="487" t="s">
        <v>492</v>
      </c>
      <c r="E36" s="480" t="s">
        <v>16</v>
      </c>
      <c r="K36" s="324">
        <v>1</v>
      </c>
      <c r="N36" s="410"/>
    </row>
    <row r="37" spans="2:14" ht="30">
      <c r="B37" s="739"/>
      <c r="C37" s="487" t="s">
        <v>493</v>
      </c>
      <c r="F37" s="480" t="s">
        <v>16</v>
      </c>
      <c r="K37" s="324">
        <v>1</v>
      </c>
      <c r="N37" s="410"/>
    </row>
    <row r="38" spans="2:14" ht="30">
      <c r="B38" s="739"/>
      <c r="C38" s="487" t="s">
        <v>341</v>
      </c>
      <c r="F38" s="480" t="s">
        <v>16</v>
      </c>
      <c r="K38" s="324">
        <v>1</v>
      </c>
      <c r="N38" s="410"/>
    </row>
    <row r="39" spans="2:14" ht="30">
      <c r="B39" s="739"/>
      <c r="C39" s="487" t="s">
        <v>343</v>
      </c>
      <c r="F39" s="480" t="s">
        <v>16</v>
      </c>
      <c r="K39" s="324">
        <v>2</v>
      </c>
      <c r="N39" s="410"/>
    </row>
    <row r="40" spans="2:14">
      <c r="B40" s="739"/>
      <c r="C40" s="487" t="s">
        <v>494</v>
      </c>
      <c r="F40" s="480" t="s">
        <v>16</v>
      </c>
      <c r="K40" s="324">
        <v>2</v>
      </c>
      <c r="N40" s="410"/>
    </row>
    <row r="41" spans="2:14">
      <c r="B41" s="739"/>
      <c r="C41" s="487" t="s">
        <v>30</v>
      </c>
      <c r="F41" s="480" t="s">
        <v>16</v>
      </c>
      <c r="K41" s="324">
        <v>1</v>
      </c>
      <c r="N41" s="410"/>
    </row>
    <row r="42" spans="2:14" ht="30">
      <c r="B42" s="739"/>
      <c r="C42" s="515" t="s">
        <v>510</v>
      </c>
      <c r="D42" s="516"/>
      <c r="E42" s="516"/>
      <c r="F42" s="516" t="s">
        <v>16</v>
      </c>
      <c r="G42" s="516"/>
      <c r="H42" s="516"/>
      <c r="I42" s="517"/>
      <c r="J42" s="517"/>
      <c r="K42" s="346">
        <v>32</v>
      </c>
      <c r="L42" s="346"/>
      <c r="M42" s="346"/>
      <c r="N42" s="414"/>
    </row>
    <row r="43" spans="2:14" ht="43.5" customHeight="1">
      <c r="B43" s="738" t="s">
        <v>511</v>
      </c>
      <c r="C43" s="504" t="s">
        <v>106</v>
      </c>
      <c r="D43" s="509" t="s">
        <v>16</v>
      </c>
      <c r="E43" s="509" t="s">
        <v>16</v>
      </c>
      <c r="F43" s="509"/>
      <c r="G43" s="509"/>
      <c r="H43" s="509"/>
      <c r="I43" s="510"/>
      <c r="J43" s="510"/>
      <c r="K43" s="332">
        <v>2</v>
      </c>
      <c r="L43" s="332"/>
      <c r="M43" s="332"/>
      <c r="N43" s="409"/>
    </row>
    <row r="44" spans="2:14" ht="30">
      <c r="B44" s="739"/>
      <c r="C44" s="487" t="s">
        <v>108</v>
      </c>
      <c r="E44" s="480" t="s">
        <v>16</v>
      </c>
      <c r="K44" s="324">
        <v>1</v>
      </c>
      <c r="N44" s="410"/>
    </row>
    <row r="45" spans="2:14">
      <c r="B45" s="739"/>
      <c r="C45" s="487" t="s">
        <v>492</v>
      </c>
      <c r="E45" s="480" t="s">
        <v>16</v>
      </c>
      <c r="K45" s="324">
        <v>1</v>
      </c>
      <c r="N45" s="410"/>
    </row>
    <row r="46" spans="2:14" ht="30">
      <c r="B46" s="739"/>
      <c r="C46" s="487" t="s">
        <v>493</v>
      </c>
      <c r="F46" s="480" t="s">
        <v>16</v>
      </c>
      <c r="K46" s="324">
        <v>1</v>
      </c>
      <c r="N46" s="410"/>
    </row>
    <row r="47" spans="2:14" ht="30">
      <c r="B47" s="739"/>
      <c r="C47" s="487" t="s">
        <v>341</v>
      </c>
      <c r="F47" s="480" t="s">
        <v>16</v>
      </c>
      <c r="K47" s="324">
        <v>1</v>
      </c>
      <c r="N47" s="410"/>
    </row>
    <row r="48" spans="2:14" ht="30">
      <c r="B48" s="739"/>
      <c r="C48" s="487" t="s">
        <v>343</v>
      </c>
      <c r="F48" s="480" t="s">
        <v>16</v>
      </c>
      <c r="K48" s="324">
        <v>2</v>
      </c>
      <c r="N48" s="410"/>
    </row>
    <row r="49" spans="2:14">
      <c r="B49" s="739"/>
      <c r="C49" s="487" t="s">
        <v>494</v>
      </c>
      <c r="F49" s="480" t="s">
        <v>16</v>
      </c>
      <c r="K49" s="324">
        <v>2</v>
      </c>
      <c r="N49" s="410"/>
    </row>
    <row r="50" spans="2:14">
      <c r="B50" s="739"/>
      <c r="C50" s="515" t="s">
        <v>30</v>
      </c>
      <c r="D50" s="516"/>
      <c r="E50" s="516"/>
      <c r="F50" s="516" t="s">
        <v>16</v>
      </c>
      <c r="G50" s="516"/>
      <c r="H50" s="516"/>
      <c r="I50" s="517"/>
      <c r="J50" s="517"/>
      <c r="K50" s="346">
        <v>1</v>
      </c>
      <c r="L50" s="346"/>
      <c r="M50" s="346"/>
      <c r="N50" s="414"/>
    </row>
    <row r="51" spans="2:14" ht="29.25" customHeight="1">
      <c r="B51" s="738" t="s">
        <v>520</v>
      </c>
      <c r="C51" s="504" t="s">
        <v>106</v>
      </c>
      <c r="D51" s="509" t="s">
        <v>16</v>
      </c>
      <c r="E51" s="509" t="s">
        <v>16</v>
      </c>
      <c r="F51" s="509"/>
      <c r="G51" s="509"/>
      <c r="H51" s="509"/>
      <c r="I51" s="510"/>
      <c r="J51" s="510"/>
      <c r="K51" s="332">
        <v>1</v>
      </c>
      <c r="L51" s="332"/>
      <c r="M51" s="332"/>
      <c r="N51" s="409"/>
    </row>
    <row r="52" spans="2:14" ht="30">
      <c r="B52" s="739"/>
      <c r="C52" s="487" t="s">
        <v>108</v>
      </c>
      <c r="E52" s="480" t="s">
        <v>16</v>
      </c>
      <c r="K52" s="324">
        <v>1</v>
      </c>
      <c r="N52" s="410"/>
    </row>
    <row r="53" spans="2:14">
      <c r="B53" s="739"/>
      <c r="C53" s="487" t="s">
        <v>492</v>
      </c>
      <c r="E53" s="480" t="s">
        <v>16</v>
      </c>
      <c r="K53" s="324">
        <v>1</v>
      </c>
      <c r="N53" s="410"/>
    </row>
    <row r="54" spans="2:14" ht="30">
      <c r="B54" s="739"/>
      <c r="C54" s="487" t="s">
        <v>493</v>
      </c>
      <c r="E54" s="480" t="s">
        <v>16</v>
      </c>
      <c r="K54" s="324">
        <v>1</v>
      </c>
      <c r="N54" s="410"/>
    </row>
    <row r="55" spans="2:14" ht="30">
      <c r="B55" s="739"/>
      <c r="C55" s="487" t="s">
        <v>341</v>
      </c>
      <c r="E55" s="480" t="s">
        <v>16</v>
      </c>
      <c r="K55" s="324">
        <v>1</v>
      </c>
      <c r="M55" s="324">
        <v>4</v>
      </c>
      <c r="N55" s="410"/>
    </row>
    <row r="56" spans="2:14" ht="30">
      <c r="B56" s="739"/>
      <c r="C56" s="487" t="s">
        <v>343</v>
      </c>
      <c r="F56" s="480" t="s">
        <v>16</v>
      </c>
      <c r="K56" s="324">
        <v>2</v>
      </c>
      <c r="N56" s="410"/>
    </row>
    <row r="57" spans="2:14">
      <c r="B57" s="739"/>
      <c r="C57" s="487" t="s">
        <v>521</v>
      </c>
      <c r="F57" s="480" t="s">
        <v>16</v>
      </c>
      <c r="K57" s="324">
        <v>2</v>
      </c>
      <c r="N57" s="410"/>
    </row>
    <row r="58" spans="2:14">
      <c r="B58" s="739"/>
      <c r="C58" s="487" t="s">
        <v>522</v>
      </c>
      <c r="F58" s="480" t="s">
        <v>16</v>
      </c>
      <c r="K58" s="324">
        <v>2</v>
      </c>
      <c r="N58" s="410"/>
    </row>
    <row r="59" spans="2:14" ht="30">
      <c r="B59" s="739"/>
      <c r="C59" s="487" t="s">
        <v>523</v>
      </c>
      <c r="F59" s="480" t="s">
        <v>16</v>
      </c>
      <c r="K59" s="324">
        <v>1</v>
      </c>
      <c r="N59" s="410"/>
    </row>
    <row r="60" spans="2:14">
      <c r="B60" s="739"/>
      <c r="C60" s="515" t="s">
        <v>30</v>
      </c>
      <c r="D60" s="516"/>
      <c r="E60" s="516"/>
      <c r="F60" s="516" t="s">
        <v>16</v>
      </c>
      <c r="G60" s="516"/>
      <c r="H60" s="516"/>
      <c r="I60" s="517"/>
      <c r="J60" s="517"/>
      <c r="K60" s="346">
        <v>2</v>
      </c>
      <c r="L60" s="346"/>
      <c r="M60" s="346"/>
      <c r="N60" s="414"/>
    </row>
    <row r="61" spans="2:14" ht="43.5" customHeight="1">
      <c r="B61" s="738" t="s">
        <v>278</v>
      </c>
      <c r="C61" s="504" t="s">
        <v>96</v>
      </c>
      <c r="D61" s="509" t="s">
        <v>23</v>
      </c>
      <c r="E61" s="509" t="s">
        <v>16</v>
      </c>
      <c r="F61" s="509"/>
      <c r="G61" s="509"/>
      <c r="H61" s="509"/>
      <c r="I61" s="510"/>
      <c r="J61" s="510"/>
      <c r="K61" s="332">
        <v>9</v>
      </c>
      <c r="L61" s="332"/>
      <c r="M61" s="332"/>
      <c r="N61" s="409"/>
    </row>
    <row r="62" spans="2:14" ht="45">
      <c r="B62" s="739"/>
      <c r="C62" s="487" t="s">
        <v>279</v>
      </c>
      <c r="E62" s="480" t="s">
        <v>16</v>
      </c>
      <c r="K62" s="324">
        <v>0.5</v>
      </c>
      <c r="N62" s="410"/>
    </row>
    <row r="63" spans="2:14" ht="45">
      <c r="B63" s="739"/>
      <c r="C63" s="487" t="s">
        <v>280</v>
      </c>
      <c r="E63" s="480" t="s">
        <v>16</v>
      </c>
      <c r="K63" s="324">
        <v>0.5</v>
      </c>
      <c r="N63" s="410"/>
    </row>
    <row r="64" spans="2:14" ht="30">
      <c r="B64" s="739"/>
      <c r="C64" s="487" t="s">
        <v>281</v>
      </c>
      <c r="E64" s="480" t="s">
        <v>16</v>
      </c>
      <c r="K64" s="324">
        <v>4</v>
      </c>
      <c r="N64" s="410"/>
    </row>
    <row r="65" spans="2:14" ht="30">
      <c r="B65" s="739"/>
      <c r="C65" s="487" t="s">
        <v>282</v>
      </c>
      <c r="E65" s="480" t="s">
        <v>16</v>
      </c>
      <c r="K65" s="324">
        <v>2</v>
      </c>
      <c r="N65" s="410"/>
    </row>
    <row r="66" spans="2:14">
      <c r="B66" s="739"/>
      <c r="C66" s="487" t="s">
        <v>283</v>
      </c>
      <c r="E66" s="480" t="s">
        <v>16</v>
      </c>
      <c r="K66" s="324">
        <v>1</v>
      </c>
      <c r="N66" s="410"/>
    </row>
    <row r="67" spans="2:14">
      <c r="B67" s="739"/>
      <c r="C67" s="487" t="s">
        <v>284</v>
      </c>
      <c r="E67" s="480" t="s">
        <v>16</v>
      </c>
      <c r="K67" s="324">
        <v>0.5</v>
      </c>
      <c r="N67" s="410"/>
    </row>
    <row r="68" spans="2:14">
      <c r="B68" s="739"/>
      <c r="C68" s="487" t="s">
        <v>285</v>
      </c>
      <c r="E68" s="480" t="s">
        <v>16</v>
      </c>
      <c r="K68" s="324">
        <v>0.5</v>
      </c>
      <c r="N68" s="410"/>
    </row>
    <row r="69" spans="2:14" ht="30">
      <c r="B69" s="739"/>
      <c r="C69" s="487" t="s">
        <v>286</v>
      </c>
      <c r="E69" s="480" t="s">
        <v>16</v>
      </c>
      <c r="K69" s="324">
        <v>8</v>
      </c>
      <c r="N69" s="410"/>
    </row>
    <row r="70" spans="2:14">
      <c r="B70" s="739"/>
      <c r="C70" s="487" t="s">
        <v>287</v>
      </c>
      <c r="N70" s="410"/>
    </row>
    <row r="71" spans="2:14">
      <c r="B71" s="739"/>
      <c r="C71" s="487" t="s">
        <v>288</v>
      </c>
      <c r="N71" s="410"/>
    </row>
    <row r="72" spans="2:14">
      <c r="B72" s="739"/>
      <c r="C72" s="487" t="s">
        <v>260</v>
      </c>
      <c r="E72" s="480" t="s">
        <v>16</v>
      </c>
      <c r="K72" s="324">
        <v>3</v>
      </c>
      <c r="N72" s="410"/>
    </row>
    <row r="73" spans="2:14">
      <c r="B73" s="739"/>
      <c r="C73" s="487" t="s">
        <v>289</v>
      </c>
      <c r="E73" s="480" t="s">
        <v>16</v>
      </c>
      <c r="K73" s="324">
        <v>4</v>
      </c>
      <c r="N73" s="410"/>
    </row>
    <row r="74" spans="2:14">
      <c r="B74" s="739"/>
      <c r="C74" s="487" t="s">
        <v>264</v>
      </c>
      <c r="E74" s="480" t="s">
        <v>16</v>
      </c>
      <c r="K74" s="324">
        <v>8</v>
      </c>
      <c r="N74" s="410"/>
    </row>
    <row r="75" spans="2:14" ht="30">
      <c r="B75" s="739"/>
      <c r="C75" s="487" t="s">
        <v>290</v>
      </c>
      <c r="E75" s="480" t="s">
        <v>16</v>
      </c>
      <c r="K75" s="324">
        <v>8</v>
      </c>
      <c r="N75" s="410"/>
    </row>
    <row r="76" spans="2:14">
      <c r="B76" s="739"/>
      <c r="C76" s="487" t="s">
        <v>291</v>
      </c>
      <c r="E76" s="480" t="s">
        <v>16</v>
      </c>
      <c r="K76" s="324">
        <v>4</v>
      </c>
      <c r="N76" s="410"/>
    </row>
    <row r="77" spans="2:14" ht="30">
      <c r="B77" s="739"/>
      <c r="C77" s="487" t="s">
        <v>292</v>
      </c>
      <c r="E77" s="480" t="s">
        <v>16</v>
      </c>
      <c r="K77" s="324">
        <v>4</v>
      </c>
      <c r="N77" s="410"/>
    </row>
    <row r="78" spans="2:14">
      <c r="B78" s="739"/>
      <c r="C78" s="487" t="s">
        <v>293</v>
      </c>
      <c r="N78" s="410"/>
    </row>
    <row r="79" spans="2:14" ht="30">
      <c r="B79" s="739"/>
      <c r="C79" s="487" t="s">
        <v>294</v>
      </c>
      <c r="E79" s="480" t="s">
        <v>16</v>
      </c>
      <c r="K79" s="324">
        <v>2</v>
      </c>
      <c r="N79" s="410"/>
    </row>
    <row r="80" spans="2:14">
      <c r="B80" s="739"/>
      <c r="C80" s="487" t="s">
        <v>295</v>
      </c>
      <c r="N80" s="410"/>
    </row>
    <row r="81" spans="2:14" ht="30">
      <c r="B81" s="739"/>
      <c r="C81" s="487" t="s">
        <v>296</v>
      </c>
      <c r="N81" s="410"/>
    </row>
    <row r="82" spans="2:14" ht="30">
      <c r="B82" s="739"/>
      <c r="C82" s="487" t="s">
        <v>268</v>
      </c>
      <c r="E82" s="480" t="s">
        <v>16</v>
      </c>
      <c r="K82" s="324">
        <v>2</v>
      </c>
      <c r="N82" s="410"/>
    </row>
    <row r="83" spans="2:14">
      <c r="B83" s="739"/>
      <c r="C83" s="487" t="s">
        <v>297</v>
      </c>
      <c r="N83" s="410"/>
    </row>
    <row r="84" spans="2:14">
      <c r="B84" s="739"/>
      <c r="C84" s="515" t="s">
        <v>298</v>
      </c>
      <c r="D84" s="516"/>
      <c r="E84" s="516" t="s">
        <v>16</v>
      </c>
      <c r="F84" s="516"/>
      <c r="G84" s="516"/>
      <c r="H84" s="516"/>
      <c r="I84" s="517"/>
      <c r="J84" s="517"/>
      <c r="K84" s="346">
        <v>4</v>
      </c>
      <c r="L84" s="346"/>
      <c r="M84" s="346"/>
      <c r="N84" s="414"/>
    </row>
    <row r="85" spans="2:14">
      <c r="B85" s="738" t="s">
        <v>299</v>
      </c>
      <c r="C85" s="504" t="s">
        <v>106</v>
      </c>
      <c r="D85" s="509" t="s">
        <v>16</v>
      </c>
      <c r="E85" s="509" t="s">
        <v>16</v>
      </c>
      <c r="F85" s="509"/>
      <c r="G85" s="509"/>
      <c r="H85" s="509"/>
      <c r="I85" s="510"/>
      <c r="J85" s="510"/>
      <c r="K85" s="332">
        <v>5</v>
      </c>
      <c r="L85" s="332"/>
      <c r="M85" s="332"/>
      <c r="N85" s="409"/>
    </row>
    <row r="86" spans="2:14" ht="30">
      <c r="B86" s="739"/>
      <c r="C86" s="487" t="s">
        <v>108</v>
      </c>
      <c r="E86" s="480" t="s">
        <v>16</v>
      </c>
      <c r="K86" s="324">
        <v>3</v>
      </c>
      <c r="N86" s="410"/>
    </row>
    <row r="87" spans="2:14" ht="30">
      <c r="B87" s="739"/>
      <c r="C87" s="487" t="s">
        <v>300</v>
      </c>
      <c r="E87" s="480" t="s">
        <v>16</v>
      </c>
      <c r="K87" s="324">
        <v>10</v>
      </c>
      <c r="N87" s="410"/>
    </row>
    <row r="88" spans="2:14" ht="30">
      <c r="B88" s="739"/>
      <c r="C88" s="487" t="s">
        <v>112</v>
      </c>
      <c r="E88" s="480" t="s">
        <v>16</v>
      </c>
      <c r="K88" s="324">
        <v>3</v>
      </c>
      <c r="N88" s="410"/>
    </row>
    <row r="89" spans="2:14" ht="30">
      <c r="B89" s="739"/>
      <c r="C89" s="487" t="s">
        <v>114</v>
      </c>
      <c r="E89" s="480" t="s">
        <v>16</v>
      </c>
      <c r="K89" s="324">
        <v>8</v>
      </c>
      <c r="N89" s="410"/>
    </row>
    <row r="90" spans="2:14">
      <c r="B90" s="739"/>
      <c r="C90" s="487" t="s">
        <v>301</v>
      </c>
      <c r="E90" s="480" t="s">
        <v>16</v>
      </c>
      <c r="K90" s="324">
        <v>8</v>
      </c>
      <c r="N90" s="410"/>
    </row>
    <row r="91" spans="2:14">
      <c r="B91" s="739"/>
      <c r="C91" s="487" t="s">
        <v>550</v>
      </c>
      <c r="E91" s="480" t="s">
        <v>16</v>
      </c>
      <c r="K91" s="324">
        <v>5</v>
      </c>
      <c r="N91" s="410"/>
    </row>
    <row r="92" spans="2:14">
      <c r="B92" s="739"/>
      <c r="C92" s="487" t="s">
        <v>303</v>
      </c>
      <c r="E92" s="480" t="s">
        <v>16</v>
      </c>
      <c r="K92" s="324">
        <v>4</v>
      </c>
      <c r="N92" s="410"/>
    </row>
    <row r="93" spans="2:14">
      <c r="B93" s="740"/>
      <c r="C93" s="506" t="s">
        <v>30</v>
      </c>
      <c r="D93" s="511"/>
      <c r="E93" s="511" t="s">
        <v>16</v>
      </c>
      <c r="F93" s="511"/>
      <c r="G93" s="511"/>
      <c r="H93" s="511"/>
      <c r="I93" s="512"/>
      <c r="J93" s="512"/>
      <c r="K93" s="335">
        <v>2</v>
      </c>
      <c r="L93" s="335"/>
      <c r="M93" s="335"/>
      <c r="N93" s="411"/>
    </row>
    <row r="94" spans="2:14">
      <c r="B94" s="735" t="s">
        <v>427</v>
      </c>
      <c r="C94" s="208" t="s">
        <v>106</v>
      </c>
      <c r="D94" s="228" t="s">
        <v>16</v>
      </c>
      <c r="E94" s="228" t="s">
        <v>16</v>
      </c>
      <c r="F94" s="228" t="s">
        <v>230</v>
      </c>
      <c r="G94" s="228" t="s">
        <v>230</v>
      </c>
      <c r="H94" s="228" t="s">
        <v>230</v>
      </c>
      <c r="I94" s="269" t="s">
        <v>230</v>
      </c>
      <c r="J94" s="270" t="s">
        <v>230</v>
      </c>
      <c r="K94" s="228">
        <v>1</v>
      </c>
      <c r="L94" s="228"/>
      <c r="M94" s="228"/>
      <c r="N94" s="201"/>
    </row>
    <row r="95" spans="2:14">
      <c r="B95" s="736"/>
      <c r="C95" s="192" t="s">
        <v>108</v>
      </c>
      <c r="D95" s="227" t="s">
        <v>230</v>
      </c>
      <c r="E95" s="227" t="s">
        <v>16</v>
      </c>
      <c r="F95" s="227" t="s">
        <v>230</v>
      </c>
      <c r="G95" s="227" t="s">
        <v>230</v>
      </c>
      <c r="H95" s="227" t="s">
        <v>230</v>
      </c>
      <c r="I95" s="271" t="s">
        <v>230</v>
      </c>
      <c r="J95" s="272" t="s">
        <v>230</v>
      </c>
      <c r="K95" s="227">
        <v>1</v>
      </c>
      <c r="L95" s="227"/>
      <c r="M95" s="227"/>
      <c r="N95" s="202"/>
    </row>
    <row r="96" spans="2:14">
      <c r="B96" s="736"/>
      <c r="C96" s="192" t="s">
        <v>339</v>
      </c>
      <c r="D96" s="227" t="s">
        <v>230</v>
      </c>
      <c r="E96" s="227" t="s">
        <v>230</v>
      </c>
      <c r="F96" s="227" t="s">
        <v>16</v>
      </c>
      <c r="G96" s="227" t="s">
        <v>230</v>
      </c>
      <c r="H96" s="227" t="s">
        <v>230</v>
      </c>
      <c r="I96" s="271" t="s">
        <v>230</v>
      </c>
      <c r="J96" s="272" t="s">
        <v>230</v>
      </c>
      <c r="K96" s="227">
        <v>1</v>
      </c>
      <c r="L96" s="227"/>
      <c r="M96" s="227"/>
      <c r="N96" s="202"/>
    </row>
    <row r="97" spans="2:14">
      <c r="B97" s="736"/>
      <c r="C97" s="192" t="s">
        <v>112</v>
      </c>
      <c r="D97" s="227" t="s">
        <v>230</v>
      </c>
      <c r="E97" s="227" t="s">
        <v>230</v>
      </c>
      <c r="F97" s="227" t="s">
        <v>16</v>
      </c>
      <c r="G97" s="227" t="s">
        <v>230</v>
      </c>
      <c r="H97" s="227" t="s">
        <v>230</v>
      </c>
      <c r="I97" s="271" t="s">
        <v>230</v>
      </c>
      <c r="J97" s="272" t="s">
        <v>230</v>
      </c>
      <c r="K97" s="227">
        <v>1</v>
      </c>
      <c r="L97" s="227"/>
      <c r="M97" s="227"/>
      <c r="N97" s="202"/>
    </row>
    <row r="98" spans="2:14">
      <c r="B98" s="736"/>
      <c r="C98" s="192" t="s">
        <v>341</v>
      </c>
      <c r="D98" s="227" t="s">
        <v>230</v>
      </c>
      <c r="E98" s="227" t="s">
        <v>230</v>
      </c>
      <c r="F98" s="227" t="s">
        <v>16</v>
      </c>
      <c r="G98" s="227" t="s">
        <v>230</v>
      </c>
      <c r="H98" s="227" t="s">
        <v>230</v>
      </c>
      <c r="I98" s="271" t="s">
        <v>230</v>
      </c>
      <c r="J98" s="272" t="s">
        <v>230</v>
      </c>
      <c r="K98" s="227">
        <v>1</v>
      </c>
      <c r="L98" s="227"/>
      <c r="M98" s="227"/>
      <c r="N98" s="202"/>
    </row>
    <row r="99" spans="2:14">
      <c r="B99" s="736"/>
      <c r="C99" s="192" t="s">
        <v>327</v>
      </c>
      <c r="D99" s="227" t="s">
        <v>230</v>
      </c>
      <c r="E99" s="227" t="s">
        <v>230</v>
      </c>
      <c r="F99" s="227" t="s">
        <v>16</v>
      </c>
      <c r="G99" s="227" t="s">
        <v>230</v>
      </c>
      <c r="H99" s="227" t="s">
        <v>230</v>
      </c>
      <c r="I99" s="271" t="s">
        <v>230</v>
      </c>
      <c r="J99" s="272" t="s">
        <v>230</v>
      </c>
      <c r="K99" s="227">
        <v>1</v>
      </c>
      <c r="L99" s="227"/>
      <c r="M99" s="227"/>
      <c r="N99" s="202"/>
    </row>
    <row r="100" spans="2:14">
      <c r="B100" s="736"/>
      <c r="C100" s="192" t="s">
        <v>343</v>
      </c>
      <c r="D100" s="227" t="s">
        <v>230</v>
      </c>
      <c r="E100" s="227" t="s">
        <v>230</v>
      </c>
      <c r="F100" s="227" t="s">
        <v>16</v>
      </c>
      <c r="G100" s="227" t="s">
        <v>230</v>
      </c>
      <c r="H100" s="227" t="s">
        <v>230</v>
      </c>
      <c r="I100" s="271" t="s">
        <v>230</v>
      </c>
      <c r="J100" s="272" t="s">
        <v>230</v>
      </c>
      <c r="K100" s="227">
        <v>1</v>
      </c>
      <c r="L100" s="227"/>
      <c r="M100" s="227"/>
      <c r="N100" s="202"/>
    </row>
    <row r="101" spans="2:14">
      <c r="B101" s="736"/>
      <c r="C101" s="192" t="s">
        <v>390</v>
      </c>
      <c r="D101" s="227" t="s">
        <v>230</v>
      </c>
      <c r="E101" s="227" t="s">
        <v>230</v>
      </c>
      <c r="F101" s="227" t="s">
        <v>16</v>
      </c>
      <c r="G101" s="227" t="s">
        <v>230</v>
      </c>
      <c r="H101" s="227" t="s">
        <v>230</v>
      </c>
      <c r="I101" s="271" t="s">
        <v>230</v>
      </c>
      <c r="J101" s="272" t="s">
        <v>230</v>
      </c>
      <c r="K101" s="227">
        <v>1</v>
      </c>
      <c r="L101" s="227"/>
      <c r="M101" s="227"/>
      <c r="N101" s="202"/>
    </row>
    <row r="102" spans="2:14">
      <c r="B102" s="736"/>
      <c r="C102" s="192" t="s">
        <v>388</v>
      </c>
      <c r="D102" s="227" t="s">
        <v>230</v>
      </c>
      <c r="E102" s="227" t="s">
        <v>230</v>
      </c>
      <c r="F102" s="227" t="s">
        <v>16</v>
      </c>
      <c r="G102" s="227" t="s">
        <v>230</v>
      </c>
      <c r="H102" s="227" t="s">
        <v>230</v>
      </c>
      <c r="I102" s="271" t="s">
        <v>230</v>
      </c>
      <c r="J102" s="272" t="s">
        <v>230</v>
      </c>
      <c r="K102" s="227">
        <v>1</v>
      </c>
      <c r="L102" s="227"/>
      <c r="M102" s="227"/>
      <c r="N102" s="202"/>
    </row>
    <row r="103" spans="2:14">
      <c r="B103" s="737"/>
      <c r="C103" s="209" t="s">
        <v>391</v>
      </c>
      <c r="D103" s="229" t="s">
        <v>230</v>
      </c>
      <c r="E103" s="229" t="s">
        <v>230</v>
      </c>
      <c r="F103" s="229" t="s">
        <v>16</v>
      </c>
      <c r="G103" s="229" t="s">
        <v>230</v>
      </c>
      <c r="H103" s="229" t="s">
        <v>230</v>
      </c>
      <c r="I103" s="275" t="s">
        <v>230</v>
      </c>
      <c r="J103" s="276" t="s">
        <v>230</v>
      </c>
      <c r="K103" s="229">
        <v>1</v>
      </c>
      <c r="L103" s="229"/>
      <c r="M103" s="229"/>
      <c r="N103" s="203"/>
    </row>
    <row r="104" spans="2:14" ht="18" customHeight="1">
      <c r="B104" s="851" t="s">
        <v>548</v>
      </c>
      <c r="C104" s="487" t="s">
        <v>106</v>
      </c>
      <c r="D104" s="480" t="s">
        <v>16</v>
      </c>
      <c r="E104" s="480" t="s">
        <v>16</v>
      </c>
      <c r="K104" s="324">
        <v>1</v>
      </c>
    </row>
    <row r="105" spans="2:14" ht="30">
      <c r="B105" s="830"/>
      <c r="C105" s="487" t="s">
        <v>108</v>
      </c>
      <c r="E105" s="480" t="s">
        <v>16</v>
      </c>
      <c r="K105" s="324">
        <v>1</v>
      </c>
    </row>
    <row r="106" spans="2:14" ht="30">
      <c r="B106" s="830"/>
      <c r="C106" s="487" t="s">
        <v>110</v>
      </c>
      <c r="E106" s="480" t="s">
        <v>16</v>
      </c>
      <c r="K106" s="324">
        <v>1</v>
      </c>
    </row>
    <row r="107" spans="2:14" ht="30">
      <c r="B107" s="830"/>
      <c r="C107" s="487" t="s">
        <v>112</v>
      </c>
      <c r="F107" s="480" t="s">
        <v>16</v>
      </c>
      <c r="K107" s="324">
        <v>2</v>
      </c>
    </row>
    <row r="108" spans="2:14" ht="30">
      <c r="B108" s="830"/>
      <c r="C108" s="487" t="s">
        <v>341</v>
      </c>
      <c r="F108" s="480" t="s">
        <v>16</v>
      </c>
      <c r="K108" s="324">
        <v>1</v>
      </c>
    </row>
    <row r="109" spans="2:14" ht="30">
      <c r="B109" s="830"/>
      <c r="C109" s="487" t="s">
        <v>327</v>
      </c>
      <c r="F109" s="480" t="s">
        <v>16</v>
      </c>
      <c r="K109" s="324">
        <v>1</v>
      </c>
    </row>
    <row r="110" spans="2:14">
      <c r="B110" s="831"/>
      <c r="C110" s="487" t="s">
        <v>549</v>
      </c>
      <c r="E110" s="480" t="s">
        <v>16</v>
      </c>
      <c r="K110" s="324">
        <v>2</v>
      </c>
    </row>
  </sheetData>
  <mergeCells count="12">
    <mergeCell ref="B104:B110"/>
    <mergeCell ref="B2:B10"/>
    <mergeCell ref="B11:B18"/>
    <mergeCell ref="B19:B22"/>
    <mergeCell ref="B23:B26"/>
    <mergeCell ref="B27:B33"/>
    <mergeCell ref="B94:B103"/>
    <mergeCell ref="B34:B42"/>
    <mergeCell ref="B43:B50"/>
    <mergeCell ref="B51:B60"/>
    <mergeCell ref="B61:B84"/>
    <mergeCell ref="B85:B9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187B7-38E6-49FC-8A27-E06603754FD2}">
  <dimension ref="B1:N3"/>
  <sheetViews>
    <sheetView workbookViewId="0">
      <selection activeCell="B1" sqref="B1"/>
    </sheetView>
  </sheetViews>
  <sheetFormatPr defaultColWidth="8.7109375" defaultRowHeight="15"/>
  <cols>
    <col min="2" max="2" width="14.7109375" customWidth="1"/>
    <col min="3" max="3" width="26.7109375" customWidth="1"/>
    <col min="11" max="11" width="16.42578125" customWidth="1"/>
    <col min="13" max="13" width="23.7109375" customWidth="1"/>
    <col min="14" max="14" width="19.140625" customWidth="1"/>
  </cols>
  <sheetData>
    <row r="1" spans="2:14" ht="78.75">
      <c r="B1" s="372" t="s">
        <v>2</v>
      </c>
      <c r="C1" s="519" t="s">
        <v>3</v>
      </c>
      <c r="D1" s="372" t="s">
        <v>4</v>
      </c>
      <c r="E1" s="372" t="s">
        <v>5</v>
      </c>
      <c r="F1" s="372" t="s">
        <v>6</v>
      </c>
      <c r="G1" s="372" t="s">
        <v>7</v>
      </c>
      <c r="H1" s="372" t="s">
        <v>8</v>
      </c>
      <c r="I1" s="372"/>
      <c r="J1" s="372" t="s">
        <v>9</v>
      </c>
      <c r="K1" s="372" t="s">
        <v>10</v>
      </c>
      <c r="L1" s="372" t="s">
        <v>11</v>
      </c>
      <c r="M1" s="520" t="s">
        <v>12</v>
      </c>
      <c r="N1" s="373" t="s">
        <v>13</v>
      </c>
    </row>
    <row r="2" spans="2:14" ht="51" customHeight="1">
      <c r="B2" s="859" t="s">
        <v>551</v>
      </c>
      <c r="C2" s="521" t="s">
        <v>552</v>
      </c>
      <c r="D2" s="97" t="s">
        <v>16</v>
      </c>
      <c r="E2" s="522"/>
      <c r="F2" s="522"/>
      <c r="G2" s="522"/>
      <c r="H2" s="523"/>
      <c r="I2" s="524"/>
      <c r="J2" s="525"/>
      <c r="K2" s="235">
        <v>4</v>
      </c>
      <c r="L2" s="235"/>
      <c r="M2" s="861" t="s">
        <v>553</v>
      </c>
      <c r="N2" s="159"/>
    </row>
    <row r="3" spans="2:14" ht="45" customHeight="1">
      <c r="B3" s="860"/>
      <c r="C3" s="521" t="s">
        <v>554</v>
      </c>
      <c r="D3" s="97" t="s">
        <v>16</v>
      </c>
      <c r="E3" s="522"/>
      <c r="F3" s="522"/>
      <c r="G3" s="522"/>
      <c r="H3" s="523"/>
      <c r="I3" s="524"/>
      <c r="J3" s="525"/>
      <c r="K3" s="235">
        <v>4</v>
      </c>
      <c r="L3" s="235"/>
      <c r="M3" s="862"/>
      <c r="N3" s="159"/>
    </row>
  </sheetData>
  <mergeCells count="2">
    <mergeCell ref="B2:B3"/>
    <mergeCell ref="M2:M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210B-088E-417D-AD83-7C89E1107526}">
  <dimension ref="B1:N50"/>
  <sheetViews>
    <sheetView topLeftCell="A15" workbookViewId="0">
      <selection activeCell="G24" sqref="G24"/>
    </sheetView>
  </sheetViews>
  <sheetFormatPr defaultColWidth="8.7109375" defaultRowHeight="15"/>
  <cols>
    <col min="2" max="2" width="23.140625" style="52" customWidth="1"/>
    <col min="3" max="3" width="33.85546875" style="324" customWidth="1"/>
    <col min="4" max="8" width="9.140625" style="52"/>
    <col min="9" max="10" width="9.140625" style="37"/>
    <col min="11" max="13" width="9.140625" style="52"/>
    <col min="14" max="14" width="26.5703125" style="37" customWidth="1"/>
  </cols>
  <sheetData>
    <row r="1" spans="2:14" s="433" customFormat="1" ht="38.25">
      <c r="B1" s="495" t="s">
        <v>446</v>
      </c>
      <c r="C1" s="495" t="s">
        <v>555</v>
      </c>
      <c r="D1" s="496" t="s">
        <v>4</v>
      </c>
      <c r="E1" s="496" t="s">
        <v>5</v>
      </c>
      <c r="F1" s="496" t="s">
        <v>6</v>
      </c>
      <c r="G1" s="496" t="s">
        <v>7</v>
      </c>
      <c r="H1" s="496" t="s">
        <v>8</v>
      </c>
      <c r="I1" s="496"/>
      <c r="J1" s="496" t="s">
        <v>9</v>
      </c>
      <c r="K1" s="496" t="s">
        <v>10</v>
      </c>
      <c r="L1" s="496" t="s">
        <v>11</v>
      </c>
      <c r="M1" s="496" t="s">
        <v>12</v>
      </c>
      <c r="N1" s="640" t="s">
        <v>556</v>
      </c>
    </row>
    <row r="2" spans="2:14" s="390" customFormat="1" ht="25.5">
      <c r="B2" s="866" t="s">
        <v>557</v>
      </c>
      <c r="C2" s="149" t="s">
        <v>558</v>
      </c>
      <c r="D2" s="436" t="s">
        <v>16</v>
      </c>
      <c r="E2" s="436"/>
      <c r="F2" s="436"/>
      <c r="G2" s="436"/>
      <c r="H2" s="436"/>
      <c r="I2" s="434"/>
      <c r="J2" s="434"/>
      <c r="K2" s="437">
        <v>3</v>
      </c>
      <c r="L2" s="437"/>
      <c r="M2" s="437"/>
      <c r="N2" s="406"/>
    </row>
    <row r="3" spans="2:14" s="390" customFormat="1" ht="25.5">
      <c r="B3" s="866"/>
      <c r="C3" s="149" t="s">
        <v>559</v>
      </c>
      <c r="D3" s="436"/>
      <c r="E3" s="436" t="s">
        <v>16</v>
      </c>
      <c r="F3" s="436"/>
      <c r="G3" s="436"/>
      <c r="H3" s="436"/>
      <c r="I3" s="434"/>
      <c r="J3" s="434"/>
      <c r="K3" s="437">
        <v>3</v>
      </c>
      <c r="L3" s="437"/>
      <c r="M3" s="437"/>
      <c r="N3" s="406"/>
    </row>
    <row r="4" spans="2:14" s="390" customFormat="1" ht="38.25">
      <c r="B4" s="866"/>
      <c r="C4" s="149" t="s">
        <v>560</v>
      </c>
      <c r="D4" s="436"/>
      <c r="E4" s="436" t="s">
        <v>16</v>
      </c>
      <c r="F4" s="436"/>
      <c r="G4" s="436"/>
      <c r="H4" s="436"/>
      <c r="I4" s="434"/>
      <c r="J4" s="434"/>
      <c r="K4" s="437">
        <v>3</v>
      </c>
      <c r="L4" s="437"/>
      <c r="M4" s="437"/>
      <c r="N4" s="406"/>
    </row>
    <row r="5" spans="2:14" s="390" customFormat="1" ht="38.25">
      <c r="B5" s="866"/>
      <c r="C5" s="149" t="s">
        <v>561</v>
      </c>
      <c r="D5" s="436"/>
      <c r="E5" s="436" t="s">
        <v>16</v>
      </c>
      <c r="F5" s="436"/>
      <c r="G5" s="436"/>
      <c r="H5" s="436"/>
      <c r="I5" s="434"/>
      <c r="J5" s="434"/>
      <c r="K5" s="437">
        <v>2</v>
      </c>
      <c r="L5" s="437"/>
      <c r="M5" s="437"/>
      <c r="N5" s="406"/>
    </row>
    <row r="6" spans="2:14" s="390" customFormat="1" ht="25.5">
      <c r="B6" s="866"/>
      <c r="C6" s="149" t="s">
        <v>562</v>
      </c>
      <c r="D6" s="436"/>
      <c r="E6" s="436" t="s">
        <v>16</v>
      </c>
      <c r="F6" s="436"/>
      <c r="G6" s="436"/>
      <c r="H6" s="436"/>
      <c r="I6" s="434"/>
      <c r="J6" s="434"/>
      <c r="K6" s="437">
        <v>3</v>
      </c>
      <c r="L6" s="437"/>
      <c r="M6" s="437"/>
      <c r="N6" s="406"/>
    </row>
    <row r="7" spans="2:14" s="390" customFormat="1" ht="25.5">
      <c r="B7" s="866"/>
      <c r="C7" s="149" t="s">
        <v>563</v>
      </c>
      <c r="D7" s="436"/>
      <c r="E7" s="436" t="s">
        <v>16</v>
      </c>
      <c r="F7" s="436"/>
      <c r="G7" s="436"/>
      <c r="H7" s="436"/>
      <c r="I7" s="434"/>
      <c r="J7" s="434"/>
      <c r="K7" s="437">
        <v>2</v>
      </c>
      <c r="L7" s="437"/>
      <c r="M7" s="437"/>
      <c r="N7" s="406"/>
    </row>
    <row r="8" spans="2:14" s="390" customFormat="1" ht="25.5">
      <c r="B8" s="866"/>
      <c r="C8" s="149" t="s">
        <v>102</v>
      </c>
      <c r="D8" s="436"/>
      <c r="E8" s="436" t="s">
        <v>16</v>
      </c>
      <c r="F8" s="436"/>
      <c r="G8" s="436"/>
      <c r="H8" s="436"/>
      <c r="I8" s="434"/>
      <c r="J8" s="434"/>
      <c r="K8" s="437">
        <v>3</v>
      </c>
      <c r="L8" s="437"/>
      <c r="M8" s="437"/>
      <c r="N8" s="406"/>
    </row>
    <row r="9" spans="2:14" s="390" customFormat="1" ht="25.5">
      <c r="B9" s="866"/>
      <c r="C9" s="149" t="s">
        <v>564</v>
      </c>
      <c r="D9" s="436"/>
      <c r="E9" s="436" t="s">
        <v>16</v>
      </c>
      <c r="F9" s="436"/>
      <c r="G9" s="436"/>
      <c r="H9" s="436"/>
      <c r="I9" s="435"/>
      <c r="J9" s="435"/>
      <c r="K9" s="437">
        <v>3</v>
      </c>
      <c r="L9" s="437"/>
      <c r="M9" s="437"/>
      <c r="N9" s="406"/>
    </row>
    <row r="10" spans="2:14" s="390" customFormat="1" ht="25.5">
      <c r="B10" s="866" t="s">
        <v>565</v>
      </c>
      <c r="C10" s="149" t="s">
        <v>566</v>
      </c>
      <c r="D10" s="436" t="s">
        <v>16</v>
      </c>
      <c r="E10" s="436"/>
      <c r="F10" s="436"/>
      <c r="G10" s="436"/>
      <c r="H10" s="436"/>
      <c r="I10" s="434"/>
      <c r="J10" s="434"/>
      <c r="K10" s="437">
        <v>2</v>
      </c>
      <c r="L10" s="437"/>
      <c r="M10" s="437"/>
      <c r="N10" s="406"/>
    </row>
    <row r="11" spans="2:14" s="390" customFormat="1" ht="38.25">
      <c r="B11" s="866"/>
      <c r="C11" s="149" t="s">
        <v>567</v>
      </c>
      <c r="D11" s="436"/>
      <c r="E11" s="436" t="s">
        <v>16</v>
      </c>
      <c r="F11" s="436"/>
      <c r="G11" s="436"/>
      <c r="H11" s="436"/>
      <c r="I11" s="434"/>
      <c r="J11" s="434"/>
      <c r="K11" s="437">
        <v>2</v>
      </c>
      <c r="L11" s="437"/>
      <c r="M11" s="437"/>
      <c r="N11" s="406"/>
    </row>
    <row r="12" spans="2:14" s="390" customFormat="1" ht="38.25">
      <c r="B12" s="866"/>
      <c r="C12" s="149" t="s">
        <v>560</v>
      </c>
      <c r="D12" s="436"/>
      <c r="E12" s="436" t="s">
        <v>16</v>
      </c>
      <c r="F12" s="436"/>
      <c r="G12" s="436"/>
      <c r="H12" s="436"/>
      <c r="I12" s="434"/>
      <c r="J12" s="434"/>
      <c r="K12" s="437">
        <v>3</v>
      </c>
      <c r="L12" s="437"/>
      <c r="M12" s="437"/>
      <c r="N12" s="406"/>
    </row>
    <row r="13" spans="2:14" s="390" customFormat="1" ht="38.25">
      <c r="B13" s="866"/>
      <c r="C13" s="149" t="s">
        <v>561</v>
      </c>
      <c r="D13" s="436"/>
      <c r="E13" s="436" t="s">
        <v>16</v>
      </c>
      <c r="F13" s="436"/>
      <c r="G13" s="436"/>
      <c r="H13" s="436"/>
      <c r="I13" s="434"/>
      <c r="J13" s="434"/>
      <c r="K13" s="437">
        <v>3</v>
      </c>
      <c r="L13" s="437"/>
      <c r="M13" s="437"/>
      <c r="N13" s="406"/>
    </row>
    <row r="14" spans="2:14" s="390" customFormat="1" ht="25.5">
      <c r="B14" s="866"/>
      <c r="C14" s="149" t="s">
        <v>562</v>
      </c>
      <c r="D14" s="436"/>
      <c r="E14" s="436" t="s">
        <v>16</v>
      </c>
      <c r="F14" s="436"/>
      <c r="G14" s="436"/>
      <c r="H14" s="436"/>
      <c r="I14" s="434"/>
      <c r="J14" s="434"/>
      <c r="K14" s="437">
        <v>3</v>
      </c>
      <c r="L14" s="437"/>
      <c r="M14" s="437"/>
      <c r="N14" s="406"/>
    </row>
    <row r="15" spans="2:14" s="390" customFormat="1" ht="25.5">
      <c r="B15" s="866"/>
      <c r="C15" s="149" t="s">
        <v>568</v>
      </c>
      <c r="D15" s="436"/>
      <c r="E15" s="436" t="s">
        <v>16</v>
      </c>
      <c r="F15" s="436"/>
      <c r="G15" s="436"/>
      <c r="H15" s="436"/>
      <c r="I15" s="434"/>
      <c r="J15" s="434"/>
      <c r="K15" s="437">
        <v>3</v>
      </c>
      <c r="L15" s="437"/>
      <c r="M15" s="437"/>
      <c r="N15" s="406"/>
    </row>
    <row r="16" spans="2:14" s="390" customFormat="1">
      <c r="B16" s="866"/>
      <c r="C16" s="149" t="s">
        <v>569</v>
      </c>
      <c r="D16" s="436"/>
      <c r="E16" s="436" t="s">
        <v>16</v>
      </c>
      <c r="F16" s="436"/>
      <c r="G16" s="436"/>
      <c r="H16" s="436"/>
      <c r="I16" s="434"/>
      <c r="J16" s="434"/>
      <c r="K16" s="437">
        <v>2</v>
      </c>
      <c r="L16" s="437"/>
      <c r="M16" s="437"/>
      <c r="N16" s="406"/>
    </row>
    <row r="17" spans="2:14" s="390" customFormat="1" ht="25.5">
      <c r="B17" s="866"/>
      <c r="C17" s="149" t="s">
        <v>180</v>
      </c>
      <c r="D17" s="436"/>
      <c r="E17" s="436" t="s">
        <v>16</v>
      </c>
      <c r="F17" s="436"/>
      <c r="G17" s="436"/>
      <c r="H17" s="436"/>
      <c r="I17" s="435"/>
      <c r="J17" s="435"/>
      <c r="K17" s="437">
        <v>2</v>
      </c>
      <c r="L17" s="437"/>
      <c r="M17" s="437"/>
      <c r="N17" s="406"/>
    </row>
    <row r="18" spans="2:14" s="390" customFormat="1" ht="25.5">
      <c r="B18" s="866"/>
      <c r="C18" s="149" t="s">
        <v>570</v>
      </c>
      <c r="D18" s="436"/>
      <c r="E18" s="436" t="s">
        <v>16</v>
      </c>
      <c r="F18" s="436"/>
      <c r="G18" s="436"/>
      <c r="H18" s="436"/>
      <c r="I18" s="434"/>
      <c r="J18" s="434"/>
      <c r="K18" s="437">
        <v>2</v>
      </c>
      <c r="L18" s="437"/>
      <c r="M18" s="437"/>
      <c r="N18" s="406"/>
    </row>
    <row r="19" spans="2:14" s="390" customFormat="1" ht="25.5">
      <c r="B19" s="866"/>
      <c r="C19" s="149" t="s">
        <v>571</v>
      </c>
      <c r="D19" s="436"/>
      <c r="E19" s="436" t="s">
        <v>16</v>
      </c>
      <c r="F19" s="436"/>
      <c r="G19" s="436"/>
      <c r="H19" s="436"/>
      <c r="I19" s="435"/>
      <c r="J19" s="435"/>
      <c r="K19" s="437">
        <v>3</v>
      </c>
      <c r="L19" s="437"/>
      <c r="M19" s="437"/>
      <c r="N19" s="406"/>
    </row>
    <row r="20" spans="2:14" s="390" customFormat="1" ht="25.5">
      <c r="B20" s="866"/>
      <c r="C20" s="149" t="s">
        <v>572</v>
      </c>
      <c r="D20" s="436"/>
      <c r="E20" s="436" t="s">
        <v>16</v>
      </c>
      <c r="F20" s="436"/>
      <c r="G20" s="436"/>
      <c r="H20" s="436"/>
      <c r="I20" s="434"/>
      <c r="J20" s="434"/>
      <c r="K20" s="437">
        <v>2</v>
      </c>
      <c r="L20" s="437"/>
      <c r="M20" s="437"/>
      <c r="N20" s="406"/>
    </row>
    <row r="21" spans="2:14" s="390" customFormat="1" ht="25.5">
      <c r="B21" s="866"/>
      <c r="C21" s="149" t="s">
        <v>573</v>
      </c>
      <c r="D21" s="436"/>
      <c r="E21" s="436" t="s">
        <v>16</v>
      </c>
      <c r="F21" s="436"/>
      <c r="G21" s="436"/>
      <c r="H21" s="436"/>
      <c r="I21" s="435"/>
      <c r="J21" s="435"/>
      <c r="K21" s="437">
        <v>2</v>
      </c>
      <c r="L21" s="437"/>
      <c r="M21" s="437"/>
      <c r="N21" s="406"/>
    </row>
    <row r="22" spans="2:14" s="390" customFormat="1" ht="25.5">
      <c r="B22" s="866"/>
      <c r="C22" s="149" t="s">
        <v>574</v>
      </c>
      <c r="D22" s="436"/>
      <c r="E22" s="436" t="s">
        <v>16</v>
      </c>
      <c r="F22" s="436"/>
      <c r="G22" s="436"/>
      <c r="H22" s="436"/>
      <c r="I22" s="434"/>
      <c r="J22" s="434"/>
      <c r="K22" s="437">
        <v>2</v>
      </c>
      <c r="L22" s="437"/>
      <c r="M22" s="437"/>
      <c r="N22" s="406"/>
    </row>
    <row r="23" spans="2:14" s="390" customFormat="1" ht="25.5">
      <c r="B23" s="867"/>
      <c r="C23" s="147" t="s">
        <v>575</v>
      </c>
      <c r="D23" s="438"/>
      <c r="E23" s="438" t="s">
        <v>16</v>
      </c>
      <c r="F23" s="438"/>
      <c r="G23" s="438"/>
      <c r="H23" s="438"/>
      <c r="I23" s="439"/>
      <c r="J23" s="439"/>
      <c r="K23" s="440">
        <v>2</v>
      </c>
      <c r="L23" s="440"/>
      <c r="M23" s="440"/>
      <c r="N23" s="501"/>
    </row>
    <row r="24" spans="2:14">
      <c r="B24" s="868" t="s">
        <v>517</v>
      </c>
      <c r="C24" s="332" t="s">
        <v>517</v>
      </c>
      <c r="D24" s="497"/>
      <c r="E24" s="497"/>
      <c r="F24" s="497"/>
      <c r="G24" s="497"/>
      <c r="H24" s="497"/>
      <c r="I24" s="498"/>
      <c r="J24" s="498"/>
      <c r="K24" s="497"/>
      <c r="L24" s="497"/>
      <c r="M24" s="497"/>
      <c r="N24" s="46"/>
    </row>
    <row r="25" spans="2:14">
      <c r="B25" s="869"/>
      <c r="C25" s="324" t="s">
        <v>497</v>
      </c>
      <c r="D25" s="52" t="s">
        <v>16</v>
      </c>
      <c r="E25" s="52" t="s">
        <v>16</v>
      </c>
      <c r="K25" s="52">
        <v>2</v>
      </c>
      <c r="N25" s="47"/>
    </row>
    <row r="26" spans="2:14" ht="30">
      <c r="B26" s="869"/>
      <c r="C26" s="324" t="s">
        <v>498</v>
      </c>
      <c r="E26" s="52" t="s">
        <v>16</v>
      </c>
      <c r="K26" s="52">
        <v>3</v>
      </c>
      <c r="N26" s="47"/>
    </row>
    <row r="27" spans="2:14">
      <c r="B27" s="869"/>
      <c r="C27" s="324" t="s">
        <v>499</v>
      </c>
      <c r="F27" s="52" t="s">
        <v>16</v>
      </c>
      <c r="K27" s="52">
        <v>2</v>
      </c>
      <c r="N27" s="47"/>
    </row>
    <row r="28" spans="2:14">
      <c r="B28" s="869"/>
      <c r="C28" s="324" t="s">
        <v>518</v>
      </c>
      <c r="F28" s="52" t="s">
        <v>16</v>
      </c>
      <c r="K28" s="52">
        <v>3</v>
      </c>
      <c r="N28" s="47"/>
    </row>
    <row r="29" spans="2:14">
      <c r="B29" s="869"/>
      <c r="C29" s="324" t="s">
        <v>519</v>
      </c>
      <c r="F29" s="52" t="s">
        <v>16</v>
      </c>
      <c r="K29" s="52">
        <v>3</v>
      </c>
      <c r="N29" s="47"/>
    </row>
    <row r="30" spans="2:14">
      <c r="B30" s="870"/>
      <c r="C30" s="346" t="s">
        <v>30</v>
      </c>
      <c r="D30" s="507"/>
      <c r="E30" s="507" t="s">
        <v>16</v>
      </c>
      <c r="F30" s="507"/>
      <c r="G30" s="507"/>
      <c r="H30" s="507"/>
      <c r="I30" s="508"/>
      <c r="J30" s="508"/>
      <c r="K30" s="507">
        <v>1</v>
      </c>
      <c r="L30" s="507"/>
      <c r="M30" s="507"/>
      <c r="N30" s="51"/>
    </row>
    <row r="31" spans="2:14" ht="30">
      <c r="B31" s="735" t="s">
        <v>418</v>
      </c>
      <c r="C31" s="224" t="s">
        <v>419</v>
      </c>
      <c r="D31" s="228" t="s">
        <v>16</v>
      </c>
      <c r="E31" s="228" t="s">
        <v>230</v>
      </c>
      <c r="F31" s="228" t="s">
        <v>230</v>
      </c>
      <c r="G31" s="228" t="s">
        <v>230</v>
      </c>
      <c r="H31" s="228" t="s">
        <v>230</v>
      </c>
      <c r="I31" s="269" t="s">
        <v>230</v>
      </c>
      <c r="J31" s="270" t="s">
        <v>230</v>
      </c>
      <c r="K31" s="228">
        <v>2</v>
      </c>
      <c r="L31" s="228"/>
      <c r="M31" s="228"/>
      <c r="N31" s="201"/>
    </row>
    <row r="32" spans="2:14" ht="30">
      <c r="B32" s="736"/>
      <c r="C32" s="223" t="s">
        <v>420</v>
      </c>
      <c r="D32" s="227" t="s">
        <v>230</v>
      </c>
      <c r="E32" s="227" t="s">
        <v>16</v>
      </c>
      <c r="F32" s="227" t="s">
        <v>230</v>
      </c>
      <c r="G32" s="227" t="s">
        <v>230</v>
      </c>
      <c r="H32" s="227" t="s">
        <v>230</v>
      </c>
      <c r="I32" s="271" t="s">
        <v>230</v>
      </c>
      <c r="J32" s="272" t="s">
        <v>230</v>
      </c>
      <c r="K32" s="227">
        <v>2</v>
      </c>
      <c r="L32" s="227"/>
      <c r="M32" s="227"/>
      <c r="N32" s="202"/>
    </row>
    <row r="33" spans="2:14" ht="30">
      <c r="B33" s="736"/>
      <c r="C33" s="223" t="s">
        <v>421</v>
      </c>
      <c r="D33" s="227" t="s">
        <v>230</v>
      </c>
      <c r="E33" s="227" t="s">
        <v>16</v>
      </c>
      <c r="F33" s="227" t="s">
        <v>230</v>
      </c>
      <c r="G33" s="227" t="s">
        <v>230</v>
      </c>
      <c r="H33" s="227" t="s">
        <v>230</v>
      </c>
      <c r="I33" s="271" t="s">
        <v>230</v>
      </c>
      <c r="J33" s="272" t="s">
        <v>230</v>
      </c>
      <c r="K33" s="227">
        <v>3</v>
      </c>
      <c r="L33" s="227"/>
      <c r="M33" s="227"/>
      <c r="N33" s="202"/>
    </row>
    <row r="34" spans="2:14">
      <c r="B34" s="736"/>
      <c r="C34" s="223" t="s">
        <v>422</v>
      </c>
      <c r="D34" s="227" t="s">
        <v>230</v>
      </c>
      <c r="E34" s="227" t="s">
        <v>16</v>
      </c>
      <c r="F34" s="227" t="s">
        <v>230</v>
      </c>
      <c r="G34" s="227" t="s">
        <v>230</v>
      </c>
      <c r="H34" s="227" t="s">
        <v>230</v>
      </c>
      <c r="I34" s="271" t="s">
        <v>230</v>
      </c>
      <c r="J34" s="272" t="s">
        <v>230</v>
      </c>
      <c r="K34" s="227">
        <v>3</v>
      </c>
      <c r="L34" s="227"/>
      <c r="M34" s="227"/>
      <c r="N34" s="202"/>
    </row>
    <row r="35" spans="2:14" ht="30">
      <c r="B35" s="736"/>
      <c r="C35" s="223" t="s">
        <v>423</v>
      </c>
      <c r="D35" s="227" t="s">
        <v>230</v>
      </c>
      <c r="E35" s="227" t="s">
        <v>16</v>
      </c>
      <c r="F35" s="227" t="s">
        <v>230</v>
      </c>
      <c r="G35" s="227" t="s">
        <v>230</v>
      </c>
      <c r="H35" s="227" t="s">
        <v>230</v>
      </c>
      <c r="I35" s="271" t="s">
        <v>230</v>
      </c>
      <c r="J35" s="272" t="s">
        <v>230</v>
      </c>
      <c r="K35" s="227">
        <v>3</v>
      </c>
      <c r="L35" s="227"/>
      <c r="M35" s="227"/>
      <c r="N35" s="202"/>
    </row>
    <row r="36" spans="2:14" ht="30">
      <c r="B36" s="736"/>
      <c r="C36" s="223" t="s">
        <v>424</v>
      </c>
      <c r="D36" s="227" t="s">
        <v>230</v>
      </c>
      <c r="E36" s="227" t="s">
        <v>16</v>
      </c>
      <c r="F36" s="227" t="s">
        <v>230</v>
      </c>
      <c r="G36" s="227" t="s">
        <v>230</v>
      </c>
      <c r="H36" s="227" t="s">
        <v>230</v>
      </c>
      <c r="I36" s="271" t="s">
        <v>230</v>
      </c>
      <c r="J36" s="272" t="s">
        <v>230</v>
      </c>
      <c r="K36" s="227">
        <v>3</v>
      </c>
      <c r="L36" s="227"/>
      <c r="M36" s="227"/>
      <c r="N36" s="202"/>
    </row>
    <row r="37" spans="2:14" ht="30">
      <c r="B37" s="736"/>
      <c r="C37" s="223" t="s">
        <v>425</v>
      </c>
      <c r="D37" s="227" t="s">
        <v>230</v>
      </c>
      <c r="E37" s="227" t="s">
        <v>16</v>
      </c>
      <c r="F37" s="227" t="s">
        <v>230</v>
      </c>
      <c r="G37" s="227" t="s">
        <v>230</v>
      </c>
      <c r="H37" s="227" t="s">
        <v>230</v>
      </c>
      <c r="I37" s="271" t="s">
        <v>230</v>
      </c>
      <c r="J37" s="272" t="s">
        <v>230</v>
      </c>
      <c r="K37" s="227">
        <v>2</v>
      </c>
      <c r="L37" s="227"/>
      <c r="M37" s="227"/>
      <c r="N37" s="202"/>
    </row>
    <row r="38" spans="2:14" ht="30">
      <c r="B38" s="737"/>
      <c r="C38" s="225" t="s">
        <v>426</v>
      </c>
      <c r="D38" s="229" t="s">
        <v>230</v>
      </c>
      <c r="E38" s="229" t="s">
        <v>16</v>
      </c>
      <c r="F38" s="229" t="s">
        <v>230</v>
      </c>
      <c r="G38" s="229" t="s">
        <v>230</v>
      </c>
      <c r="H38" s="229" t="s">
        <v>230</v>
      </c>
      <c r="I38" s="275" t="s">
        <v>230</v>
      </c>
      <c r="J38" s="276" t="s">
        <v>230</v>
      </c>
      <c r="K38" s="229">
        <v>2</v>
      </c>
      <c r="L38" s="229"/>
      <c r="M38" s="229"/>
      <c r="N38" s="203"/>
    </row>
    <row r="40" spans="2:14" ht="24" customHeight="1">
      <c r="B40" s="863" t="s">
        <v>576</v>
      </c>
      <c r="C40" s="703" t="s">
        <v>577</v>
      </c>
      <c r="D40" s="704" t="s">
        <v>16</v>
      </c>
      <c r="E40" s="703" t="s">
        <v>230</v>
      </c>
      <c r="F40" s="705" t="s">
        <v>16</v>
      </c>
      <c r="G40" s="705" t="s">
        <v>230</v>
      </c>
      <c r="H40" s="705" t="s">
        <v>230</v>
      </c>
      <c r="I40" s="716"/>
      <c r="J40" s="716"/>
      <c r="K40" s="705">
        <v>2</v>
      </c>
    </row>
    <row r="41" spans="2:14" ht="24">
      <c r="B41" s="864"/>
      <c r="C41" s="706" t="s">
        <v>578</v>
      </c>
      <c r="D41" s="707" t="s">
        <v>230</v>
      </c>
      <c r="E41" s="706" t="s">
        <v>230</v>
      </c>
      <c r="F41" s="708" t="s">
        <v>16</v>
      </c>
      <c r="G41" s="708" t="s">
        <v>230</v>
      </c>
      <c r="H41" s="708" t="s">
        <v>230</v>
      </c>
      <c r="I41" s="716"/>
      <c r="J41" s="716"/>
      <c r="K41" s="708">
        <v>2</v>
      </c>
    </row>
    <row r="42" spans="2:14" ht="24">
      <c r="B42" s="864"/>
      <c r="C42" s="706" t="s">
        <v>579</v>
      </c>
      <c r="D42" s="707" t="s">
        <v>230</v>
      </c>
      <c r="E42" s="706" t="s">
        <v>230</v>
      </c>
      <c r="F42" s="708" t="s">
        <v>16</v>
      </c>
      <c r="G42" s="708" t="s">
        <v>230</v>
      </c>
      <c r="H42" s="708" t="s">
        <v>230</v>
      </c>
      <c r="I42" s="716"/>
      <c r="J42" s="716"/>
      <c r="K42" s="708">
        <v>1</v>
      </c>
    </row>
    <row r="43" spans="2:14" ht="14.25">
      <c r="B43" s="864"/>
      <c r="C43" s="706" t="s">
        <v>499</v>
      </c>
      <c r="D43" s="707" t="s">
        <v>230</v>
      </c>
      <c r="E43" s="706" t="s">
        <v>230</v>
      </c>
      <c r="F43" s="708" t="s">
        <v>16</v>
      </c>
      <c r="G43" s="708" t="s">
        <v>230</v>
      </c>
      <c r="H43" s="708" t="s">
        <v>230</v>
      </c>
      <c r="I43" s="716"/>
      <c r="J43" s="716"/>
      <c r="K43" s="708">
        <v>2</v>
      </c>
    </row>
    <row r="44" spans="2:14" ht="84">
      <c r="B44" s="864"/>
      <c r="C44" s="706" t="s">
        <v>580</v>
      </c>
      <c r="D44" s="709" t="s">
        <v>230</v>
      </c>
      <c r="E44" s="710" t="s">
        <v>230</v>
      </c>
      <c r="F44" s="706" t="s">
        <v>16</v>
      </c>
      <c r="G44" s="710" t="s">
        <v>230</v>
      </c>
      <c r="H44" s="710" t="s">
        <v>230</v>
      </c>
      <c r="I44" s="716"/>
      <c r="J44" s="716"/>
      <c r="K44" s="710">
        <v>5</v>
      </c>
    </row>
    <row r="45" spans="2:14" ht="48">
      <c r="B45" s="864"/>
      <c r="C45" s="706" t="s">
        <v>581</v>
      </c>
      <c r="D45" s="709" t="s">
        <v>230</v>
      </c>
      <c r="E45" s="711" t="s">
        <v>230</v>
      </c>
      <c r="F45" s="706" t="s">
        <v>16</v>
      </c>
      <c r="G45" s="711" t="s">
        <v>230</v>
      </c>
      <c r="H45" s="711" t="s">
        <v>230</v>
      </c>
      <c r="I45" s="716"/>
      <c r="J45" s="716"/>
      <c r="K45" s="711">
        <v>2</v>
      </c>
    </row>
    <row r="46" spans="2:14" ht="48">
      <c r="B46" s="864"/>
      <c r="C46" s="706" t="s">
        <v>582</v>
      </c>
      <c r="D46" s="712" t="s">
        <v>230</v>
      </c>
      <c r="E46" s="713" t="s">
        <v>230</v>
      </c>
      <c r="F46" s="706" t="s">
        <v>16</v>
      </c>
      <c r="G46" s="711" t="s">
        <v>230</v>
      </c>
      <c r="H46" s="711" t="s">
        <v>230</v>
      </c>
      <c r="I46" s="716"/>
      <c r="J46" s="716"/>
      <c r="K46" s="713">
        <v>4</v>
      </c>
    </row>
    <row r="47" spans="2:14">
      <c r="B47" s="865"/>
      <c r="C47" s="717" t="s">
        <v>30</v>
      </c>
      <c r="D47" s="709" t="s">
        <v>230</v>
      </c>
      <c r="E47" s="711" t="s">
        <v>230</v>
      </c>
      <c r="F47" s="710" t="s">
        <v>16</v>
      </c>
      <c r="G47" s="711" t="s">
        <v>230</v>
      </c>
      <c r="H47" s="711" t="s">
        <v>230</v>
      </c>
      <c r="I47" s="716"/>
      <c r="J47" s="716"/>
      <c r="K47" s="711">
        <v>2</v>
      </c>
    </row>
    <row r="48" spans="2:14">
      <c r="B48" s="718"/>
      <c r="C48" s="714"/>
      <c r="D48" s="712"/>
      <c r="E48" s="713"/>
      <c r="F48" s="713"/>
    </row>
    <row r="50" ht="43.5" customHeight="1"/>
  </sheetData>
  <mergeCells count="5">
    <mergeCell ref="B40:B47"/>
    <mergeCell ref="B2:B9"/>
    <mergeCell ref="B10:B23"/>
    <mergeCell ref="B24:B30"/>
    <mergeCell ref="B31:B3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C4E3-4E0F-4DB0-8EB8-CB20F6AFE54C}">
  <dimension ref="B1:N62"/>
  <sheetViews>
    <sheetView workbookViewId="0">
      <selection activeCell="C2" sqref="C2:C7"/>
    </sheetView>
  </sheetViews>
  <sheetFormatPr defaultColWidth="8.7109375" defaultRowHeight="15"/>
  <cols>
    <col min="2" max="2" width="16.140625" style="376" customWidth="1"/>
    <col min="3" max="3" width="28.140625" style="379" customWidth="1"/>
    <col min="4" max="8" width="9.140625" style="382"/>
    <col min="9" max="10" width="9.140625" style="374"/>
    <col min="11" max="11" width="14.7109375" style="382" customWidth="1"/>
    <col min="12" max="12" width="15.85546875" style="382" customWidth="1"/>
    <col min="13" max="13" width="17" style="382" customWidth="1"/>
    <col min="14" max="14" width="23.140625" style="37" customWidth="1"/>
  </cols>
  <sheetData>
    <row r="1" spans="2:14" ht="47.25">
      <c r="B1" s="519" t="s">
        <v>2</v>
      </c>
      <c r="C1" s="519" t="s">
        <v>3</v>
      </c>
      <c r="D1" s="372" t="s">
        <v>4</v>
      </c>
      <c r="E1" s="372" t="s">
        <v>5</v>
      </c>
      <c r="F1" s="372" t="s">
        <v>6</v>
      </c>
      <c r="G1" s="372" t="s">
        <v>7</v>
      </c>
      <c r="H1" s="372" t="s">
        <v>8</v>
      </c>
      <c r="I1" s="372"/>
      <c r="J1" s="372" t="s">
        <v>9</v>
      </c>
      <c r="K1" s="372" t="s">
        <v>10</v>
      </c>
      <c r="L1" s="372" t="s">
        <v>11</v>
      </c>
      <c r="M1" s="372" t="s">
        <v>12</v>
      </c>
      <c r="N1" s="373" t="s">
        <v>13</v>
      </c>
    </row>
    <row r="2" spans="2:14">
      <c r="B2" s="877" t="s">
        <v>583</v>
      </c>
      <c r="C2" s="377" t="s">
        <v>584</v>
      </c>
      <c r="D2" s="380" t="s">
        <v>16</v>
      </c>
      <c r="E2" s="380" t="s">
        <v>16</v>
      </c>
      <c r="F2" s="380"/>
      <c r="G2" s="380"/>
      <c r="H2" s="380"/>
      <c r="I2" s="381"/>
      <c r="J2" s="381"/>
      <c r="K2" s="375">
        <v>2</v>
      </c>
      <c r="L2" s="375">
        <f>K2*0.5</f>
        <v>1</v>
      </c>
      <c r="M2" s="375">
        <f t="shared" ref="M2:M7" si="0">K2*2</f>
        <v>4</v>
      </c>
    </row>
    <row r="3" spans="2:14" ht="21" customHeight="1">
      <c r="B3" s="878"/>
      <c r="C3" s="378" t="s">
        <v>17</v>
      </c>
      <c r="D3" s="380"/>
      <c r="E3" s="380" t="s">
        <v>16</v>
      </c>
      <c r="F3" s="380"/>
      <c r="G3" s="380"/>
      <c r="H3" s="380"/>
      <c r="I3" s="381"/>
      <c r="J3" s="381"/>
      <c r="K3" s="375">
        <v>2</v>
      </c>
      <c r="L3" s="375">
        <f t="shared" ref="L3:L7" si="1">K3*0.5</f>
        <v>1</v>
      </c>
      <c r="M3" s="375">
        <f t="shared" si="0"/>
        <v>4</v>
      </c>
    </row>
    <row r="4" spans="2:14" ht="31.5" customHeight="1">
      <c r="B4" s="878"/>
      <c r="C4" s="378" t="s">
        <v>18</v>
      </c>
      <c r="D4" s="380"/>
      <c r="E4" s="380" t="s">
        <v>16</v>
      </c>
      <c r="F4" s="380"/>
      <c r="G4" s="380"/>
      <c r="H4" s="380"/>
      <c r="I4" s="381"/>
      <c r="J4" s="381"/>
      <c r="K4" s="375">
        <v>4</v>
      </c>
      <c r="L4" s="375">
        <f t="shared" si="1"/>
        <v>2</v>
      </c>
      <c r="M4" s="375">
        <f t="shared" si="0"/>
        <v>8</v>
      </c>
    </row>
    <row r="5" spans="2:14" ht="30.75" customHeight="1">
      <c r="B5" s="878"/>
      <c r="C5" s="378" t="s">
        <v>19</v>
      </c>
      <c r="D5" s="380"/>
      <c r="E5" s="380" t="s">
        <v>16</v>
      </c>
      <c r="F5" s="380"/>
      <c r="G5" s="380"/>
      <c r="H5" s="380"/>
      <c r="I5" s="381"/>
      <c r="J5" s="381"/>
      <c r="K5" s="375">
        <v>2</v>
      </c>
      <c r="L5" s="375">
        <f t="shared" si="1"/>
        <v>1</v>
      </c>
      <c r="M5" s="375">
        <f t="shared" si="0"/>
        <v>4</v>
      </c>
    </row>
    <row r="6" spans="2:14">
      <c r="B6" s="878"/>
      <c r="C6" s="377" t="s">
        <v>132</v>
      </c>
      <c r="D6" s="380"/>
      <c r="E6" s="380" t="s">
        <v>16</v>
      </c>
      <c r="F6" s="380"/>
      <c r="G6" s="380"/>
      <c r="H6" s="380"/>
      <c r="I6" s="381"/>
      <c r="J6" s="381"/>
      <c r="K6" s="375">
        <v>4</v>
      </c>
      <c r="L6" s="375">
        <f t="shared" si="1"/>
        <v>2</v>
      </c>
      <c r="M6" s="375">
        <f t="shared" si="0"/>
        <v>8</v>
      </c>
    </row>
    <row r="7" spans="2:14" ht="31.5" customHeight="1">
      <c r="B7" s="879"/>
      <c r="C7" s="377" t="s">
        <v>472</v>
      </c>
      <c r="D7" s="380"/>
      <c r="E7" s="380" t="s">
        <v>16</v>
      </c>
      <c r="F7" s="380"/>
      <c r="G7" s="380"/>
      <c r="H7" s="380"/>
      <c r="I7" s="381"/>
      <c r="J7" s="381"/>
      <c r="K7" s="375">
        <v>2</v>
      </c>
      <c r="L7" s="375">
        <f t="shared" si="1"/>
        <v>1</v>
      </c>
      <c r="M7" s="375">
        <f t="shared" si="0"/>
        <v>4</v>
      </c>
    </row>
    <row r="8" spans="2:14">
      <c r="B8" s="877" t="s">
        <v>585</v>
      </c>
      <c r="C8" s="377" t="s">
        <v>584</v>
      </c>
      <c r="D8" s="380" t="s">
        <v>16</v>
      </c>
      <c r="E8" s="380" t="s">
        <v>16</v>
      </c>
      <c r="F8" s="380"/>
      <c r="G8" s="380"/>
      <c r="H8" s="380"/>
      <c r="I8" s="381"/>
      <c r="J8" s="381"/>
      <c r="K8" s="375">
        <v>2</v>
      </c>
      <c r="L8" s="375">
        <f>K8*0.5</f>
        <v>1</v>
      </c>
      <c r="M8" s="375">
        <f t="shared" ref="M8:M13" si="2">K8*2</f>
        <v>4</v>
      </c>
    </row>
    <row r="9" spans="2:14">
      <c r="B9" s="878"/>
      <c r="C9" s="377" t="s">
        <v>586</v>
      </c>
      <c r="D9" s="380"/>
      <c r="E9" s="380" t="s">
        <v>16</v>
      </c>
      <c r="F9" s="380"/>
      <c r="G9" s="380"/>
      <c r="H9" s="380"/>
      <c r="I9" s="381"/>
      <c r="J9" s="381"/>
      <c r="K9" s="375">
        <v>5</v>
      </c>
      <c r="L9" s="375">
        <f>K9*0.5</f>
        <v>2.5</v>
      </c>
      <c r="M9" s="375">
        <f t="shared" si="2"/>
        <v>10</v>
      </c>
    </row>
    <row r="10" spans="2:14">
      <c r="B10" s="878"/>
      <c r="C10" s="378" t="s">
        <v>17</v>
      </c>
      <c r="D10" s="380"/>
      <c r="E10" s="380" t="s">
        <v>16</v>
      </c>
      <c r="F10" s="380"/>
      <c r="G10" s="380"/>
      <c r="H10" s="380"/>
      <c r="I10" s="381"/>
      <c r="J10" s="381"/>
      <c r="K10" s="375">
        <v>2</v>
      </c>
      <c r="L10" s="375">
        <f t="shared" ref="L10:L13" si="3">K10*0.5</f>
        <v>1</v>
      </c>
      <c r="M10" s="375">
        <f t="shared" si="2"/>
        <v>4</v>
      </c>
    </row>
    <row r="11" spans="2:14" ht="25.5">
      <c r="B11" s="878"/>
      <c r="C11" s="378" t="s">
        <v>18</v>
      </c>
      <c r="D11" s="380"/>
      <c r="E11" s="380" t="s">
        <v>16</v>
      </c>
      <c r="F11" s="380"/>
      <c r="G11" s="380"/>
      <c r="H11" s="380"/>
      <c r="I11" s="381"/>
      <c r="J11" s="381"/>
      <c r="K11" s="375">
        <v>2</v>
      </c>
      <c r="L11" s="375">
        <f t="shared" si="3"/>
        <v>1</v>
      </c>
      <c r="M11" s="375">
        <f t="shared" si="2"/>
        <v>4</v>
      </c>
    </row>
    <row r="12" spans="2:14" ht="25.5">
      <c r="B12" s="878"/>
      <c r="C12" s="378" t="s">
        <v>19</v>
      </c>
      <c r="D12" s="380"/>
      <c r="E12" s="380" t="s">
        <v>16</v>
      </c>
      <c r="F12" s="380"/>
      <c r="G12" s="380"/>
      <c r="H12" s="380"/>
      <c r="I12" s="381"/>
      <c r="J12" s="381"/>
      <c r="K12" s="375">
        <v>4</v>
      </c>
      <c r="L12" s="375">
        <f t="shared" si="3"/>
        <v>2</v>
      </c>
      <c r="M12" s="375">
        <f t="shared" si="2"/>
        <v>8</v>
      </c>
    </row>
    <row r="13" spans="2:14">
      <c r="B13" s="878"/>
      <c r="C13" s="377" t="s">
        <v>132</v>
      </c>
      <c r="D13" s="380"/>
      <c r="E13" s="380" t="s">
        <v>16</v>
      </c>
      <c r="F13" s="380"/>
      <c r="G13" s="380"/>
      <c r="H13" s="380"/>
      <c r="I13" s="381"/>
      <c r="J13" s="381"/>
      <c r="K13" s="375">
        <v>2</v>
      </c>
      <c r="L13" s="375">
        <f t="shared" si="3"/>
        <v>1</v>
      </c>
      <c r="M13" s="375">
        <f t="shared" si="2"/>
        <v>4</v>
      </c>
    </row>
    <row r="14" spans="2:14" ht="25.5">
      <c r="B14" s="878"/>
      <c r="C14" s="377" t="s">
        <v>472</v>
      </c>
      <c r="D14" s="380"/>
      <c r="E14" s="380" t="s">
        <v>16</v>
      </c>
      <c r="F14" s="380"/>
      <c r="G14" s="380"/>
      <c r="H14" s="380"/>
      <c r="I14" s="381"/>
      <c r="J14" s="381"/>
      <c r="K14" s="375">
        <v>2</v>
      </c>
      <c r="L14" s="375">
        <f>K14*0.5</f>
        <v>1</v>
      </c>
      <c r="M14" s="375">
        <f t="shared" ref="M14" si="4">K14*2</f>
        <v>4</v>
      </c>
    </row>
    <row r="15" spans="2:14" ht="30">
      <c r="B15" s="844" t="s">
        <v>512</v>
      </c>
      <c r="C15" s="361" t="s">
        <v>513</v>
      </c>
      <c r="D15" s="160" t="s">
        <v>16</v>
      </c>
      <c r="E15" s="160" t="s">
        <v>16</v>
      </c>
      <c r="F15" s="160"/>
      <c r="G15" s="159"/>
      <c r="H15" s="159"/>
      <c r="I15" s="37"/>
      <c r="J15" s="37"/>
      <c r="K15" s="159">
        <v>2</v>
      </c>
      <c r="L15" s="159"/>
      <c r="M15" s="159"/>
    </row>
    <row r="16" spans="2:14" ht="30">
      <c r="B16" s="845"/>
      <c r="C16" s="361" t="s">
        <v>514</v>
      </c>
      <c r="D16" s="160"/>
      <c r="E16" s="160" t="s">
        <v>16</v>
      </c>
      <c r="F16" s="160"/>
      <c r="G16" s="159"/>
      <c r="H16" s="159"/>
      <c r="I16" s="37"/>
      <c r="J16" s="37"/>
      <c r="K16" s="159">
        <v>2</v>
      </c>
      <c r="L16" s="159"/>
      <c r="M16" s="159"/>
    </row>
    <row r="17" spans="2:13">
      <c r="B17" s="845"/>
      <c r="C17" s="361" t="s">
        <v>17</v>
      </c>
      <c r="D17" s="160"/>
      <c r="E17" s="160" t="s">
        <v>16</v>
      </c>
      <c r="F17" s="160"/>
      <c r="G17" s="159"/>
      <c r="H17" s="159"/>
      <c r="I17" s="37"/>
      <c r="J17" s="37"/>
      <c r="K17" s="159">
        <v>2</v>
      </c>
      <c r="L17" s="159"/>
      <c r="M17" s="159"/>
    </row>
    <row r="18" spans="2:13">
      <c r="B18" s="845"/>
      <c r="C18" s="361" t="s">
        <v>515</v>
      </c>
      <c r="D18" s="160"/>
      <c r="E18" s="160"/>
      <c r="F18" s="160" t="s">
        <v>16</v>
      </c>
      <c r="G18" s="159"/>
      <c r="H18" s="159"/>
      <c r="I18" s="37"/>
      <c r="J18" s="37"/>
      <c r="K18" s="159">
        <v>2</v>
      </c>
      <c r="L18" s="159"/>
      <c r="M18" s="159"/>
    </row>
    <row r="19" spans="2:13">
      <c r="B19" s="845"/>
      <c r="C19" s="361" t="s">
        <v>516</v>
      </c>
      <c r="D19" s="160"/>
      <c r="E19" s="160"/>
      <c r="F19" s="160" t="s">
        <v>16</v>
      </c>
      <c r="G19" s="159"/>
      <c r="H19" s="159"/>
      <c r="I19" s="37"/>
      <c r="J19" s="37"/>
      <c r="K19" s="159">
        <v>3</v>
      </c>
      <c r="L19" s="159"/>
      <c r="M19" s="159"/>
    </row>
    <row r="20" spans="2:13">
      <c r="B20" s="846"/>
      <c r="C20" s="361" t="s">
        <v>30</v>
      </c>
      <c r="D20" s="160"/>
      <c r="E20" s="160" t="s">
        <v>16</v>
      </c>
      <c r="F20" s="160"/>
      <c r="G20" s="159"/>
      <c r="H20" s="159"/>
      <c r="I20" s="37"/>
      <c r="J20" s="37"/>
      <c r="K20" s="159">
        <v>2</v>
      </c>
      <c r="L20" s="159"/>
      <c r="M20" s="159"/>
    </row>
    <row r="21" spans="2:13">
      <c r="B21" s="796" t="s">
        <v>400</v>
      </c>
      <c r="C21" s="537" t="s">
        <v>331</v>
      </c>
      <c r="D21" s="228" t="s">
        <v>16</v>
      </c>
      <c r="E21" s="228" t="s">
        <v>16</v>
      </c>
      <c r="F21" s="228" t="s">
        <v>230</v>
      </c>
      <c r="G21" s="228" t="s">
        <v>230</v>
      </c>
      <c r="H21" s="228" t="s">
        <v>230</v>
      </c>
      <c r="I21" s="269" t="s">
        <v>230</v>
      </c>
      <c r="J21" s="270" t="s">
        <v>230</v>
      </c>
      <c r="K21" s="228">
        <v>2</v>
      </c>
    </row>
    <row r="22" spans="2:13">
      <c r="B22" s="797"/>
      <c r="C22" s="538" t="s">
        <v>332</v>
      </c>
      <c r="D22" s="227" t="s">
        <v>230</v>
      </c>
      <c r="E22" s="227" t="s">
        <v>16</v>
      </c>
      <c r="F22" s="227" t="s">
        <v>230</v>
      </c>
      <c r="G22" s="227" t="s">
        <v>230</v>
      </c>
      <c r="H22" s="227" t="s">
        <v>230</v>
      </c>
      <c r="I22" s="271" t="s">
        <v>230</v>
      </c>
      <c r="J22" s="272" t="s">
        <v>230</v>
      </c>
      <c r="K22" s="227">
        <v>1</v>
      </c>
    </row>
    <row r="23" spans="2:13">
      <c r="B23" s="797"/>
      <c r="C23" s="538" t="s">
        <v>325</v>
      </c>
      <c r="D23" s="227" t="s">
        <v>230</v>
      </c>
      <c r="E23" s="227" t="s">
        <v>16</v>
      </c>
      <c r="F23" s="227" t="s">
        <v>230</v>
      </c>
      <c r="G23" s="227" t="s">
        <v>230</v>
      </c>
      <c r="H23" s="227" t="s">
        <v>230</v>
      </c>
      <c r="I23" s="271" t="s">
        <v>230</v>
      </c>
      <c r="J23" s="272" t="s">
        <v>230</v>
      </c>
      <c r="K23" s="227">
        <v>1</v>
      </c>
    </row>
    <row r="24" spans="2:13">
      <c r="B24" s="797"/>
      <c r="C24" s="538" t="s">
        <v>308</v>
      </c>
      <c r="D24" s="227" t="s">
        <v>230</v>
      </c>
      <c r="E24" s="227" t="s">
        <v>16</v>
      </c>
      <c r="F24" s="227" t="s">
        <v>230</v>
      </c>
      <c r="G24" s="227" t="s">
        <v>230</v>
      </c>
      <c r="H24" s="227" t="s">
        <v>230</v>
      </c>
      <c r="I24" s="271" t="s">
        <v>230</v>
      </c>
      <c r="J24" s="272" t="s">
        <v>230</v>
      </c>
      <c r="K24" s="227">
        <v>2</v>
      </c>
    </row>
    <row r="25" spans="2:13">
      <c r="B25" s="797"/>
      <c r="C25" s="538" t="s">
        <v>333</v>
      </c>
      <c r="D25" s="227" t="s">
        <v>230</v>
      </c>
      <c r="E25" s="227" t="s">
        <v>16</v>
      </c>
      <c r="F25" s="227" t="s">
        <v>230</v>
      </c>
      <c r="G25" s="227" t="s">
        <v>230</v>
      </c>
      <c r="H25" s="227" t="s">
        <v>230</v>
      </c>
      <c r="I25" s="271" t="s">
        <v>230</v>
      </c>
      <c r="J25" s="272" t="s">
        <v>230</v>
      </c>
      <c r="K25" s="227">
        <v>2</v>
      </c>
    </row>
    <row r="26" spans="2:13">
      <c r="B26" s="797"/>
      <c r="C26" s="538" t="s">
        <v>334</v>
      </c>
      <c r="D26" s="227" t="s">
        <v>230</v>
      </c>
      <c r="E26" s="227" t="s">
        <v>16</v>
      </c>
      <c r="F26" s="227" t="s">
        <v>230</v>
      </c>
      <c r="G26" s="227" t="s">
        <v>230</v>
      </c>
      <c r="H26" s="227" t="s">
        <v>230</v>
      </c>
      <c r="I26" s="271" t="s">
        <v>230</v>
      </c>
      <c r="J26" s="272" t="s">
        <v>230</v>
      </c>
      <c r="K26" s="227">
        <v>2</v>
      </c>
    </row>
    <row r="27" spans="2:13">
      <c r="B27" s="880"/>
      <c r="C27" s="539" t="s">
        <v>180</v>
      </c>
      <c r="D27" s="229" t="s">
        <v>230</v>
      </c>
      <c r="E27" s="229" t="s">
        <v>16</v>
      </c>
      <c r="F27" s="229" t="s">
        <v>230</v>
      </c>
      <c r="G27" s="229" t="s">
        <v>230</v>
      </c>
      <c r="H27" s="229" t="s">
        <v>230</v>
      </c>
      <c r="I27" s="275" t="s">
        <v>230</v>
      </c>
      <c r="J27" s="276" t="s">
        <v>230</v>
      </c>
      <c r="K27" s="229">
        <v>4</v>
      </c>
    </row>
    <row r="28" spans="2:13">
      <c r="B28" s="881" t="s">
        <v>587</v>
      </c>
      <c r="C28" s="567" t="s">
        <v>588</v>
      </c>
      <c r="D28" s="568" t="s">
        <v>23</v>
      </c>
      <c r="E28" s="568" t="s">
        <v>16</v>
      </c>
      <c r="H28" s="382" t="s">
        <v>589</v>
      </c>
      <c r="K28" s="382">
        <v>1</v>
      </c>
    </row>
    <row r="29" spans="2:13" ht="30">
      <c r="B29" s="875"/>
      <c r="C29" s="567" t="s">
        <v>513</v>
      </c>
      <c r="D29" s="568" t="s">
        <v>16</v>
      </c>
      <c r="E29" s="568" t="s">
        <v>16</v>
      </c>
      <c r="K29" s="382">
        <v>1</v>
      </c>
    </row>
    <row r="30" spans="2:13">
      <c r="B30" s="875"/>
      <c r="C30" s="567" t="s">
        <v>17</v>
      </c>
      <c r="D30" s="568"/>
      <c r="E30" s="568" t="s">
        <v>16</v>
      </c>
      <c r="K30" s="382">
        <v>1</v>
      </c>
    </row>
    <row r="31" spans="2:13" ht="30">
      <c r="B31" s="875"/>
      <c r="C31" s="567" t="s">
        <v>18</v>
      </c>
      <c r="D31" s="568"/>
      <c r="E31" s="568" t="s">
        <v>16</v>
      </c>
      <c r="K31" s="382">
        <v>1</v>
      </c>
    </row>
    <row r="32" spans="2:13" ht="30">
      <c r="B32" s="875"/>
      <c r="C32" s="567" t="s">
        <v>19</v>
      </c>
      <c r="D32" s="568"/>
      <c r="E32" s="568" t="s">
        <v>16</v>
      </c>
      <c r="K32" s="382">
        <v>1</v>
      </c>
    </row>
    <row r="33" spans="2:13">
      <c r="B33" s="875"/>
      <c r="C33" s="567" t="s">
        <v>84</v>
      </c>
      <c r="D33" s="568"/>
      <c r="E33" s="568" t="s">
        <v>16</v>
      </c>
      <c r="M33" s="382">
        <v>2</v>
      </c>
    </row>
    <row r="34" spans="2:13">
      <c r="B34" s="876"/>
      <c r="C34" s="567" t="s">
        <v>590</v>
      </c>
      <c r="D34" s="568"/>
      <c r="E34" s="568" t="s">
        <v>16</v>
      </c>
      <c r="K34" s="382">
        <v>1</v>
      </c>
    </row>
    <row r="35" spans="2:13">
      <c r="B35" s="874" t="s">
        <v>591</v>
      </c>
      <c r="C35" s="567" t="s">
        <v>588</v>
      </c>
      <c r="D35" s="568" t="s">
        <v>23</v>
      </c>
      <c r="E35" s="568" t="s">
        <v>16</v>
      </c>
      <c r="K35" s="382">
        <v>1</v>
      </c>
    </row>
    <row r="36" spans="2:13" ht="30">
      <c r="B36" s="875"/>
      <c r="C36" s="567" t="s">
        <v>513</v>
      </c>
      <c r="D36" s="568"/>
      <c r="E36" s="568" t="s">
        <v>16</v>
      </c>
      <c r="K36" s="382">
        <v>1</v>
      </c>
    </row>
    <row r="37" spans="2:13">
      <c r="B37" s="875"/>
      <c r="C37" s="567" t="s">
        <v>17</v>
      </c>
      <c r="D37" s="568"/>
      <c r="E37" s="568" t="s">
        <v>16</v>
      </c>
      <c r="K37" s="382">
        <v>1</v>
      </c>
    </row>
    <row r="38" spans="2:13" ht="30">
      <c r="B38" s="875"/>
      <c r="C38" s="567" t="s">
        <v>18</v>
      </c>
      <c r="D38" s="568"/>
      <c r="E38" s="568" t="s">
        <v>16</v>
      </c>
      <c r="K38" s="382">
        <v>1</v>
      </c>
    </row>
    <row r="39" spans="2:13" ht="30">
      <c r="B39" s="875"/>
      <c r="C39" s="567" t="s">
        <v>19</v>
      </c>
      <c r="D39" s="568"/>
      <c r="E39" s="568" t="s">
        <v>16</v>
      </c>
      <c r="K39" s="382">
        <v>1</v>
      </c>
    </row>
    <row r="40" spans="2:13">
      <c r="B40" s="875"/>
      <c r="C40" s="567" t="s">
        <v>84</v>
      </c>
      <c r="D40" s="568"/>
      <c r="E40" s="568" t="s">
        <v>16</v>
      </c>
      <c r="M40" s="382">
        <v>2</v>
      </c>
    </row>
    <row r="41" spans="2:13">
      <c r="B41" s="876"/>
      <c r="C41" s="567" t="s">
        <v>590</v>
      </c>
      <c r="D41" s="568"/>
      <c r="E41" s="568" t="s">
        <v>16</v>
      </c>
      <c r="K41" s="382">
        <v>1</v>
      </c>
    </row>
    <row r="42" spans="2:13">
      <c r="B42" s="874" t="s">
        <v>592</v>
      </c>
      <c r="C42" s="567" t="s">
        <v>593</v>
      </c>
      <c r="D42" s="568" t="s">
        <v>16</v>
      </c>
      <c r="E42" s="568" t="s">
        <v>16</v>
      </c>
      <c r="K42" s="382">
        <v>1</v>
      </c>
    </row>
    <row r="43" spans="2:13">
      <c r="B43" s="875"/>
      <c r="C43" s="567" t="s">
        <v>594</v>
      </c>
      <c r="D43" s="568" t="s">
        <v>16</v>
      </c>
      <c r="E43" s="568" t="s">
        <v>16</v>
      </c>
      <c r="K43" s="382">
        <v>1</v>
      </c>
    </row>
    <row r="44" spans="2:13" ht="30">
      <c r="B44" s="875"/>
      <c r="C44" s="567" t="s">
        <v>18</v>
      </c>
      <c r="D44" s="568"/>
      <c r="E44" s="568" t="s">
        <v>16</v>
      </c>
      <c r="K44" s="382">
        <v>1</v>
      </c>
    </row>
    <row r="45" spans="2:13" ht="30">
      <c r="B45" s="875"/>
      <c r="C45" s="567" t="s">
        <v>19</v>
      </c>
      <c r="D45" s="568"/>
      <c r="E45" s="568" t="s">
        <v>16</v>
      </c>
      <c r="K45" s="382">
        <v>1</v>
      </c>
    </row>
    <row r="46" spans="2:13" ht="30">
      <c r="B46" s="875"/>
      <c r="C46" s="567" t="s">
        <v>132</v>
      </c>
      <c r="D46" s="568"/>
      <c r="E46" s="568" t="s">
        <v>16</v>
      </c>
      <c r="K46" s="382">
        <v>1</v>
      </c>
    </row>
    <row r="47" spans="2:13">
      <c r="B47" s="875"/>
      <c r="C47" s="567" t="s">
        <v>84</v>
      </c>
      <c r="D47" s="568"/>
      <c r="E47" s="568" t="s">
        <v>16</v>
      </c>
      <c r="M47" s="382">
        <v>4</v>
      </c>
    </row>
    <row r="48" spans="2:13">
      <c r="B48" s="876"/>
      <c r="C48" s="567" t="s">
        <v>590</v>
      </c>
      <c r="D48" s="568"/>
      <c r="E48" s="568" t="s">
        <v>16</v>
      </c>
      <c r="K48" s="382">
        <v>1</v>
      </c>
    </row>
    <row r="49" spans="2:13">
      <c r="B49" s="641"/>
    </row>
    <row r="52" spans="2:13" ht="29.25" customHeight="1">
      <c r="B52" s="871" t="s">
        <v>595</v>
      </c>
      <c r="C52" s="719" t="s">
        <v>584</v>
      </c>
      <c r="D52" s="720" t="s">
        <v>16</v>
      </c>
      <c r="E52" s="720" t="s">
        <v>230</v>
      </c>
      <c r="F52" s="720" t="s">
        <v>23</v>
      </c>
      <c r="G52" s="721" t="s">
        <v>230</v>
      </c>
      <c r="H52" s="721" t="s">
        <v>230</v>
      </c>
      <c r="I52" s="720">
        <v>3</v>
      </c>
      <c r="J52" s="725" t="s">
        <v>230</v>
      </c>
      <c r="K52" s="720">
        <v>3</v>
      </c>
    </row>
    <row r="53" spans="2:13" ht="36">
      <c r="B53" s="872"/>
      <c r="C53" s="722" t="s">
        <v>596</v>
      </c>
      <c r="D53" s="723" t="s">
        <v>230</v>
      </c>
      <c r="E53" s="723" t="s">
        <v>230</v>
      </c>
      <c r="F53" s="723" t="s">
        <v>23</v>
      </c>
      <c r="G53" s="724" t="s">
        <v>230</v>
      </c>
      <c r="H53" s="724" t="s">
        <v>230</v>
      </c>
      <c r="I53" s="723">
        <v>5</v>
      </c>
      <c r="J53" s="700" t="s">
        <v>230</v>
      </c>
      <c r="K53" s="723">
        <v>5</v>
      </c>
    </row>
    <row r="54" spans="2:13" ht="48">
      <c r="B54" s="872"/>
      <c r="C54" s="699" t="s">
        <v>597</v>
      </c>
      <c r="D54" s="723" t="s">
        <v>230</v>
      </c>
      <c r="E54" s="723" t="s">
        <v>230</v>
      </c>
      <c r="F54" s="723" t="s">
        <v>23</v>
      </c>
      <c r="G54" s="724" t="s">
        <v>230</v>
      </c>
      <c r="H54" s="724" t="s">
        <v>230</v>
      </c>
      <c r="I54" s="723">
        <v>3</v>
      </c>
      <c r="J54" s="700" t="s">
        <v>230</v>
      </c>
      <c r="K54" s="723">
        <v>3</v>
      </c>
    </row>
    <row r="55" spans="2:13">
      <c r="B55" s="872"/>
      <c r="C55" s="715" t="s">
        <v>586</v>
      </c>
      <c r="D55" s="723" t="s">
        <v>230</v>
      </c>
      <c r="E55" s="723" t="s">
        <v>230</v>
      </c>
      <c r="F55" s="723" t="s">
        <v>23</v>
      </c>
      <c r="G55" s="724" t="s">
        <v>230</v>
      </c>
      <c r="H55" s="724" t="s">
        <v>230</v>
      </c>
      <c r="I55" s="723" t="s">
        <v>230</v>
      </c>
      <c r="J55" s="700" t="s">
        <v>230</v>
      </c>
      <c r="K55" s="723" t="s">
        <v>230</v>
      </c>
      <c r="M55" s="382">
        <v>4</v>
      </c>
    </row>
    <row r="56" spans="2:13">
      <c r="B56" s="872"/>
      <c r="C56" s="715" t="s">
        <v>17</v>
      </c>
      <c r="D56" s="723" t="s">
        <v>230</v>
      </c>
      <c r="E56" s="723" t="s">
        <v>230</v>
      </c>
      <c r="F56" s="723" t="s">
        <v>23</v>
      </c>
      <c r="G56" s="724" t="s">
        <v>230</v>
      </c>
      <c r="H56" s="724" t="s">
        <v>230</v>
      </c>
      <c r="I56" s="723">
        <v>4</v>
      </c>
      <c r="J56" s="700" t="s">
        <v>230</v>
      </c>
      <c r="K56" s="723">
        <v>4</v>
      </c>
    </row>
    <row r="57" spans="2:13" ht="24">
      <c r="B57" s="872"/>
      <c r="C57" s="715" t="s">
        <v>18</v>
      </c>
      <c r="D57" s="723" t="s">
        <v>230</v>
      </c>
      <c r="E57" s="723" t="s">
        <v>230</v>
      </c>
      <c r="F57" s="723" t="s">
        <v>23</v>
      </c>
      <c r="G57" s="724" t="s">
        <v>230</v>
      </c>
      <c r="H57" s="724" t="s">
        <v>230</v>
      </c>
      <c r="I57" s="723">
        <v>2</v>
      </c>
      <c r="J57" s="700" t="s">
        <v>230</v>
      </c>
      <c r="K57" s="723">
        <v>2</v>
      </c>
    </row>
    <row r="58" spans="2:13" ht="24">
      <c r="B58" s="872"/>
      <c r="C58" s="715" t="s">
        <v>19</v>
      </c>
      <c r="D58" s="723" t="s">
        <v>230</v>
      </c>
      <c r="E58" s="723" t="s">
        <v>230</v>
      </c>
      <c r="F58" s="723" t="s">
        <v>23</v>
      </c>
      <c r="G58" s="724" t="s">
        <v>230</v>
      </c>
      <c r="H58" s="724" t="s">
        <v>230</v>
      </c>
      <c r="I58" s="723">
        <v>2</v>
      </c>
      <c r="J58" s="700" t="s">
        <v>230</v>
      </c>
      <c r="K58" s="723">
        <v>2</v>
      </c>
    </row>
    <row r="59" spans="2:13">
      <c r="B59" s="872"/>
      <c r="C59" s="715" t="s">
        <v>132</v>
      </c>
      <c r="D59" s="725" t="s">
        <v>230</v>
      </c>
      <c r="E59" s="701" t="s">
        <v>230</v>
      </c>
      <c r="F59" s="701" t="s">
        <v>16</v>
      </c>
      <c r="G59" s="665" t="s">
        <v>230</v>
      </c>
      <c r="H59" s="665" t="s">
        <v>230</v>
      </c>
      <c r="I59" s="701">
        <v>2</v>
      </c>
      <c r="J59" s="666" t="s">
        <v>230</v>
      </c>
      <c r="K59" s="701">
        <v>2</v>
      </c>
    </row>
    <row r="60" spans="2:13" ht="48">
      <c r="B60" s="872"/>
      <c r="C60" s="715" t="s">
        <v>598</v>
      </c>
      <c r="D60" s="700" t="s">
        <v>230</v>
      </c>
      <c r="E60" s="702" t="s">
        <v>230</v>
      </c>
      <c r="F60" s="702" t="s">
        <v>16</v>
      </c>
      <c r="G60" s="535" t="s">
        <v>230</v>
      </c>
      <c r="H60" s="535" t="s">
        <v>230</v>
      </c>
      <c r="I60" s="702">
        <v>4</v>
      </c>
      <c r="J60" s="666" t="s">
        <v>230</v>
      </c>
      <c r="K60" s="702">
        <v>4</v>
      </c>
    </row>
    <row r="61" spans="2:13" ht="24">
      <c r="B61" s="872"/>
      <c r="C61" s="715" t="s">
        <v>472</v>
      </c>
      <c r="D61" s="700" t="s">
        <v>230</v>
      </c>
      <c r="E61" s="702" t="s">
        <v>230</v>
      </c>
      <c r="F61" s="702" t="s">
        <v>16</v>
      </c>
      <c r="G61" s="535" t="s">
        <v>230</v>
      </c>
      <c r="H61" s="535" t="s">
        <v>230</v>
      </c>
      <c r="I61" s="702">
        <v>2</v>
      </c>
      <c r="J61" s="666" t="s">
        <v>230</v>
      </c>
      <c r="K61" s="702">
        <v>2</v>
      </c>
    </row>
    <row r="62" spans="2:13">
      <c r="B62" s="873"/>
      <c r="C62" s="680" t="s">
        <v>599</v>
      </c>
      <c r="D62" s="702" t="s">
        <v>230</v>
      </c>
      <c r="E62" s="702" t="s">
        <v>230</v>
      </c>
      <c r="F62" s="702" t="s">
        <v>16</v>
      </c>
      <c r="G62" s="535" t="s">
        <v>230</v>
      </c>
      <c r="H62" s="535" t="s">
        <v>230</v>
      </c>
      <c r="I62" s="702">
        <v>6</v>
      </c>
      <c r="J62" s="666" t="s">
        <v>230</v>
      </c>
      <c r="K62" s="702">
        <v>6</v>
      </c>
    </row>
  </sheetData>
  <mergeCells count="8">
    <mergeCell ref="B52:B62"/>
    <mergeCell ref="B35:B41"/>
    <mergeCell ref="B42:B48"/>
    <mergeCell ref="B2:B7"/>
    <mergeCell ref="B8:B14"/>
    <mergeCell ref="B15:B20"/>
    <mergeCell ref="B21:B27"/>
    <mergeCell ref="B28:B3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4A3B-1865-45EE-BAD9-064D4ECF0E5D}">
  <dimension ref="B1:N22"/>
  <sheetViews>
    <sheetView workbookViewId="0">
      <selection activeCell="B1" sqref="B1:N1"/>
    </sheetView>
  </sheetViews>
  <sheetFormatPr defaultColWidth="8.7109375" defaultRowHeight="15"/>
  <cols>
    <col min="2" max="2" width="16.7109375" style="159" customWidth="1"/>
    <col min="3" max="3" width="44.140625" style="52" customWidth="1"/>
    <col min="4" max="7" width="9.140625" style="52"/>
    <col min="8" max="8" width="9.140625" style="319"/>
    <col min="9" max="9" width="9.140625" style="39"/>
    <col min="10" max="10" width="9.140625" style="320"/>
    <col min="11" max="11" width="18" style="319" customWidth="1"/>
    <col min="12" max="12" width="13.7109375" style="52" customWidth="1"/>
    <col min="13" max="13" width="19.42578125" style="52" customWidth="1"/>
    <col min="14" max="14" width="21.7109375" style="185" customWidth="1"/>
  </cols>
  <sheetData>
    <row r="1" spans="2:14" ht="47.25">
      <c r="B1" s="609" t="s">
        <v>2</v>
      </c>
      <c r="C1" s="608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337" t="s">
        <v>8</v>
      </c>
      <c r="I1" s="12"/>
      <c r="J1" s="337" t="s">
        <v>9</v>
      </c>
      <c r="K1" s="337" t="s">
        <v>10</v>
      </c>
      <c r="L1" s="12" t="s">
        <v>11</v>
      </c>
      <c r="M1" s="12" t="s">
        <v>12</v>
      </c>
      <c r="N1" s="45" t="s">
        <v>13</v>
      </c>
    </row>
    <row r="2" spans="2:14" ht="35.25" customHeight="1">
      <c r="B2" s="882" t="s">
        <v>600</v>
      </c>
      <c r="C2" s="327" t="s">
        <v>601</v>
      </c>
      <c r="D2" s="328"/>
      <c r="E2" s="328" t="s">
        <v>16</v>
      </c>
      <c r="F2" s="328"/>
      <c r="G2" s="328"/>
      <c r="H2" s="328"/>
      <c r="I2" s="329"/>
      <c r="J2" s="329"/>
      <c r="K2" s="330">
        <v>2</v>
      </c>
      <c r="L2" s="331"/>
      <c r="M2" s="332"/>
      <c r="N2" s="333"/>
    </row>
    <row r="3" spans="2:14" ht="26.25">
      <c r="B3" s="883"/>
      <c r="C3" s="284" t="s">
        <v>602</v>
      </c>
      <c r="D3" s="321"/>
      <c r="E3" s="321" t="s">
        <v>16</v>
      </c>
      <c r="F3" s="321"/>
      <c r="G3" s="321"/>
      <c r="H3" s="321"/>
      <c r="I3" s="322"/>
      <c r="J3" s="322"/>
      <c r="K3" s="325">
        <v>4</v>
      </c>
      <c r="L3" s="323"/>
      <c r="M3" s="324"/>
      <c r="N3" s="334"/>
    </row>
    <row r="4" spans="2:14" ht="26.25">
      <c r="B4" s="883"/>
      <c r="C4" s="284" t="s">
        <v>376</v>
      </c>
      <c r="D4" s="321"/>
      <c r="E4" s="321" t="s">
        <v>16</v>
      </c>
      <c r="F4" s="321"/>
      <c r="G4" s="321"/>
      <c r="H4" s="321"/>
      <c r="I4" s="322"/>
      <c r="J4" s="322"/>
      <c r="K4" s="325">
        <v>2</v>
      </c>
      <c r="L4" s="323"/>
      <c r="M4" s="324"/>
      <c r="N4" s="334"/>
    </row>
    <row r="5" spans="2:14" ht="26.25">
      <c r="B5" s="883"/>
      <c r="C5" s="284" t="s">
        <v>377</v>
      </c>
      <c r="D5" s="321"/>
      <c r="E5" s="321" t="s">
        <v>16</v>
      </c>
      <c r="F5" s="321"/>
      <c r="G5" s="321"/>
      <c r="H5" s="321"/>
      <c r="I5" s="322"/>
      <c r="J5" s="322"/>
      <c r="K5" s="325">
        <v>1</v>
      </c>
      <c r="L5" s="323"/>
      <c r="M5" s="324"/>
      <c r="N5" s="334"/>
    </row>
    <row r="6" spans="2:14" ht="26.25">
      <c r="B6" s="883"/>
      <c r="C6" s="284" t="s">
        <v>603</v>
      </c>
      <c r="D6" s="321"/>
      <c r="E6" s="321" t="s">
        <v>16</v>
      </c>
      <c r="F6" s="321"/>
      <c r="G6" s="321"/>
      <c r="H6" s="321"/>
      <c r="I6" s="322"/>
      <c r="J6" s="322"/>
      <c r="K6" s="325">
        <v>4</v>
      </c>
      <c r="L6" s="323"/>
      <c r="M6" s="324"/>
      <c r="N6" s="334"/>
    </row>
    <row r="7" spans="2:14">
      <c r="B7" s="883"/>
      <c r="C7" s="284" t="s">
        <v>604</v>
      </c>
      <c r="D7" s="321"/>
      <c r="E7" s="321" t="s">
        <v>16</v>
      </c>
      <c r="F7" s="321"/>
      <c r="G7" s="321"/>
      <c r="H7" s="321"/>
      <c r="I7" s="322"/>
      <c r="J7" s="322"/>
      <c r="K7" s="325">
        <v>2</v>
      </c>
      <c r="L7" s="323"/>
      <c r="M7" s="324"/>
      <c r="N7" s="334"/>
    </row>
    <row r="8" spans="2:14" ht="38.25">
      <c r="B8" s="883"/>
      <c r="C8" s="182" t="s">
        <v>380</v>
      </c>
      <c r="D8" s="321"/>
      <c r="E8" s="321" t="s">
        <v>16</v>
      </c>
      <c r="F8" s="321"/>
      <c r="G8" s="321"/>
      <c r="H8" s="321"/>
      <c r="I8" s="322"/>
      <c r="J8" s="322"/>
      <c r="K8" s="325">
        <v>1</v>
      </c>
      <c r="L8" s="323"/>
      <c r="M8" s="324"/>
      <c r="N8" s="334"/>
    </row>
    <row r="9" spans="2:14" ht="26.25">
      <c r="B9" s="883"/>
      <c r="C9" s="284" t="s">
        <v>605</v>
      </c>
      <c r="D9" s="321"/>
      <c r="E9" s="321" t="s">
        <v>16</v>
      </c>
      <c r="F9" s="321"/>
      <c r="G9" s="321"/>
      <c r="H9" s="321"/>
      <c r="I9" s="322"/>
      <c r="J9" s="322"/>
      <c r="K9" s="325">
        <v>4</v>
      </c>
      <c r="L9" s="323"/>
      <c r="M9" s="324"/>
      <c r="N9" s="334"/>
    </row>
    <row r="10" spans="2:14" ht="38.25">
      <c r="B10" s="883"/>
      <c r="C10" s="182" t="s">
        <v>606</v>
      </c>
      <c r="D10" s="321"/>
      <c r="E10" s="321" t="s">
        <v>16</v>
      </c>
      <c r="F10" s="321"/>
      <c r="G10" s="321"/>
      <c r="H10" s="321"/>
      <c r="I10" s="322"/>
      <c r="J10" s="322"/>
      <c r="K10" s="325">
        <v>4</v>
      </c>
      <c r="L10" s="323">
        <v>4</v>
      </c>
      <c r="M10" s="324"/>
      <c r="N10" s="334"/>
    </row>
    <row r="11" spans="2:14">
      <c r="B11" s="883"/>
      <c r="C11" s="284" t="s">
        <v>607</v>
      </c>
      <c r="D11" s="321"/>
      <c r="E11" s="321" t="s">
        <v>16</v>
      </c>
      <c r="F11" s="321"/>
      <c r="G11" s="321"/>
      <c r="H11" s="321"/>
      <c r="I11" s="322"/>
      <c r="J11" s="322"/>
      <c r="K11" s="325">
        <v>1</v>
      </c>
      <c r="L11" s="323"/>
      <c r="M11" s="324"/>
      <c r="N11" s="334"/>
    </row>
    <row r="12" spans="2:14" ht="38.25">
      <c r="B12" s="883"/>
      <c r="C12" s="341" t="s">
        <v>383</v>
      </c>
      <c r="D12" s="342"/>
      <c r="E12" s="342"/>
      <c r="F12" s="342" t="s">
        <v>16</v>
      </c>
      <c r="G12" s="342"/>
      <c r="H12" s="342"/>
      <c r="I12" s="343"/>
      <c r="J12" s="343"/>
      <c r="K12" s="344">
        <v>2</v>
      </c>
      <c r="L12" s="345"/>
      <c r="M12" s="346"/>
      <c r="N12" s="347"/>
    </row>
    <row r="13" spans="2:14" ht="23.25" customHeight="1">
      <c r="B13" s="884" t="s">
        <v>608</v>
      </c>
      <c r="C13" s="313" t="s">
        <v>609</v>
      </c>
      <c r="D13" s="213"/>
      <c r="E13" s="213" t="s">
        <v>16</v>
      </c>
      <c r="F13" s="213"/>
      <c r="G13" s="213"/>
      <c r="H13" s="213"/>
      <c r="I13" s="310"/>
      <c r="J13" s="310"/>
      <c r="K13" s="339">
        <v>1</v>
      </c>
      <c r="L13" s="332"/>
      <c r="M13" s="332"/>
      <c r="N13" s="333"/>
    </row>
    <row r="14" spans="2:14" ht="25.5">
      <c r="B14" s="885"/>
      <c r="C14" s="179" t="s">
        <v>376</v>
      </c>
      <c r="D14" s="180"/>
      <c r="E14" s="180" t="s">
        <v>16</v>
      </c>
      <c r="F14" s="180"/>
      <c r="G14" s="180"/>
      <c r="H14" s="180"/>
      <c r="I14" s="309"/>
      <c r="J14" s="309"/>
      <c r="K14" s="326">
        <v>2</v>
      </c>
      <c r="L14" s="324"/>
      <c r="M14" s="324"/>
      <c r="N14" s="334"/>
    </row>
    <row r="15" spans="2:14" ht="25.5">
      <c r="B15" s="885"/>
      <c r="C15" s="179" t="s">
        <v>610</v>
      </c>
      <c r="D15" s="180"/>
      <c r="E15" s="180" t="s">
        <v>16</v>
      </c>
      <c r="F15" s="180"/>
      <c r="G15" s="180"/>
      <c r="H15" s="180"/>
      <c r="I15" s="309"/>
      <c r="J15" s="309"/>
      <c r="K15" s="326">
        <v>1</v>
      </c>
      <c r="L15" s="324"/>
      <c r="M15" s="324"/>
      <c r="N15" s="334"/>
    </row>
    <row r="16" spans="2:14">
      <c r="B16" s="885"/>
      <c r="C16" s="179" t="s">
        <v>611</v>
      </c>
      <c r="D16" s="180"/>
      <c r="E16" s="180" t="s">
        <v>16</v>
      </c>
      <c r="F16" s="180"/>
      <c r="G16" s="180"/>
      <c r="H16" s="180"/>
      <c r="I16" s="309"/>
      <c r="J16" s="309"/>
      <c r="K16" s="326">
        <v>1</v>
      </c>
      <c r="L16" s="324"/>
      <c r="M16" s="324"/>
      <c r="N16" s="334"/>
    </row>
    <row r="17" spans="2:14" ht="25.5">
      <c r="B17" s="885"/>
      <c r="C17" s="179" t="s">
        <v>612</v>
      </c>
      <c r="D17" s="180"/>
      <c r="E17" s="180" t="s">
        <v>16</v>
      </c>
      <c r="F17" s="180"/>
      <c r="G17" s="180"/>
      <c r="H17" s="180"/>
      <c r="I17" s="309"/>
      <c r="J17" s="309"/>
      <c r="K17" s="326">
        <v>1</v>
      </c>
      <c r="L17" s="324"/>
      <c r="M17" s="324"/>
      <c r="N17" s="334"/>
    </row>
    <row r="18" spans="2:14" ht="25.5">
      <c r="B18" s="885"/>
      <c r="C18" s="179" t="s">
        <v>613</v>
      </c>
      <c r="D18" s="180"/>
      <c r="E18" s="180" t="s">
        <v>16</v>
      </c>
      <c r="F18" s="180"/>
      <c r="G18" s="180"/>
      <c r="H18" s="180"/>
      <c r="I18" s="309"/>
      <c r="J18" s="309"/>
      <c r="K18" s="326">
        <v>2</v>
      </c>
      <c r="L18" s="324"/>
      <c r="M18" s="324"/>
      <c r="N18" s="334"/>
    </row>
    <row r="19" spans="2:14" ht="58.5" customHeight="1">
      <c r="B19" s="885"/>
      <c r="C19" s="179" t="s">
        <v>614</v>
      </c>
      <c r="D19" s="180"/>
      <c r="E19" s="180" t="s">
        <v>16</v>
      </c>
      <c r="F19" s="180"/>
      <c r="G19" s="180"/>
      <c r="H19" s="180"/>
      <c r="I19" s="309"/>
      <c r="J19" s="309"/>
      <c r="K19" s="326">
        <v>2</v>
      </c>
      <c r="L19" s="324"/>
      <c r="M19" s="324"/>
      <c r="N19" s="334"/>
    </row>
    <row r="20" spans="2:14">
      <c r="B20" s="885"/>
      <c r="C20" s="179" t="s">
        <v>615</v>
      </c>
      <c r="D20" s="180"/>
      <c r="E20" s="180" t="s">
        <v>16</v>
      </c>
      <c r="F20" s="180"/>
      <c r="G20" s="180"/>
      <c r="H20" s="180"/>
      <c r="I20" s="309"/>
      <c r="J20" s="309"/>
      <c r="K20" s="326">
        <v>1</v>
      </c>
      <c r="L20" s="324"/>
      <c r="M20" s="324"/>
      <c r="N20" s="334"/>
    </row>
    <row r="21" spans="2:14" ht="46.5" customHeight="1">
      <c r="B21" s="886"/>
      <c r="C21" s="314" t="s">
        <v>383</v>
      </c>
      <c r="D21" s="216"/>
      <c r="E21" s="216"/>
      <c r="F21" s="216" t="s">
        <v>16</v>
      </c>
      <c r="G21" s="216"/>
      <c r="H21" s="216"/>
      <c r="I21" s="311"/>
      <c r="J21" s="311"/>
      <c r="K21" s="340">
        <v>2</v>
      </c>
      <c r="L21" s="335"/>
      <c r="M21" s="335"/>
      <c r="N21" s="336"/>
    </row>
    <row r="22" spans="2:14">
      <c r="B22" s="156"/>
      <c r="C22" s="348"/>
      <c r="D22" s="348"/>
      <c r="E22" s="348"/>
      <c r="F22" s="348"/>
      <c r="G22" s="348"/>
      <c r="H22" s="349"/>
      <c r="I22" s="350"/>
      <c r="J22" s="351"/>
      <c r="K22" s="349"/>
      <c r="L22" s="348"/>
      <c r="M22" s="348"/>
      <c r="N22" s="338"/>
    </row>
  </sheetData>
  <mergeCells count="2">
    <mergeCell ref="B2:B12"/>
    <mergeCell ref="B13:B2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D3CF-6597-4CC1-AB52-2566BCE749BA}">
  <dimension ref="B1:Q58"/>
  <sheetViews>
    <sheetView topLeftCell="A33" workbookViewId="0">
      <selection activeCell="C52" sqref="C52"/>
    </sheetView>
  </sheetViews>
  <sheetFormatPr defaultColWidth="8.7109375" defaultRowHeight="15"/>
  <cols>
    <col min="2" max="2" width="23.85546875" style="159" customWidth="1"/>
    <col min="3" max="3" width="37.28515625" style="52" customWidth="1"/>
    <col min="4" max="8" width="9.140625" style="52"/>
    <col min="9" max="10" width="9.140625" style="39"/>
    <col min="11" max="11" width="14.28515625" style="52" customWidth="1"/>
    <col min="12" max="12" width="16.85546875" style="52" customWidth="1"/>
    <col min="13" max="13" width="18.5703125" style="52" customWidth="1"/>
    <col min="14" max="14" width="32.42578125" style="39" customWidth="1"/>
    <col min="15" max="15" width="18.140625" bestFit="1" customWidth="1"/>
    <col min="16" max="16" width="24.140625" bestFit="1" customWidth="1"/>
  </cols>
  <sheetData>
    <row r="1" spans="2:14" ht="47.25">
      <c r="B1" s="609" t="s">
        <v>2</v>
      </c>
      <c r="C1" s="608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/>
      <c r="J1" s="12" t="s">
        <v>9</v>
      </c>
      <c r="K1" s="12" t="s">
        <v>10</v>
      </c>
      <c r="L1" s="12" t="s">
        <v>11</v>
      </c>
      <c r="M1" s="12" t="s">
        <v>12</v>
      </c>
      <c r="N1" s="13" t="s">
        <v>13</v>
      </c>
    </row>
    <row r="2" spans="2:14" ht="25.5">
      <c r="B2" s="887" t="s">
        <v>616</v>
      </c>
      <c r="C2" s="354" t="s">
        <v>617</v>
      </c>
      <c r="D2" s="355"/>
      <c r="E2" s="355" t="s">
        <v>16</v>
      </c>
      <c r="F2" s="355"/>
      <c r="G2" s="355"/>
      <c r="H2" s="355"/>
      <c r="I2" s="356"/>
      <c r="J2" s="356"/>
      <c r="K2" s="357">
        <v>2</v>
      </c>
      <c r="L2" s="357"/>
      <c r="M2" s="357"/>
      <c r="N2" s="358"/>
    </row>
    <row r="3" spans="2:14">
      <c r="B3" s="888"/>
      <c r="C3" s="80" t="s">
        <v>618</v>
      </c>
      <c r="D3" s="352"/>
      <c r="E3" s="352" t="s">
        <v>16</v>
      </c>
      <c r="F3" s="352"/>
      <c r="G3" s="352"/>
      <c r="H3" s="352"/>
      <c r="I3" s="38"/>
      <c r="J3" s="38"/>
      <c r="K3" s="353">
        <v>1</v>
      </c>
      <c r="L3" s="353"/>
      <c r="M3" s="353"/>
      <c r="N3" s="359" t="s">
        <v>619</v>
      </c>
    </row>
    <row r="4" spans="2:14">
      <c r="B4" s="888"/>
      <c r="C4" s="484" t="s">
        <v>30</v>
      </c>
      <c r="D4" s="528"/>
      <c r="E4" s="528" t="s">
        <v>16</v>
      </c>
      <c r="F4" s="528"/>
      <c r="G4" s="528"/>
      <c r="H4" s="528"/>
      <c r="I4" s="529"/>
      <c r="J4" s="529"/>
      <c r="K4" s="530">
        <v>2</v>
      </c>
      <c r="L4" s="530"/>
      <c r="M4" s="530"/>
      <c r="N4" s="531"/>
    </row>
    <row r="5" spans="2:14" ht="30">
      <c r="B5" s="738" t="s">
        <v>620</v>
      </c>
      <c r="C5" s="332" t="s">
        <v>621</v>
      </c>
      <c r="D5" s="497"/>
      <c r="E5" s="497" t="s">
        <v>16</v>
      </c>
      <c r="F5" s="497"/>
      <c r="G5" s="497"/>
      <c r="H5" s="497"/>
      <c r="I5" s="526"/>
      <c r="J5" s="526"/>
      <c r="K5" s="497">
        <v>1</v>
      </c>
      <c r="L5" s="497"/>
      <c r="M5" s="497"/>
      <c r="N5" s="358"/>
    </row>
    <row r="6" spans="2:14" ht="30">
      <c r="B6" s="739"/>
      <c r="C6" s="324" t="s">
        <v>622</v>
      </c>
      <c r="E6" s="52" t="s">
        <v>16</v>
      </c>
      <c r="K6" s="52">
        <v>1</v>
      </c>
      <c r="N6" s="359"/>
    </row>
    <row r="7" spans="2:14" ht="30">
      <c r="B7" s="739"/>
      <c r="C7" s="324" t="s">
        <v>623</v>
      </c>
      <c r="E7" s="52" t="s">
        <v>16</v>
      </c>
      <c r="K7" s="52">
        <v>1</v>
      </c>
      <c r="N7" s="359"/>
    </row>
    <row r="8" spans="2:14" ht="30">
      <c r="B8" s="739"/>
      <c r="C8" s="324" t="s">
        <v>624</v>
      </c>
      <c r="E8" s="52" t="s">
        <v>16</v>
      </c>
      <c r="K8" s="52">
        <v>2</v>
      </c>
      <c r="N8" s="359"/>
    </row>
    <row r="9" spans="2:14" ht="30">
      <c r="B9" s="739"/>
      <c r="C9" s="324" t="s">
        <v>625</v>
      </c>
      <c r="E9" s="52" t="s">
        <v>16</v>
      </c>
      <c r="K9" s="52">
        <v>8</v>
      </c>
      <c r="N9" s="359"/>
    </row>
    <row r="10" spans="2:14" ht="45">
      <c r="B10" s="739"/>
      <c r="C10" s="324" t="s">
        <v>626</v>
      </c>
      <c r="E10" s="52" t="s">
        <v>16</v>
      </c>
      <c r="M10" s="52">
        <v>20</v>
      </c>
      <c r="N10" s="359"/>
    </row>
    <row r="11" spans="2:14">
      <c r="B11" s="739"/>
      <c r="C11" s="324" t="s">
        <v>627</v>
      </c>
      <c r="E11" s="52" t="s">
        <v>16</v>
      </c>
      <c r="L11" s="52">
        <v>8</v>
      </c>
      <c r="N11" s="359"/>
    </row>
    <row r="12" spans="2:14" ht="30">
      <c r="B12" s="740"/>
      <c r="C12" s="335" t="s">
        <v>628</v>
      </c>
      <c r="D12" s="499"/>
      <c r="E12" s="499" t="s">
        <v>16</v>
      </c>
      <c r="F12" s="499"/>
      <c r="G12" s="499"/>
      <c r="H12" s="499"/>
      <c r="I12" s="527"/>
      <c r="J12" s="527"/>
      <c r="K12" s="499">
        <v>4</v>
      </c>
      <c r="L12" s="499"/>
      <c r="M12" s="499"/>
      <c r="N12" s="360"/>
    </row>
    <row r="13" spans="2:14" ht="30">
      <c r="B13" s="889" t="s">
        <v>629</v>
      </c>
      <c r="C13" s="324" t="s">
        <v>630</v>
      </c>
      <c r="D13" s="52" t="s">
        <v>230</v>
      </c>
      <c r="E13" s="52" t="s">
        <v>16</v>
      </c>
      <c r="F13" s="52" t="s">
        <v>230</v>
      </c>
      <c r="G13" s="52" t="s">
        <v>230</v>
      </c>
      <c r="H13" s="52" t="s">
        <v>230</v>
      </c>
      <c r="I13" s="39" t="s">
        <v>230</v>
      </c>
      <c r="J13" s="39" t="s">
        <v>230</v>
      </c>
      <c r="K13" s="52">
        <v>50</v>
      </c>
    </row>
    <row r="14" spans="2:14" ht="30">
      <c r="B14" s="842"/>
      <c r="C14" s="324" t="s">
        <v>631</v>
      </c>
      <c r="D14" s="52" t="s">
        <v>230</v>
      </c>
      <c r="E14" s="52" t="s">
        <v>16</v>
      </c>
      <c r="F14" s="52" t="s">
        <v>230</v>
      </c>
      <c r="G14" s="52" t="s">
        <v>230</v>
      </c>
      <c r="H14" s="52" t="s">
        <v>230</v>
      </c>
      <c r="I14" s="39" t="s">
        <v>230</v>
      </c>
      <c r="J14" s="39" t="s">
        <v>230</v>
      </c>
      <c r="K14" s="52">
        <v>10</v>
      </c>
    </row>
    <row r="15" spans="2:14">
      <c r="B15" s="842"/>
      <c r="C15" s="324" t="s">
        <v>632</v>
      </c>
      <c r="D15" s="52" t="s">
        <v>230</v>
      </c>
      <c r="E15" s="52" t="s">
        <v>16</v>
      </c>
      <c r="F15" s="52" t="s">
        <v>230</v>
      </c>
      <c r="G15" s="52" t="s">
        <v>230</v>
      </c>
      <c r="H15" s="52" t="s">
        <v>230</v>
      </c>
      <c r="I15" s="39" t="s">
        <v>230</v>
      </c>
      <c r="J15" s="39" t="s">
        <v>230</v>
      </c>
      <c r="K15" s="52">
        <v>5</v>
      </c>
    </row>
    <row r="16" spans="2:14">
      <c r="B16" s="843"/>
      <c r="C16" s="324" t="s">
        <v>633</v>
      </c>
      <c r="D16" s="52" t="s">
        <v>230</v>
      </c>
      <c r="E16" s="52" t="s">
        <v>16</v>
      </c>
      <c r="F16" s="52" t="s">
        <v>230</v>
      </c>
      <c r="G16" s="52" t="s">
        <v>230</v>
      </c>
      <c r="H16" s="52" t="s">
        <v>230</v>
      </c>
      <c r="I16" s="39" t="s">
        <v>230</v>
      </c>
      <c r="J16" s="39" t="s">
        <v>230</v>
      </c>
      <c r="K16" s="52">
        <v>20</v>
      </c>
    </row>
    <row r="17" spans="2:15" ht="30">
      <c r="B17" s="829" t="s">
        <v>634</v>
      </c>
      <c r="C17" s="324" t="s">
        <v>621</v>
      </c>
      <c r="D17" s="324" t="s">
        <v>230</v>
      </c>
      <c r="E17" s="324" t="s">
        <v>230</v>
      </c>
      <c r="F17" s="324" t="s">
        <v>16</v>
      </c>
      <c r="G17" s="324" t="s">
        <v>230</v>
      </c>
      <c r="H17" s="324" t="s">
        <v>230</v>
      </c>
      <c r="I17" s="407" t="s">
        <v>230</v>
      </c>
      <c r="J17" s="407" t="s">
        <v>230</v>
      </c>
      <c r="K17" s="324">
        <v>2</v>
      </c>
      <c r="L17" s="324" t="s">
        <v>230</v>
      </c>
      <c r="M17" s="324" t="s">
        <v>230</v>
      </c>
    </row>
    <row r="18" spans="2:15" ht="30">
      <c r="B18" s="830"/>
      <c r="C18" s="324" t="s">
        <v>622</v>
      </c>
      <c r="D18" s="324" t="s">
        <v>230</v>
      </c>
      <c r="E18" s="324" t="s">
        <v>230</v>
      </c>
      <c r="F18" s="324" t="s">
        <v>16</v>
      </c>
      <c r="G18" s="324" t="s">
        <v>230</v>
      </c>
      <c r="H18" s="324" t="s">
        <v>230</v>
      </c>
      <c r="I18" s="407" t="s">
        <v>230</v>
      </c>
      <c r="J18" s="407" t="s">
        <v>230</v>
      </c>
      <c r="K18" s="324">
        <v>2</v>
      </c>
      <c r="L18" s="324" t="s">
        <v>230</v>
      </c>
      <c r="M18" s="324" t="s">
        <v>230</v>
      </c>
    </row>
    <row r="19" spans="2:15" ht="30">
      <c r="B19" s="830"/>
      <c r="C19" s="324" t="s">
        <v>635</v>
      </c>
      <c r="D19" s="324" t="s">
        <v>230</v>
      </c>
      <c r="E19" s="324" t="s">
        <v>230</v>
      </c>
      <c r="F19" s="324" t="s">
        <v>16</v>
      </c>
      <c r="G19" s="324" t="s">
        <v>230</v>
      </c>
      <c r="H19" s="324" t="s">
        <v>230</v>
      </c>
      <c r="I19" s="407" t="s">
        <v>230</v>
      </c>
      <c r="J19" s="407" t="s">
        <v>230</v>
      </c>
      <c r="K19" s="324">
        <v>2</v>
      </c>
      <c r="L19" s="324" t="s">
        <v>230</v>
      </c>
      <c r="M19" s="324" t="s">
        <v>230</v>
      </c>
    </row>
    <row r="20" spans="2:15" ht="30">
      <c r="B20" s="830"/>
      <c r="C20" s="324" t="s">
        <v>624</v>
      </c>
      <c r="D20" s="324" t="s">
        <v>230</v>
      </c>
      <c r="E20" s="324" t="s">
        <v>230</v>
      </c>
      <c r="F20" s="324" t="s">
        <v>16</v>
      </c>
      <c r="G20" s="324" t="s">
        <v>230</v>
      </c>
      <c r="H20" s="324" t="s">
        <v>230</v>
      </c>
      <c r="I20" s="407" t="s">
        <v>230</v>
      </c>
      <c r="J20" s="407" t="s">
        <v>230</v>
      </c>
      <c r="K20" s="324">
        <v>2</v>
      </c>
      <c r="L20" s="324" t="s">
        <v>230</v>
      </c>
      <c r="M20" s="324" t="s">
        <v>230</v>
      </c>
    </row>
    <row r="21" spans="2:15">
      <c r="B21" s="830"/>
      <c r="C21" s="324" t="s">
        <v>636</v>
      </c>
      <c r="D21" s="324" t="s">
        <v>230</v>
      </c>
      <c r="E21" s="324" t="s">
        <v>230</v>
      </c>
      <c r="F21" s="324" t="s">
        <v>16</v>
      </c>
      <c r="G21" s="324" t="s">
        <v>230</v>
      </c>
      <c r="H21" s="324" t="s">
        <v>230</v>
      </c>
      <c r="I21" s="407" t="s">
        <v>230</v>
      </c>
      <c r="J21" s="407" t="s">
        <v>230</v>
      </c>
      <c r="K21" s="324">
        <v>16</v>
      </c>
      <c r="L21" s="324" t="s">
        <v>230</v>
      </c>
      <c r="M21" s="324" t="s">
        <v>230</v>
      </c>
    </row>
    <row r="22" spans="2:15" ht="30">
      <c r="B22" s="830"/>
      <c r="C22" s="324" t="s">
        <v>637</v>
      </c>
      <c r="D22" s="324" t="s">
        <v>230</v>
      </c>
      <c r="E22" s="324" t="s">
        <v>230</v>
      </c>
      <c r="F22" s="324" t="s">
        <v>16</v>
      </c>
      <c r="G22" s="324" t="s">
        <v>230</v>
      </c>
      <c r="H22" s="324" t="s">
        <v>230</v>
      </c>
      <c r="I22" s="407" t="s">
        <v>230</v>
      </c>
      <c r="J22" s="407" t="s">
        <v>230</v>
      </c>
      <c r="K22" s="324">
        <v>8</v>
      </c>
      <c r="L22" s="324" t="s">
        <v>230</v>
      </c>
      <c r="M22" s="324" t="s">
        <v>230</v>
      </c>
    </row>
    <row r="23" spans="2:15" ht="45">
      <c r="B23" s="830"/>
      <c r="C23" s="324" t="s">
        <v>638</v>
      </c>
      <c r="D23" s="324" t="s">
        <v>230</v>
      </c>
      <c r="E23" s="324" t="s">
        <v>230</v>
      </c>
      <c r="F23" s="324" t="s">
        <v>16</v>
      </c>
      <c r="G23" s="324" t="s">
        <v>230</v>
      </c>
      <c r="H23" s="324" t="s">
        <v>230</v>
      </c>
      <c r="I23" s="407" t="s">
        <v>230</v>
      </c>
      <c r="J23" s="407" t="s">
        <v>230</v>
      </c>
      <c r="K23" s="324">
        <v>7</v>
      </c>
      <c r="L23" s="324" t="s">
        <v>230</v>
      </c>
      <c r="M23" s="324" t="s">
        <v>230</v>
      </c>
    </row>
    <row r="24" spans="2:15" ht="60">
      <c r="B24" s="830"/>
      <c r="C24" s="324" t="s">
        <v>639</v>
      </c>
      <c r="D24" s="324" t="s">
        <v>230</v>
      </c>
      <c r="E24" s="324" t="s">
        <v>230</v>
      </c>
      <c r="F24" s="324" t="s">
        <v>16</v>
      </c>
      <c r="G24" s="324" t="s">
        <v>230</v>
      </c>
      <c r="H24" s="324" t="s">
        <v>230</v>
      </c>
      <c r="I24" s="407" t="s">
        <v>230</v>
      </c>
      <c r="J24" s="407" t="s">
        <v>230</v>
      </c>
      <c r="K24" s="324">
        <v>7</v>
      </c>
      <c r="L24" s="324">
        <v>7</v>
      </c>
      <c r="M24" s="324" t="s">
        <v>230</v>
      </c>
    </row>
    <row r="25" spans="2:15" ht="45">
      <c r="B25" s="830"/>
      <c r="C25" s="324" t="s">
        <v>640</v>
      </c>
      <c r="D25" s="324" t="s">
        <v>230</v>
      </c>
      <c r="E25" s="324" t="s">
        <v>230</v>
      </c>
      <c r="F25" s="324" t="s">
        <v>16</v>
      </c>
      <c r="G25" s="324" t="s">
        <v>230</v>
      </c>
      <c r="H25" s="324" t="s">
        <v>230</v>
      </c>
      <c r="I25" s="407" t="s">
        <v>230</v>
      </c>
      <c r="J25" s="407" t="s">
        <v>230</v>
      </c>
      <c r="K25" s="324">
        <v>7</v>
      </c>
      <c r="L25" s="324" t="s">
        <v>230</v>
      </c>
      <c r="M25" s="324" t="s">
        <v>230</v>
      </c>
    </row>
    <row r="26" spans="2:15" ht="60">
      <c r="B26" s="830"/>
      <c r="C26" s="324" t="s">
        <v>641</v>
      </c>
      <c r="D26" s="324" t="s">
        <v>230</v>
      </c>
      <c r="E26" s="324" t="s">
        <v>230</v>
      </c>
      <c r="F26" s="324" t="s">
        <v>16</v>
      </c>
      <c r="G26" s="324" t="s">
        <v>230</v>
      </c>
      <c r="H26" s="324" t="s">
        <v>230</v>
      </c>
      <c r="I26" s="407" t="s">
        <v>230</v>
      </c>
      <c r="J26" s="407" t="s">
        <v>230</v>
      </c>
      <c r="K26" s="324">
        <v>7</v>
      </c>
      <c r="L26" s="324" t="s">
        <v>230</v>
      </c>
      <c r="M26" s="324">
        <v>7</v>
      </c>
    </row>
    <row r="27" spans="2:15" ht="30">
      <c r="B27" s="830"/>
      <c r="C27" s="324" t="s">
        <v>642</v>
      </c>
      <c r="D27" s="324" t="s">
        <v>230</v>
      </c>
      <c r="E27" s="324" t="s">
        <v>230</v>
      </c>
      <c r="F27" s="324" t="s">
        <v>16</v>
      </c>
      <c r="G27" s="324" t="s">
        <v>230</v>
      </c>
      <c r="H27" s="324" t="s">
        <v>230</v>
      </c>
      <c r="I27" s="407" t="s">
        <v>230</v>
      </c>
      <c r="J27" s="407" t="s">
        <v>230</v>
      </c>
      <c r="K27" s="324" t="s">
        <v>230</v>
      </c>
      <c r="L27" s="324">
        <v>7</v>
      </c>
      <c r="M27" s="324" t="s">
        <v>230</v>
      </c>
    </row>
    <row r="28" spans="2:15" ht="29.25">
      <c r="B28" s="831"/>
      <c r="C28" s="324" t="s">
        <v>643</v>
      </c>
      <c r="D28" s="324" t="s">
        <v>230</v>
      </c>
      <c r="E28" s="324" t="s">
        <v>230</v>
      </c>
      <c r="F28" s="324" t="s">
        <v>16</v>
      </c>
      <c r="G28" s="324" t="s">
        <v>230</v>
      </c>
      <c r="H28" s="324" t="s">
        <v>230</v>
      </c>
      <c r="I28" s="407" t="s">
        <v>230</v>
      </c>
      <c r="J28" s="407" t="s">
        <v>230</v>
      </c>
      <c r="K28" s="324">
        <v>7</v>
      </c>
      <c r="L28" s="324" t="s">
        <v>230</v>
      </c>
      <c r="M28" s="324" t="s">
        <v>230</v>
      </c>
    </row>
    <row r="29" spans="2:15">
      <c r="B29" s="890" t="s">
        <v>644</v>
      </c>
      <c r="C29" s="731" t="s">
        <v>645</v>
      </c>
    </row>
    <row r="30" spans="2:15">
      <c r="B30" s="891"/>
      <c r="C30" s="324"/>
      <c r="N30" s="39">
        <v>16</v>
      </c>
      <c r="O30" t="s">
        <v>646</v>
      </c>
    </row>
    <row r="31" spans="2:15" ht="29.25">
      <c r="B31" s="891"/>
      <c r="C31" s="324" t="s">
        <v>647</v>
      </c>
      <c r="K31" s="52">
        <f>0.1*N$30</f>
        <v>1.6</v>
      </c>
    </row>
    <row r="32" spans="2:15" ht="29.25">
      <c r="B32" s="891"/>
      <c r="C32" s="324" t="s">
        <v>648</v>
      </c>
      <c r="K32" s="52">
        <f t="shared" ref="K32:K33" si="0">0.1*N$30</f>
        <v>1.6</v>
      </c>
    </row>
    <row r="33" spans="2:17" ht="29.25">
      <c r="B33" s="891"/>
      <c r="C33" s="324" t="s">
        <v>649</v>
      </c>
      <c r="K33" s="52">
        <f t="shared" si="0"/>
        <v>1.6</v>
      </c>
    </row>
    <row r="34" spans="2:17">
      <c r="B34" s="891"/>
      <c r="C34" s="324"/>
    </row>
    <row r="35" spans="2:17">
      <c r="B35" s="891"/>
      <c r="C35" s="731" t="s">
        <v>650</v>
      </c>
    </row>
    <row r="36" spans="2:17">
      <c r="B36" s="891"/>
      <c r="C36" s="324"/>
    </row>
    <row r="37" spans="2:17" ht="29.25">
      <c r="B37" s="891"/>
      <c r="C37" s="324" t="s">
        <v>651</v>
      </c>
      <c r="F37" s="52" t="s">
        <v>16</v>
      </c>
      <c r="K37" s="52">
        <f t="shared" ref="K37:K40" si="1">0.1*N$30</f>
        <v>1.6</v>
      </c>
    </row>
    <row r="38" spans="2:17" ht="29.25">
      <c r="B38" s="891"/>
      <c r="C38" s="324" t="s">
        <v>652</v>
      </c>
      <c r="F38" s="52" t="s">
        <v>16</v>
      </c>
      <c r="K38" s="52">
        <f t="shared" si="1"/>
        <v>1.6</v>
      </c>
    </row>
    <row r="39" spans="2:17" ht="29.25">
      <c r="B39" s="891"/>
      <c r="C39" s="324" t="s">
        <v>653</v>
      </c>
      <c r="K39" s="52">
        <f t="shared" si="1"/>
        <v>1.6</v>
      </c>
      <c r="P39" t="s">
        <v>654</v>
      </c>
      <c r="Q39">
        <v>22.4</v>
      </c>
    </row>
    <row r="40" spans="2:17" ht="29.25">
      <c r="B40" s="891"/>
      <c r="C40" s="324" t="s">
        <v>655</v>
      </c>
      <c r="F40" s="52" t="s">
        <v>16</v>
      </c>
      <c r="K40" s="52">
        <f t="shared" si="1"/>
        <v>1.6</v>
      </c>
      <c r="P40" t="s">
        <v>656</v>
      </c>
    </row>
    <row r="41" spans="2:17">
      <c r="B41" s="891"/>
      <c r="C41" s="324"/>
    </row>
    <row r="42" spans="2:17">
      <c r="B42" s="891"/>
      <c r="C42" s="731" t="s">
        <v>657</v>
      </c>
    </row>
    <row r="43" spans="2:17">
      <c r="B43" s="891"/>
      <c r="C43" s="324"/>
    </row>
    <row r="44" spans="2:17">
      <c r="B44" s="891"/>
      <c r="C44" s="324" t="s">
        <v>658</v>
      </c>
      <c r="F44" s="52" t="s">
        <v>16</v>
      </c>
      <c r="K44" s="52">
        <f t="shared" ref="K44:K47" si="2">0.1*N$30</f>
        <v>1.6</v>
      </c>
    </row>
    <row r="45" spans="2:17">
      <c r="B45" s="891"/>
      <c r="C45" s="324" t="s">
        <v>659</v>
      </c>
      <c r="F45" s="52" t="s">
        <v>16</v>
      </c>
      <c r="K45" s="52">
        <f t="shared" si="2"/>
        <v>1.6</v>
      </c>
    </row>
    <row r="46" spans="2:17" ht="29.25">
      <c r="B46" s="891"/>
      <c r="C46" s="324" t="s">
        <v>660</v>
      </c>
      <c r="F46" s="52" t="s">
        <v>16</v>
      </c>
      <c r="K46" s="52">
        <f t="shared" si="2"/>
        <v>1.6</v>
      </c>
    </row>
    <row r="47" spans="2:17">
      <c r="B47" s="891"/>
      <c r="C47" s="324" t="s">
        <v>661</v>
      </c>
      <c r="F47" s="52" t="s">
        <v>16</v>
      </c>
      <c r="K47" s="52">
        <f t="shared" si="2"/>
        <v>1.6</v>
      </c>
    </row>
    <row r="48" spans="2:17">
      <c r="B48" s="891"/>
      <c r="C48" s="324"/>
    </row>
    <row r="49" spans="2:11">
      <c r="B49" s="891"/>
      <c r="C49" s="731" t="s">
        <v>662</v>
      </c>
    </row>
    <row r="50" spans="2:11">
      <c r="B50" s="891"/>
      <c r="C50" s="324"/>
    </row>
    <row r="51" spans="2:11">
      <c r="B51" s="891"/>
      <c r="C51" s="324" t="s">
        <v>663</v>
      </c>
      <c r="F51" s="52" t="s">
        <v>16</v>
      </c>
      <c r="K51" s="52">
        <f t="shared" ref="K51:K53" si="3">0.1*N$30</f>
        <v>1.6</v>
      </c>
    </row>
    <row r="52" spans="2:11">
      <c r="B52" s="891"/>
      <c r="C52" s="324"/>
      <c r="F52" s="52" t="s">
        <v>16</v>
      </c>
      <c r="K52" s="52">
        <f t="shared" si="3"/>
        <v>1.6</v>
      </c>
    </row>
    <row r="53" spans="2:11">
      <c r="B53" s="891"/>
      <c r="C53" s="324" t="s">
        <v>664</v>
      </c>
      <c r="F53" s="52" t="s">
        <v>16</v>
      </c>
      <c r="K53" s="52">
        <f t="shared" si="3"/>
        <v>1.6</v>
      </c>
    </row>
    <row r="54" spans="2:11">
      <c r="B54" s="891"/>
      <c r="C54" s="324"/>
    </row>
    <row r="55" spans="2:11">
      <c r="B55" s="891"/>
      <c r="C55" s="731" t="s">
        <v>665</v>
      </c>
      <c r="F55" s="52" t="s">
        <v>16</v>
      </c>
    </row>
    <row r="56" spans="2:11">
      <c r="B56" s="891"/>
      <c r="C56" s="324"/>
    </row>
    <row r="57" spans="2:11" ht="29.25">
      <c r="B57" s="891"/>
      <c r="C57" s="324" t="s">
        <v>666</v>
      </c>
      <c r="F57" s="52" t="s">
        <v>16</v>
      </c>
    </row>
    <row r="58" spans="2:11">
      <c r="B58" s="892"/>
      <c r="C58" s="324" t="s">
        <v>667</v>
      </c>
      <c r="F58" s="52" t="s">
        <v>16</v>
      </c>
    </row>
  </sheetData>
  <mergeCells count="5">
    <mergeCell ref="B2:B4"/>
    <mergeCell ref="B5:B12"/>
    <mergeCell ref="B13:B16"/>
    <mergeCell ref="B17:B28"/>
    <mergeCell ref="B29:B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2025-10-29T16:44:04Z</dcterms:created>
  <dcterms:modified xsi:type="dcterms:W3CDTF">2026-07-08T22:59:49Z</dcterms:modified>
  <cp:category/>
  <cp:contentStatus/>
</cp:coreProperties>
</file>