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docMetadata/LabelInfo.xml" ContentType="application/vnd.ms-office.classificationlabel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8389E77-7640-9E18-AD5C-E98E2F4A8B8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https://sondachile-my.sharepoint.com/personal/jvillacb_sonda_com/Documents/SONDA/CLIENTES/UDLA/2026/Renovacion garantia y soporte equipos cisco/2 Calculo Valores/"/>
    </mc:Choice>
  </mc:AlternateContent>
  <xr:revisionPtr revIDLastSave="0" documentId="8_{1B381C9D-B443-4A51-9DC4-53963FF37069}" xr6:coauthVersionLast="47" xr6:coauthVersionMax="47" xr10:uidLastSave="{00000000-0000-0000-0000-000000000000}"/>
  <bookViews>
    <workbookView xWindow="-108" yWindow="-108" windowWidth="23256" windowHeight="13896" tabRatio="500" firstSheet="11" activeTab="11" xr2:uid="{00000000-000D-0000-FFFF-FFFF00000000}"/>
  </bookViews>
  <sheets>
    <sheet name="Resumen" sheetId="1" state="hidden" r:id="rId1"/>
    <sheet name="Costos (2)" sheetId="3" state="hidden" r:id="rId2"/>
    <sheet name="Detalle Servicios (2)" sheetId="4" state="hidden" r:id="rId3"/>
    <sheet name="Hoja1" sheetId="11" state="hidden" r:id="rId4"/>
    <sheet name="Hoja2" sheetId="12" state="hidden" r:id="rId5"/>
    <sheet name="Pool de horas" sheetId="13" state="hidden" r:id="rId6"/>
    <sheet name="Mant Preventivo" sheetId="15" state="hidden" r:id="rId7"/>
    <sheet name="cálculo rápido" sheetId="14" state="hidden" r:id="rId8"/>
    <sheet name="Detalle Servicios" sheetId="5" state="hidden" r:id="rId9"/>
    <sheet name="Costos" sheetId="2" r:id="rId10"/>
    <sheet name="Implementacion" sheetId="6" r:id="rId11"/>
    <sheet name="Mant Prev" sheetId="8" r:id="rId12"/>
    <sheet name="Mant Corr" sheetId="7" r:id="rId13"/>
    <sheet name="Bolsa Horas" sheetId="9" r:id="rId14"/>
    <sheet name="ResumenP" sheetId="10" r:id="rId15"/>
  </sheets>
  <definedNames>
    <definedName name="Indice">Costos!$S$4:$S$8</definedName>
    <definedName name="Lista">Costos!$B$3:$B$8</definedName>
    <definedName name="PM" localSheetId="2">'Detalle Servicios (2)'!$S$6:$S$6</definedName>
    <definedName name="PMS" localSheetId="1">'Costos (2)'!$B$11:$B$12</definedName>
    <definedName name="PMS">Costos!$B$11:$B$12</definedName>
    <definedName name="Transp" localSheetId="1">'Costos (2)'!$B$18:$B$21</definedName>
    <definedName name="Transp">Costos!$N$5:$N$8</definedName>
  </definedName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L14" i="9" l="1"/>
  <c r="M14" i="9"/>
  <c r="L18" i="6"/>
  <c r="Y77" i="6"/>
  <c r="Z79" i="6"/>
  <c r="G9" i="2"/>
  <c r="F9" i="2"/>
  <c r="D9" i="2"/>
  <c r="J9" i="2" l="1"/>
  <c r="I9" i="2"/>
  <c r="L9" i="2" s="1"/>
  <c r="H9" i="2"/>
  <c r="M9" i="9"/>
  <c r="L9" i="9"/>
  <c r="K9" i="9"/>
  <c r="K9" i="2" l="1"/>
  <c r="H94" i="6"/>
  <c r="F4" i="2"/>
  <c r="AA10" i="7" l="1"/>
  <c r="Y10" i="8"/>
  <c r="N9" i="8"/>
  <c r="M9" i="8"/>
  <c r="L92" i="6"/>
  <c r="L19" i="8"/>
  <c r="N19" i="8" s="1"/>
  <c r="F5" i="7" l="1"/>
  <c r="D5" i="9"/>
  <c r="T2" i="10"/>
  <c r="D2" i="10"/>
  <c r="E4" i="8"/>
  <c r="K22" i="7" l="1"/>
  <c r="K21" i="7"/>
  <c r="E2" i="7"/>
  <c r="I19" i="7"/>
  <c r="I22" i="7" s="1"/>
  <c r="M22" i="7" s="1"/>
  <c r="O22" i="7" s="1"/>
  <c r="I18" i="7"/>
  <c r="E2" i="8"/>
  <c r="AY13" i="9"/>
  <c r="E19" i="9" s="1"/>
  <c r="K10" i="9"/>
  <c r="L10" i="9"/>
  <c r="M10" i="9"/>
  <c r="E2" i="9"/>
  <c r="AY14" i="9" s="1"/>
  <c r="N98" i="6"/>
  <c r="E2" i="6"/>
  <c r="M95" i="6" s="1"/>
  <c r="M73" i="6"/>
  <c r="M74" i="6" s="1"/>
  <c r="L74" i="6"/>
  <c r="L80" i="6"/>
  <c r="M80" i="6"/>
  <c r="Z77" i="6" l="1"/>
  <c r="M86" i="6"/>
  <c r="N19" i="7"/>
  <c r="AB11" i="7"/>
  <c r="AB10" i="7"/>
  <c r="Z11" i="8"/>
  <c r="Z10" i="8"/>
  <c r="AR38" i="7"/>
  <c r="B118" i="6"/>
  <c r="N18" i="7"/>
  <c r="I21" i="7"/>
  <c r="M21" i="7" s="1"/>
  <c r="O21" i="7" s="1"/>
  <c r="D19" i="9"/>
  <c r="Y11" i="8"/>
  <c r="M87" i="6" l="1"/>
  <c r="N86" i="6"/>
  <c r="BA104" i="5"/>
  <c r="AZ104" i="5"/>
  <c r="J89" i="5"/>
  <c r="H127" i="5"/>
  <c r="AY83" i="5"/>
  <c r="C85" i="5"/>
  <c r="C92" i="5" s="1"/>
  <c r="M88" i="6" l="1"/>
  <c r="N88" i="6" s="1"/>
  <c r="N87" i="6"/>
  <c r="N92" i="6" s="1"/>
  <c r="N96" i="6"/>
  <c r="N97" i="6"/>
  <c r="F27" i="2" l="1"/>
  <c r="G27" i="2"/>
  <c r="F26" i="2"/>
  <c r="G26" i="2"/>
  <c r="I25" i="2"/>
  <c r="I24" i="2"/>
  <c r="I23" i="2"/>
  <c r="H23" i="2"/>
  <c r="I22" i="2"/>
  <c r="H22" i="2"/>
  <c r="F21" i="2"/>
  <c r="G21" i="2"/>
  <c r="F20" i="2"/>
  <c r="G20" i="2"/>
  <c r="F19" i="2"/>
  <c r="G19" i="2"/>
  <c r="J25" i="2"/>
  <c r="H21" i="2" l="1"/>
  <c r="I21" i="2"/>
  <c r="I26" i="2"/>
  <c r="H26" i="2"/>
  <c r="H19" i="2"/>
  <c r="I19" i="2"/>
  <c r="I27" i="2"/>
  <c r="H27" i="2"/>
  <c r="H20" i="2"/>
  <c r="I20" i="2"/>
  <c r="AM77" i="6" l="1"/>
  <c r="N74" i="6"/>
  <c r="N9" i="7" l="1"/>
  <c r="J94" i="5"/>
  <c r="K85" i="5"/>
  <c r="G88" i="5"/>
  <c r="J12" i="8"/>
  <c r="X9" i="7" l="1"/>
  <c r="AK9" i="8"/>
  <c r="X11" i="6"/>
  <c r="Z12" i="8"/>
  <c r="I12" i="2"/>
  <c r="I8" i="2"/>
  <c r="AM11" i="8"/>
  <c r="AM10" i="8"/>
  <c r="M13" i="8"/>
  <c r="L13" i="8"/>
  <c r="T12" i="10"/>
  <c r="A12" i="15"/>
  <c r="B11" i="15"/>
  <c r="A11" i="15"/>
  <c r="A10" i="15"/>
  <c r="A9" i="15"/>
  <c r="F8" i="14"/>
  <c r="D8" i="14"/>
  <c r="F7" i="14"/>
  <c r="G7" i="14" s="1"/>
  <c r="D7" i="14"/>
  <c r="F6" i="14"/>
  <c r="D6" i="14"/>
  <c r="F5" i="14"/>
  <c r="G5" i="14" s="1"/>
  <c r="D5" i="14"/>
  <c r="E5" i="13"/>
  <c r="C18" i="9"/>
  <c r="C17" i="9"/>
  <c r="O8" i="9"/>
  <c r="N13" i="8"/>
  <c r="AZ11" i="8"/>
  <c r="AY11" i="8"/>
  <c r="AL11" i="8"/>
  <c r="AZ10" i="8"/>
  <c r="AY10" i="8"/>
  <c r="AL10" i="8"/>
  <c r="P8" i="8"/>
  <c r="P12" i="7"/>
  <c r="O12" i="7"/>
  <c r="N12" i="7"/>
  <c r="BB11" i="7"/>
  <c r="BA11" i="7"/>
  <c r="AO11" i="7"/>
  <c r="AN11" i="7"/>
  <c r="AA11" i="7"/>
  <c r="BB10" i="7"/>
  <c r="BA10" i="7"/>
  <c r="AO10" i="7"/>
  <c r="AN10" i="7"/>
  <c r="P9" i="7"/>
  <c r="O9" i="7"/>
  <c r="N80" i="6"/>
  <c r="AZ79" i="6"/>
  <c r="AL79" i="6"/>
  <c r="Y79" i="6"/>
  <c r="AZ78" i="6"/>
  <c r="AY78" i="6"/>
  <c r="AM78" i="6"/>
  <c r="AL78" i="6"/>
  <c r="Y78" i="6"/>
  <c r="Z78" i="6" s="1"/>
  <c r="AZ77" i="6"/>
  <c r="AY77" i="6"/>
  <c r="AL77" i="6"/>
  <c r="X74" i="6"/>
  <c r="X73" i="6"/>
  <c r="V73" i="6"/>
  <c r="AZ72" i="6"/>
  <c r="AY72" i="6"/>
  <c r="AM72" i="6"/>
  <c r="AL72" i="6"/>
  <c r="Z72" i="6"/>
  <c r="Y72" i="6"/>
  <c r="X72" i="6"/>
  <c r="V72" i="6"/>
  <c r="AZ71" i="6"/>
  <c r="AY71" i="6"/>
  <c r="AM71" i="6"/>
  <c r="AL71" i="6"/>
  <c r="Z71" i="6"/>
  <c r="Y71" i="6"/>
  <c r="X71" i="6"/>
  <c r="V71" i="6"/>
  <c r="AZ70" i="6"/>
  <c r="AY70" i="6"/>
  <c r="AM70" i="6"/>
  <c r="AL70" i="6"/>
  <c r="Z70" i="6"/>
  <c r="Y70" i="6"/>
  <c r="X70" i="6"/>
  <c r="V70" i="6"/>
  <c r="AZ69" i="6"/>
  <c r="AY69" i="6"/>
  <c r="AM69" i="6"/>
  <c r="AL69" i="6"/>
  <c r="AI69" i="6"/>
  <c r="Z69" i="6"/>
  <c r="Y69" i="6"/>
  <c r="X69" i="6"/>
  <c r="V69" i="6"/>
  <c r="AZ68" i="6"/>
  <c r="AY68" i="6"/>
  <c r="AM68" i="6"/>
  <c r="AL68" i="6"/>
  <c r="Z68" i="6"/>
  <c r="Y68" i="6"/>
  <c r="X68" i="6"/>
  <c r="V68" i="6"/>
  <c r="AZ67" i="6"/>
  <c r="AY67" i="6"/>
  <c r="AM67" i="6"/>
  <c r="AL67" i="6"/>
  <c r="Z67" i="6"/>
  <c r="Y67" i="6"/>
  <c r="X67" i="6"/>
  <c r="V67" i="6"/>
  <c r="AZ66" i="6"/>
  <c r="AY66" i="6"/>
  <c r="AM66" i="6"/>
  <c r="AL66" i="6"/>
  <c r="Z66" i="6"/>
  <c r="Y66" i="6"/>
  <c r="X66" i="6"/>
  <c r="V66" i="6"/>
  <c r="AZ65" i="6"/>
  <c r="AY65" i="6"/>
  <c r="AM65" i="6"/>
  <c r="AL65" i="6"/>
  <c r="Z65" i="6"/>
  <c r="Y65" i="6"/>
  <c r="X65" i="6"/>
  <c r="V65" i="6"/>
  <c r="AZ64" i="6"/>
  <c r="AY64" i="6"/>
  <c r="AM64" i="6"/>
  <c r="AL64" i="6"/>
  <c r="Z64" i="6"/>
  <c r="Y64" i="6"/>
  <c r="X64" i="6"/>
  <c r="V64" i="6"/>
  <c r="AZ63" i="6"/>
  <c r="AY63" i="6"/>
  <c r="AM63" i="6"/>
  <c r="AL63" i="6"/>
  <c r="Z63" i="6"/>
  <c r="Y63" i="6"/>
  <c r="X63" i="6"/>
  <c r="V63" i="6"/>
  <c r="AZ62" i="6"/>
  <c r="AY62" i="6"/>
  <c r="AM62" i="6"/>
  <c r="AL62" i="6"/>
  <c r="Z62" i="6"/>
  <c r="Y62" i="6"/>
  <c r="X62" i="6"/>
  <c r="V62" i="6"/>
  <c r="AZ61" i="6"/>
  <c r="AY61" i="6"/>
  <c r="AM61" i="6"/>
  <c r="AL61" i="6"/>
  <c r="Z61" i="6"/>
  <c r="Y61" i="6"/>
  <c r="X61" i="6"/>
  <c r="V61" i="6"/>
  <c r="AZ60" i="6"/>
  <c r="AY60" i="6"/>
  <c r="AM60" i="6"/>
  <c r="AL60" i="6"/>
  <c r="Z60" i="6"/>
  <c r="Y60" i="6"/>
  <c r="X60" i="6"/>
  <c r="V60" i="6"/>
  <c r="AZ59" i="6"/>
  <c r="AY59" i="6"/>
  <c r="AM59" i="6"/>
  <c r="AL59" i="6"/>
  <c r="Z59" i="6"/>
  <c r="Y59" i="6"/>
  <c r="X59" i="6"/>
  <c r="V59" i="6"/>
  <c r="AZ58" i="6"/>
  <c r="AY58" i="6"/>
  <c r="AM58" i="6"/>
  <c r="AL58" i="6"/>
  <c r="Z58" i="6"/>
  <c r="Y58" i="6"/>
  <c r="X58" i="6"/>
  <c r="V58" i="6"/>
  <c r="AZ57" i="6"/>
  <c r="AY57" i="6"/>
  <c r="AM57" i="6"/>
  <c r="AL57" i="6"/>
  <c r="Z57" i="6"/>
  <c r="Y57" i="6"/>
  <c r="X57" i="6"/>
  <c r="V57" i="6"/>
  <c r="AZ56" i="6"/>
  <c r="AY56" i="6"/>
  <c r="AM56" i="6"/>
  <c r="AL56" i="6"/>
  <c r="Z56" i="6"/>
  <c r="Y56" i="6"/>
  <c r="X56" i="6"/>
  <c r="V56" i="6"/>
  <c r="AZ55" i="6"/>
  <c r="AY55" i="6"/>
  <c r="AM55" i="6"/>
  <c r="AL55" i="6"/>
  <c r="Z55" i="6"/>
  <c r="Y55" i="6"/>
  <c r="X55" i="6"/>
  <c r="V55" i="6"/>
  <c r="AZ54" i="6"/>
  <c r="AY54" i="6"/>
  <c r="AM54" i="6"/>
  <c r="AL54" i="6"/>
  <c r="Z54" i="6"/>
  <c r="Y54" i="6"/>
  <c r="X54" i="6"/>
  <c r="V54" i="6"/>
  <c r="AZ53" i="6"/>
  <c r="AY53" i="6"/>
  <c r="AM53" i="6"/>
  <c r="AL53" i="6"/>
  <c r="Z53" i="6"/>
  <c r="Y53" i="6"/>
  <c r="X53" i="6"/>
  <c r="V53" i="6"/>
  <c r="AZ52" i="6"/>
  <c r="AY52" i="6"/>
  <c r="AM52" i="6"/>
  <c r="AL52" i="6"/>
  <c r="Z52" i="6"/>
  <c r="Y52" i="6"/>
  <c r="X52" i="6"/>
  <c r="V52" i="6"/>
  <c r="AZ51" i="6"/>
  <c r="AY51" i="6"/>
  <c r="AM51" i="6"/>
  <c r="AL51" i="6"/>
  <c r="Z51" i="6"/>
  <c r="Y51" i="6"/>
  <c r="X51" i="6"/>
  <c r="V51" i="6"/>
  <c r="AZ50" i="6"/>
  <c r="AY50" i="6"/>
  <c r="AM50" i="6"/>
  <c r="AL50" i="6"/>
  <c r="Z50" i="6"/>
  <c r="Y50" i="6"/>
  <c r="X50" i="6"/>
  <c r="V50" i="6"/>
  <c r="X49" i="6"/>
  <c r="V49" i="6"/>
  <c r="X48" i="6"/>
  <c r="V48" i="6"/>
  <c r="X47" i="6"/>
  <c r="V47" i="6"/>
  <c r="X46" i="6"/>
  <c r="V46" i="6"/>
  <c r="X45" i="6"/>
  <c r="V45" i="6"/>
  <c r="AK44" i="6"/>
  <c r="X44" i="6"/>
  <c r="V44" i="6"/>
  <c r="X43" i="6"/>
  <c r="V43" i="6"/>
  <c r="X42" i="6"/>
  <c r="V42" i="6"/>
  <c r="AV41" i="6"/>
  <c r="X41" i="6"/>
  <c r="V41" i="6"/>
  <c r="AV40" i="6"/>
  <c r="X40" i="6"/>
  <c r="V40" i="6"/>
  <c r="AI39" i="6"/>
  <c r="X39" i="6"/>
  <c r="V39" i="6"/>
  <c r="X38" i="6"/>
  <c r="V38" i="6"/>
  <c r="X37" i="6"/>
  <c r="V37" i="6"/>
  <c r="X36" i="6"/>
  <c r="V36" i="6"/>
  <c r="X35" i="6"/>
  <c r="V35" i="6"/>
  <c r="AV34" i="6"/>
  <c r="X34" i="6"/>
  <c r="V34" i="6"/>
  <c r="X33" i="6"/>
  <c r="V33" i="6"/>
  <c r="AK32" i="6"/>
  <c r="X32" i="6"/>
  <c r="V32" i="6"/>
  <c r="X31" i="6"/>
  <c r="V31" i="6"/>
  <c r="X30" i="6"/>
  <c r="V30" i="6"/>
  <c r="AV29" i="6"/>
  <c r="X29" i="6"/>
  <c r="V29" i="6"/>
  <c r="X28" i="6"/>
  <c r="V28" i="6"/>
  <c r="X27" i="6"/>
  <c r="V27" i="6"/>
  <c r="X26" i="6"/>
  <c r="V26" i="6"/>
  <c r="X25" i="6"/>
  <c r="V25" i="6"/>
  <c r="AI24" i="6"/>
  <c r="X24" i="6"/>
  <c r="V24" i="6"/>
  <c r="X23" i="6"/>
  <c r="V23" i="6"/>
  <c r="X22" i="6"/>
  <c r="V22" i="6"/>
  <c r="X21" i="6"/>
  <c r="V21" i="6"/>
  <c r="AV20" i="6"/>
  <c r="X20" i="6"/>
  <c r="V20" i="6"/>
  <c r="X19" i="6"/>
  <c r="V19" i="6"/>
  <c r="AK18" i="6"/>
  <c r="X18" i="6"/>
  <c r="V18" i="6"/>
  <c r="X17" i="6"/>
  <c r="V17" i="6"/>
  <c r="X16" i="6"/>
  <c r="V16" i="6"/>
  <c r="X15" i="6"/>
  <c r="V15" i="6"/>
  <c r="X14" i="6"/>
  <c r="V14" i="6"/>
  <c r="X13" i="6"/>
  <c r="V13" i="6"/>
  <c r="X12" i="6"/>
  <c r="V12" i="6"/>
  <c r="V11" i="6"/>
  <c r="AK115" i="5"/>
  <c r="AK114" i="5"/>
  <c r="AK113" i="5"/>
  <c r="W109" i="5"/>
  <c r="W107" i="5"/>
  <c r="B103" i="5"/>
  <c r="B102" i="5"/>
  <c r="X101" i="5"/>
  <c r="J101" i="5"/>
  <c r="B101" i="5"/>
  <c r="B100" i="5"/>
  <c r="B99" i="5"/>
  <c r="J96" i="5"/>
  <c r="L96" i="5" s="1"/>
  <c r="J95" i="5"/>
  <c r="L95" i="5" s="1"/>
  <c r="L94" i="5"/>
  <c r="K93" i="5"/>
  <c r="J92" i="5"/>
  <c r="K91" i="5"/>
  <c r="K90" i="5"/>
  <c r="K89" i="5"/>
  <c r="K88" i="5"/>
  <c r="J88" i="5"/>
  <c r="K87" i="5"/>
  <c r="J87" i="5"/>
  <c r="K86" i="5"/>
  <c r="C86" i="5"/>
  <c r="Y83" i="5"/>
  <c r="L82" i="5"/>
  <c r="K82" i="5"/>
  <c r="J82" i="5"/>
  <c r="J103" i="5" s="1"/>
  <c r="H81" i="5"/>
  <c r="X81" i="5" s="1"/>
  <c r="B12" i="15" s="1"/>
  <c r="L80" i="5"/>
  <c r="AV80" i="5" s="1"/>
  <c r="K80" i="5"/>
  <c r="L79" i="5"/>
  <c r="K79" i="5"/>
  <c r="J79" i="5"/>
  <c r="T79" i="5" s="1"/>
  <c r="AX78" i="5"/>
  <c r="AW78" i="5"/>
  <c r="AK78" i="5"/>
  <c r="AJ78" i="5"/>
  <c r="X78" i="5"/>
  <c r="D42" i="1" s="1"/>
  <c r="W78" i="5"/>
  <c r="W101" i="5" s="1"/>
  <c r="V78" i="5"/>
  <c r="T78" i="5"/>
  <c r="L77" i="5"/>
  <c r="K77" i="5"/>
  <c r="AG77" i="5" s="1"/>
  <c r="J77" i="5"/>
  <c r="V77" i="5" s="1"/>
  <c r="AX76" i="5"/>
  <c r="AJ76" i="5"/>
  <c r="X76" i="5"/>
  <c r="W76" i="5" s="1"/>
  <c r="AX75" i="5"/>
  <c r="AW75" i="5"/>
  <c r="AK75" i="5"/>
  <c r="AJ75" i="5"/>
  <c r="X75" i="5"/>
  <c r="W75" i="5"/>
  <c r="AX74" i="5"/>
  <c r="AW74" i="5"/>
  <c r="AK74" i="5"/>
  <c r="AJ74" i="5"/>
  <c r="X74" i="5"/>
  <c r="L71" i="5"/>
  <c r="K71" i="5"/>
  <c r="C37" i="1" s="1"/>
  <c r="J71" i="5"/>
  <c r="V71" i="5" s="1"/>
  <c r="V70" i="5"/>
  <c r="T70" i="5"/>
  <c r="K70" i="5"/>
  <c r="AX69" i="5"/>
  <c r="AW69" i="5"/>
  <c r="AK69" i="5"/>
  <c r="AJ69" i="5"/>
  <c r="X69" i="5"/>
  <c r="W69" i="5"/>
  <c r="V69" i="5"/>
  <c r="T69" i="5"/>
  <c r="AX68" i="5"/>
  <c r="AW68" i="5"/>
  <c r="AK68" i="5"/>
  <c r="AJ68" i="5"/>
  <c r="X68" i="5"/>
  <c r="W68" i="5"/>
  <c r="V68" i="5"/>
  <c r="T68" i="5"/>
  <c r="AX67" i="5"/>
  <c r="AW67" i="5"/>
  <c r="AV67" i="5"/>
  <c r="AK67" i="5"/>
  <c r="AJ67" i="5"/>
  <c r="X67" i="5"/>
  <c r="W67" i="5"/>
  <c r="V67" i="5"/>
  <c r="T67" i="5"/>
  <c r="AX66" i="5"/>
  <c r="AW66" i="5"/>
  <c r="AV66" i="5"/>
  <c r="AK66" i="5"/>
  <c r="AJ66" i="5"/>
  <c r="X66" i="5"/>
  <c r="W66" i="5"/>
  <c r="V66" i="5"/>
  <c r="T66" i="5"/>
  <c r="AX65" i="5"/>
  <c r="AW65" i="5"/>
  <c r="AK65" i="5"/>
  <c r="AJ65" i="5"/>
  <c r="X65" i="5"/>
  <c r="W65" i="5"/>
  <c r="V65" i="5"/>
  <c r="T65" i="5"/>
  <c r="AX64" i="5"/>
  <c r="AW64" i="5"/>
  <c r="AV64" i="5"/>
  <c r="AT64" i="5"/>
  <c r="AK64" i="5"/>
  <c r="AJ64" i="5"/>
  <c r="X64" i="5"/>
  <c r="W64" i="5"/>
  <c r="V64" i="5"/>
  <c r="T64" i="5"/>
  <c r="AX63" i="5"/>
  <c r="AW63" i="5"/>
  <c r="AK63" i="5"/>
  <c r="AJ63" i="5"/>
  <c r="AG63" i="5"/>
  <c r="X63" i="5"/>
  <c r="W63" i="5"/>
  <c r="V63" i="5"/>
  <c r="T63" i="5"/>
  <c r="AX62" i="5"/>
  <c r="AW62" i="5"/>
  <c r="AK62" i="5"/>
  <c r="AJ62" i="5"/>
  <c r="X62" i="5"/>
  <c r="W62" i="5"/>
  <c r="V62" i="5"/>
  <c r="T62" i="5"/>
  <c r="AX61" i="5"/>
  <c r="AW61" i="5"/>
  <c r="AK61" i="5"/>
  <c r="AJ61" i="5"/>
  <c r="X61" i="5"/>
  <c r="W61" i="5"/>
  <c r="V61" i="5"/>
  <c r="T61" i="5"/>
  <c r="AX60" i="5"/>
  <c r="AW60" i="5"/>
  <c r="AK60" i="5"/>
  <c r="AJ60" i="5"/>
  <c r="X60" i="5"/>
  <c r="W60" i="5"/>
  <c r="V60" i="5"/>
  <c r="T60" i="5"/>
  <c r="AX59" i="5"/>
  <c r="AW59" i="5"/>
  <c r="AT59" i="5"/>
  <c r="AK59" i="5"/>
  <c r="AJ59" i="5"/>
  <c r="X59" i="5"/>
  <c r="W59" i="5"/>
  <c r="V59" i="5"/>
  <c r="T59" i="5"/>
  <c r="AX58" i="5"/>
  <c r="AW58" i="5"/>
  <c r="AK58" i="5"/>
  <c r="AJ58" i="5"/>
  <c r="X58" i="5"/>
  <c r="W58" i="5"/>
  <c r="V58" i="5"/>
  <c r="T58" i="5"/>
  <c r="AX57" i="5"/>
  <c r="AW57" i="5"/>
  <c r="AK57" i="5"/>
  <c r="AJ57" i="5"/>
  <c r="X57" i="5"/>
  <c r="W57" i="5"/>
  <c r="V57" i="5"/>
  <c r="T57" i="5"/>
  <c r="AX56" i="5"/>
  <c r="AW56" i="5"/>
  <c r="AK56" i="5"/>
  <c r="AJ56" i="5"/>
  <c r="AG56" i="5"/>
  <c r="X56" i="5"/>
  <c r="W56" i="5"/>
  <c r="V56" i="5"/>
  <c r="T56" i="5"/>
  <c r="AX55" i="5"/>
  <c r="AW55" i="5"/>
  <c r="AT55" i="5"/>
  <c r="AK55" i="5"/>
  <c r="AJ55" i="5"/>
  <c r="X55" i="5"/>
  <c r="W55" i="5"/>
  <c r="V55" i="5"/>
  <c r="T55" i="5"/>
  <c r="AX54" i="5"/>
  <c r="AW54" i="5"/>
  <c r="AK54" i="5"/>
  <c r="AJ54" i="5"/>
  <c r="X54" i="5"/>
  <c r="W54" i="5"/>
  <c r="V54" i="5"/>
  <c r="T54" i="5"/>
  <c r="AX53" i="5"/>
  <c r="AW53" i="5"/>
  <c r="AK53" i="5"/>
  <c r="AJ53" i="5"/>
  <c r="X53" i="5"/>
  <c r="W53" i="5"/>
  <c r="V53" i="5"/>
  <c r="T53" i="5"/>
  <c r="AX52" i="5"/>
  <c r="AW52" i="5"/>
  <c r="AV52" i="5"/>
  <c r="AK52" i="5"/>
  <c r="AJ52" i="5"/>
  <c r="X52" i="5"/>
  <c r="W52" i="5"/>
  <c r="V52" i="5"/>
  <c r="T52" i="5"/>
  <c r="AX51" i="5"/>
  <c r="AW51" i="5"/>
  <c r="AK51" i="5"/>
  <c r="AJ51" i="5"/>
  <c r="AI51" i="5"/>
  <c r="X51" i="5"/>
  <c r="W51" i="5"/>
  <c r="V51" i="5"/>
  <c r="T51" i="5"/>
  <c r="AX50" i="5"/>
  <c r="AW50" i="5"/>
  <c r="AK50" i="5"/>
  <c r="AJ50" i="5"/>
  <c r="X50" i="5"/>
  <c r="W50" i="5"/>
  <c r="V50" i="5"/>
  <c r="T50" i="5"/>
  <c r="AX49" i="5"/>
  <c r="AW49" i="5"/>
  <c r="AK49" i="5"/>
  <c r="AJ49" i="5"/>
  <c r="X49" i="5"/>
  <c r="W49" i="5"/>
  <c r="V49" i="5"/>
  <c r="T49" i="5"/>
  <c r="AX48" i="5"/>
  <c r="AW48" i="5"/>
  <c r="AK48" i="5"/>
  <c r="AJ48" i="5"/>
  <c r="X48" i="5"/>
  <c r="W48" i="5"/>
  <c r="V48" i="5"/>
  <c r="T48" i="5"/>
  <c r="AX47" i="5"/>
  <c r="AW47" i="5"/>
  <c r="AT47" i="5"/>
  <c r="AK47" i="5"/>
  <c r="AJ47" i="5"/>
  <c r="X47" i="5"/>
  <c r="W47" i="5"/>
  <c r="V47" i="5"/>
  <c r="T47" i="5"/>
  <c r="AX46" i="5"/>
  <c r="AW46" i="5"/>
  <c r="AT46" i="5"/>
  <c r="AK46" i="5"/>
  <c r="AJ46" i="5"/>
  <c r="X46" i="5"/>
  <c r="W46" i="5"/>
  <c r="V46" i="5"/>
  <c r="T46" i="5"/>
  <c r="AX45" i="5"/>
  <c r="AW45" i="5"/>
  <c r="AT45" i="5"/>
  <c r="AK45" i="5"/>
  <c r="AJ45" i="5"/>
  <c r="X45" i="5"/>
  <c r="W45" i="5"/>
  <c r="V45" i="5"/>
  <c r="T45" i="5"/>
  <c r="AX44" i="5"/>
  <c r="AW44" i="5"/>
  <c r="AT44" i="5"/>
  <c r="AK44" i="5"/>
  <c r="AJ44" i="5"/>
  <c r="AG44" i="5"/>
  <c r="X44" i="5"/>
  <c r="W44" i="5"/>
  <c r="V44" i="5"/>
  <c r="T44" i="5"/>
  <c r="AX43" i="5"/>
  <c r="AW43" i="5"/>
  <c r="AT43" i="5"/>
  <c r="AK43" i="5"/>
  <c r="AJ43" i="5"/>
  <c r="AG43" i="5"/>
  <c r="X43" i="5"/>
  <c r="W43" i="5"/>
  <c r="V43" i="5"/>
  <c r="T43" i="5"/>
  <c r="AX42" i="5"/>
  <c r="AW42" i="5"/>
  <c r="AK42" i="5"/>
  <c r="AJ42" i="5"/>
  <c r="X42" i="5"/>
  <c r="W42" i="5"/>
  <c r="V42" i="5"/>
  <c r="T42" i="5"/>
  <c r="AX41" i="5"/>
  <c r="AW41" i="5"/>
  <c r="AT41" i="5"/>
  <c r="AK41" i="5"/>
  <c r="AJ41" i="5"/>
  <c r="AI41" i="5"/>
  <c r="X41" i="5"/>
  <c r="W41" i="5"/>
  <c r="V41" i="5"/>
  <c r="T41" i="5"/>
  <c r="AX40" i="5"/>
  <c r="AW40" i="5"/>
  <c r="AV40" i="5"/>
  <c r="AT40" i="5"/>
  <c r="AK40" i="5"/>
  <c r="AJ40" i="5"/>
  <c r="X40" i="5"/>
  <c r="W40" i="5"/>
  <c r="V40" i="5"/>
  <c r="T40" i="5"/>
  <c r="AX39" i="5"/>
  <c r="AW39" i="5"/>
  <c r="AT39" i="5"/>
  <c r="AK39" i="5"/>
  <c r="AJ39" i="5"/>
  <c r="X39" i="5"/>
  <c r="W39" i="5"/>
  <c r="V39" i="5"/>
  <c r="T39" i="5"/>
  <c r="AX38" i="5"/>
  <c r="AW38" i="5"/>
  <c r="AV38" i="5"/>
  <c r="AK38" i="5"/>
  <c r="AJ38" i="5"/>
  <c r="AG38" i="5"/>
  <c r="X38" i="5"/>
  <c r="W38" i="5"/>
  <c r="V38" i="5"/>
  <c r="T38" i="5"/>
  <c r="AX37" i="5"/>
  <c r="AW37" i="5"/>
  <c r="AT37" i="5"/>
  <c r="AK37" i="5"/>
  <c r="AJ37" i="5"/>
  <c r="X37" i="5"/>
  <c r="W37" i="5"/>
  <c r="V37" i="5"/>
  <c r="T37" i="5"/>
  <c r="AX36" i="5"/>
  <c r="AW36" i="5"/>
  <c r="AK36" i="5"/>
  <c r="AJ36" i="5"/>
  <c r="AI36" i="5"/>
  <c r="AG36" i="5"/>
  <c r="X36" i="5"/>
  <c r="W36" i="5"/>
  <c r="V36" i="5"/>
  <c r="T36" i="5"/>
  <c r="AX35" i="5"/>
  <c r="AW35" i="5"/>
  <c r="AV35" i="5"/>
  <c r="AK35" i="5"/>
  <c r="AJ35" i="5"/>
  <c r="AG35" i="5"/>
  <c r="X35" i="5"/>
  <c r="W35" i="5"/>
  <c r="V35" i="5"/>
  <c r="T35" i="5"/>
  <c r="AX34" i="5"/>
  <c r="AW34" i="5"/>
  <c r="AT34" i="5"/>
  <c r="AK34" i="5"/>
  <c r="AJ34" i="5"/>
  <c r="X34" i="5"/>
  <c r="W34" i="5"/>
  <c r="V34" i="5"/>
  <c r="T34" i="5"/>
  <c r="AX33" i="5"/>
  <c r="AW33" i="5"/>
  <c r="AT33" i="5"/>
  <c r="AK33" i="5"/>
  <c r="AJ33" i="5"/>
  <c r="AG33" i="5"/>
  <c r="X33" i="5"/>
  <c r="W33" i="5"/>
  <c r="V33" i="5"/>
  <c r="T33" i="5"/>
  <c r="AX32" i="5"/>
  <c r="AW32" i="5"/>
  <c r="AT32" i="5"/>
  <c r="AK32" i="5"/>
  <c r="AJ32" i="5"/>
  <c r="AG32" i="5"/>
  <c r="X32" i="5"/>
  <c r="W32" i="5"/>
  <c r="V32" i="5"/>
  <c r="T32" i="5"/>
  <c r="AX31" i="5"/>
  <c r="AW31" i="5"/>
  <c r="AT31" i="5"/>
  <c r="AK31" i="5"/>
  <c r="AJ31" i="5"/>
  <c r="X31" i="5"/>
  <c r="W31" i="5"/>
  <c r="V31" i="5"/>
  <c r="T31" i="5"/>
  <c r="AX30" i="5"/>
  <c r="AW30" i="5"/>
  <c r="AT30" i="5"/>
  <c r="AK30" i="5"/>
  <c r="AJ30" i="5"/>
  <c r="AG30" i="5"/>
  <c r="X30" i="5"/>
  <c r="W30" i="5"/>
  <c r="V30" i="5"/>
  <c r="T30" i="5"/>
  <c r="AX29" i="5"/>
  <c r="AW29" i="5"/>
  <c r="AT29" i="5"/>
  <c r="AK29" i="5"/>
  <c r="AJ29" i="5"/>
  <c r="AI29" i="5"/>
  <c r="X29" i="5"/>
  <c r="W29" i="5"/>
  <c r="V29" i="5"/>
  <c r="T29" i="5"/>
  <c r="AX28" i="5"/>
  <c r="AW28" i="5"/>
  <c r="AT28" i="5"/>
  <c r="AK28" i="5"/>
  <c r="AJ28" i="5"/>
  <c r="X28" i="5"/>
  <c r="W28" i="5"/>
  <c r="V28" i="5"/>
  <c r="T28" i="5"/>
  <c r="AX27" i="5"/>
  <c r="AW27" i="5"/>
  <c r="AT27" i="5"/>
  <c r="AK27" i="5"/>
  <c r="AJ27" i="5"/>
  <c r="X27" i="5"/>
  <c r="W27" i="5"/>
  <c r="V27" i="5"/>
  <c r="T27" i="5"/>
  <c r="AX26" i="5"/>
  <c r="AW26" i="5"/>
  <c r="AT26" i="5"/>
  <c r="AK26" i="5"/>
  <c r="AJ26" i="5"/>
  <c r="X26" i="5"/>
  <c r="W26" i="5"/>
  <c r="V26" i="5"/>
  <c r="T26" i="5"/>
  <c r="AX25" i="5"/>
  <c r="AW25" i="5"/>
  <c r="AT25" i="5"/>
  <c r="AK25" i="5"/>
  <c r="AJ25" i="5"/>
  <c r="X25" i="5"/>
  <c r="W25" i="5"/>
  <c r="V25" i="5"/>
  <c r="T25" i="5"/>
  <c r="AX24" i="5"/>
  <c r="AW24" i="5"/>
  <c r="AT24" i="5"/>
  <c r="AK24" i="5"/>
  <c r="AJ24" i="5"/>
  <c r="AG24" i="5"/>
  <c r="X24" i="5"/>
  <c r="W24" i="5"/>
  <c r="V24" i="5"/>
  <c r="T24" i="5"/>
  <c r="AX23" i="5"/>
  <c r="AW23" i="5"/>
  <c r="AV23" i="5"/>
  <c r="AT23" i="5"/>
  <c r="AK23" i="5"/>
  <c r="AJ23" i="5"/>
  <c r="AI23" i="5"/>
  <c r="X23" i="5"/>
  <c r="W23" i="5"/>
  <c r="V23" i="5"/>
  <c r="T23" i="5"/>
  <c r="AX22" i="5"/>
  <c r="AW22" i="5"/>
  <c r="AV22" i="5"/>
  <c r="AT22" i="5"/>
  <c r="AK22" i="5"/>
  <c r="AJ22" i="5"/>
  <c r="X22" i="5"/>
  <c r="W22" i="5"/>
  <c r="V22" i="5"/>
  <c r="T22" i="5"/>
  <c r="AX21" i="5"/>
  <c r="AW21" i="5"/>
  <c r="AT21" i="5"/>
  <c r="AK21" i="5"/>
  <c r="AJ21" i="5"/>
  <c r="X21" i="5"/>
  <c r="W21" i="5"/>
  <c r="V21" i="5"/>
  <c r="T21" i="5"/>
  <c r="AX20" i="5"/>
  <c r="AW20" i="5"/>
  <c r="AT20" i="5"/>
  <c r="AK20" i="5"/>
  <c r="AJ20" i="5"/>
  <c r="AG20" i="5"/>
  <c r="X20" i="5"/>
  <c r="W20" i="5"/>
  <c r="V20" i="5"/>
  <c r="T20" i="5"/>
  <c r="AX19" i="5"/>
  <c r="AW19" i="5"/>
  <c r="AV19" i="5"/>
  <c r="AT19" i="5"/>
  <c r="AK19" i="5"/>
  <c r="AJ19" i="5"/>
  <c r="X19" i="5"/>
  <c r="W19" i="5"/>
  <c r="V19" i="5"/>
  <c r="T19" i="5"/>
  <c r="AX18" i="5"/>
  <c r="AW18" i="5"/>
  <c r="AT18" i="5"/>
  <c r="AK18" i="5"/>
  <c r="AJ18" i="5"/>
  <c r="AG18" i="5"/>
  <c r="X18" i="5"/>
  <c r="W18" i="5"/>
  <c r="V18" i="5"/>
  <c r="T18" i="5"/>
  <c r="AX17" i="5"/>
  <c r="AW17" i="5"/>
  <c r="AT17" i="5"/>
  <c r="AK17" i="5"/>
  <c r="AJ17" i="5"/>
  <c r="X17" i="5"/>
  <c r="W17" i="5"/>
  <c r="V17" i="5"/>
  <c r="T17" i="5"/>
  <c r="AX16" i="5"/>
  <c r="AW16" i="5"/>
  <c r="AV16" i="5"/>
  <c r="AT16" i="5"/>
  <c r="AK16" i="5"/>
  <c r="AJ16" i="5"/>
  <c r="AI16" i="5"/>
  <c r="AG16" i="5"/>
  <c r="X16" i="5"/>
  <c r="W16" i="5"/>
  <c r="V16" i="5"/>
  <c r="T16" i="5"/>
  <c r="AX15" i="5"/>
  <c r="AW15" i="5"/>
  <c r="AT15" i="5"/>
  <c r="AK15" i="5"/>
  <c r="AJ15" i="5"/>
  <c r="AG15" i="5"/>
  <c r="X15" i="5"/>
  <c r="W15" i="5"/>
  <c r="V15" i="5"/>
  <c r="T15" i="5"/>
  <c r="AX14" i="5"/>
  <c r="AW14" i="5"/>
  <c r="AV14" i="5"/>
  <c r="AT14" i="5"/>
  <c r="AK14" i="5"/>
  <c r="AJ14" i="5"/>
  <c r="X14" i="5"/>
  <c r="W14" i="5"/>
  <c r="V14" i="5"/>
  <c r="T14" i="5"/>
  <c r="AX13" i="5"/>
  <c r="AW13" i="5"/>
  <c r="AT13" i="5"/>
  <c r="AK13" i="5"/>
  <c r="AJ13" i="5"/>
  <c r="AG13" i="5"/>
  <c r="X13" i="5"/>
  <c r="W13" i="5"/>
  <c r="V13" i="5"/>
  <c r="T13" i="5"/>
  <c r="AX12" i="5"/>
  <c r="AW12" i="5"/>
  <c r="AT12" i="5"/>
  <c r="AK12" i="5"/>
  <c r="AJ12" i="5"/>
  <c r="X12" i="5"/>
  <c r="W12" i="5"/>
  <c r="V12" i="5"/>
  <c r="T12" i="5"/>
  <c r="AT11" i="5"/>
  <c r="AG11" i="5"/>
  <c r="V11" i="5"/>
  <c r="T11" i="5"/>
  <c r="AX10" i="5"/>
  <c r="AW10" i="5"/>
  <c r="AV10" i="5"/>
  <c r="AT10" i="5"/>
  <c r="AK10" i="5"/>
  <c r="AJ10" i="5"/>
  <c r="X10" i="5"/>
  <c r="W10" i="5"/>
  <c r="V10" i="5"/>
  <c r="T10" i="5"/>
  <c r="AT9" i="5"/>
  <c r="AG9" i="5"/>
  <c r="V9" i="5"/>
  <c r="T9" i="5"/>
  <c r="AV8" i="5"/>
  <c r="AT8" i="5"/>
  <c r="AI8" i="5"/>
  <c r="AG8" i="5"/>
  <c r="V8" i="5"/>
  <c r="T8" i="5"/>
  <c r="L98" i="4"/>
  <c r="L97" i="4"/>
  <c r="L95" i="4"/>
  <c r="L96" i="4" s="1"/>
  <c r="L94" i="4"/>
  <c r="J93" i="4"/>
  <c r="B93" i="4"/>
  <c r="J92" i="4"/>
  <c r="B92" i="4"/>
  <c r="J91" i="4"/>
  <c r="B91" i="4"/>
  <c r="B90" i="4"/>
  <c r="B89" i="4"/>
  <c r="R77" i="4"/>
  <c r="Q76" i="4"/>
  <c r="Q93" i="4" s="1"/>
  <c r="Q75" i="4"/>
  <c r="Q73" i="4"/>
  <c r="Q92" i="4" s="1"/>
  <c r="Q72" i="4"/>
  <c r="Q91" i="4" s="1"/>
  <c r="Q69" i="4"/>
  <c r="Q68" i="4"/>
  <c r="J67" i="4"/>
  <c r="J87" i="4" s="1"/>
  <c r="K65" i="4"/>
  <c r="P4" i="4" s="1"/>
  <c r="J65" i="4"/>
  <c r="Q64" i="4"/>
  <c r="Q63" i="4"/>
  <c r="Q62" i="4"/>
  <c r="Q61" i="4"/>
  <c r="Q60" i="4"/>
  <c r="Q59" i="4"/>
  <c r="Q58" i="4"/>
  <c r="Q57" i="4"/>
  <c r="Q56" i="4"/>
  <c r="Q55" i="4"/>
  <c r="Q54" i="4"/>
  <c r="Q53" i="4"/>
  <c r="Q52" i="4"/>
  <c r="Q51" i="4"/>
  <c r="Q50" i="4"/>
  <c r="Q49" i="4"/>
  <c r="Q48" i="4"/>
  <c r="Q47" i="4"/>
  <c r="Q46" i="4"/>
  <c r="Q45" i="4"/>
  <c r="Q44" i="4"/>
  <c r="Q43" i="4"/>
  <c r="Q42" i="4"/>
  <c r="Q41" i="4"/>
  <c r="Q40" i="4"/>
  <c r="Q39" i="4"/>
  <c r="Q38" i="4"/>
  <c r="Q36" i="4"/>
  <c r="Q33" i="4"/>
  <c r="Q13" i="4"/>
  <c r="Q12" i="4"/>
  <c r="Q11" i="4"/>
  <c r="L7" i="4"/>
  <c r="N7" i="4" s="1"/>
  <c r="Q6" i="4"/>
  <c r="Q5" i="4"/>
  <c r="F12" i="3"/>
  <c r="G12" i="3" s="1"/>
  <c r="D12" i="3"/>
  <c r="F11" i="3"/>
  <c r="D11" i="3"/>
  <c r="G11" i="3" s="1"/>
  <c r="I10" i="3"/>
  <c r="J8" i="3"/>
  <c r="I8" i="3"/>
  <c r="H8" i="3"/>
  <c r="I7" i="3"/>
  <c r="H7" i="3"/>
  <c r="J7" i="3" s="1"/>
  <c r="F6" i="3"/>
  <c r="G6" i="3" s="1"/>
  <c r="D6" i="3"/>
  <c r="F5" i="3"/>
  <c r="D5" i="3"/>
  <c r="G5" i="3" s="1"/>
  <c r="H4" i="3"/>
  <c r="J4" i="3" s="1"/>
  <c r="F4" i="3"/>
  <c r="D4" i="3"/>
  <c r="G4" i="3" s="1"/>
  <c r="I4" i="3" s="1"/>
  <c r="F12" i="2"/>
  <c r="D12" i="2"/>
  <c r="G12" i="2" s="1"/>
  <c r="F11" i="2"/>
  <c r="D11" i="2"/>
  <c r="I10" i="2"/>
  <c r="H8" i="2"/>
  <c r="AK30" i="6" s="1"/>
  <c r="I7" i="2"/>
  <c r="AV11" i="6" s="1"/>
  <c r="H7" i="2"/>
  <c r="AG66" i="5" s="1"/>
  <c r="F6" i="2"/>
  <c r="D6" i="2"/>
  <c r="G6" i="2" s="1"/>
  <c r="F5" i="2"/>
  <c r="D5" i="2"/>
  <c r="G5" i="2" s="1"/>
  <c r="D4" i="2"/>
  <c r="G4" i="2" s="1"/>
  <c r="D66" i="1"/>
  <c r="A61" i="1"/>
  <c r="A60" i="1"/>
  <c r="D59" i="1"/>
  <c r="A59" i="1"/>
  <c r="A58" i="1"/>
  <c r="A57" i="1"/>
  <c r="D45" i="1"/>
  <c r="A45" i="1"/>
  <c r="D44" i="1"/>
  <c r="A44" i="1"/>
  <c r="A43" i="1"/>
  <c r="A42" i="1"/>
  <c r="A41" i="1"/>
  <c r="A38" i="1"/>
  <c r="A37" i="1"/>
  <c r="C36" i="1"/>
  <c r="B36" i="1"/>
  <c r="A36" i="1"/>
  <c r="C34" i="1"/>
  <c r="B34" i="1"/>
  <c r="C33" i="1"/>
  <c r="B33" i="1"/>
  <c r="A33" i="1"/>
  <c r="C32" i="1"/>
  <c r="B32" i="1"/>
  <c r="A32" i="1"/>
  <c r="C31" i="1"/>
  <c r="B31" i="1"/>
  <c r="A31" i="1"/>
  <c r="C30" i="1"/>
  <c r="B30" i="1"/>
  <c r="C29" i="1"/>
  <c r="B29" i="1"/>
  <c r="A29" i="1"/>
  <c r="C28" i="1"/>
  <c r="B28" i="1"/>
  <c r="A28" i="1"/>
  <c r="C27" i="1"/>
  <c r="B27" i="1"/>
  <c r="A27" i="1"/>
  <c r="C26" i="1"/>
  <c r="B26" i="1"/>
  <c r="A26" i="1"/>
  <c r="C25" i="1"/>
  <c r="B25" i="1"/>
  <c r="A25" i="1"/>
  <c r="C24" i="1"/>
  <c r="B24" i="1"/>
  <c r="A24" i="1"/>
  <c r="C23" i="1"/>
  <c r="B23" i="1"/>
  <c r="C22" i="1"/>
  <c r="B22" i="1"/>
  <c r="A22" i="1"/>
  <c r="C21" i="1"/>
  <c r="B21" i="1"/>
  <c r="A21" i="1"/>
  <c r="C20" i="1"/>
  <c r="B20" i="1"/>
  <c r="A20" i="1"/>
  <c r="C19" i="1"/>
  <c r="B19" i="1"/>
  <c r="A19" i="1"/>
  <c r="C18" i="1"/>
  <c r="B18" i="1"/>
  <c r="A18" i="1"/>
  <c r="C17" i="1"/>
  <c r="B17" i="1"/>
  <c r="A17" i="1"/>
  <c r="C16" i="1"/>
  <c r="B16" i="1"/>
  <c r="A16" i="1"/>
  <c r="C15" i="1"/>
  <c r="B15" i="1"/>
  <c r="C14" i="1"/>
  <c r="B14" i="1"/>
  <c r="A14" i="1"/>
  <c r="A11" i="1"/>
  <c r="A10" i="1"/>
  <c r="P36" i="5" l="1"/>
  <c r="P18" i="5"/>
  <c r="P33" i="5"/>
  <c r="P47" i="5"/>
  <c r="P12" i="5"/>
  <c r="P40" i="5"/>
  <c r="P69" i="5"/>
  <c r="R35" i="6"/>
  <c r="I5" i="2"/>
  <c r="J18" i="7" s="1"/>
  <c r="M18" i="7" s="1"/>
  <c r="H95" i="6"/>
  <c r="L95" i="6" s="1"/>
  <c r="G11" i="2"/>
  <c r="H90" i="5"/>
  <c r="I90" i="5" s="1"/>
  <c r="AZ91" i="5" s="1"/>
  <c r="Q8" i="9"/>
  <c r="I4" i="2"/>
  <c r="I6" i="2"/>
  <c r="H85" i="5" s="1"/>
  <c r="J85" i="5" s="1"/>
  <c r="L85" i="5" s="1"/>
  <c r="AZ9" i="7"/>
  <c r="AT9" i="7"/>
  <c r="BA9" i="7" s="1"/>
  <c r="AX9" i="7"/>
  <c r="AK81" i="5"/>
  <c r="L89" i="5"/>
  <c r="C39" i="1"/>
  <c r="AX81" i="5"/>
  <c r="L88" i="5"/>
  <c r="P5" i="5"/>
  <c r="V79" i="5"/>
  <c r="N79" i="5"/>
  <c r="AM12" i="8"/>
  <c r="AZ12" i="8"/>
  <c r="R9" i="7"/>
  <c r="B39" i="1"/>
  <c r="U4" i="5"/>
  <c r="V6" i="5" s="1"/>
  <c r="W81" i="5"/>
  <c r="T77" i="5"/>
  <c r="L87" i="5"/>
  <c r="N5" i="5"/>
  <c r="P8" i="6"/>
  <c r="V74" i="6"/>
  <c r="X7" i="6"/>
  <c r="R8" i="6"/>
  <c r="W7" i="6"/>
  <c r="W9" i="6" s="1"/>
  <c r="W9" i="9"/>
  <c r="U9" i="9"/>
  <c r="H11" i="3"/>
  <c r="I11" i="3"/>
  <c r="I12" i="3"/>
  <c r="H12" i="3"/>
  <c r="P70" i="6"/>
  <c r="P66" i="6"/>
  <c r="P62" i="6"/>
  <c r="P61" i="6"/>
  <c r="P57" i="6"/>
  <c r="P74" i="6"/>
  <c r="P71" i="6"/>
  <c r="P56" i="6"/>
  <c r="P69" i="6"/>
  <c r="P72" i="6"/>
  <c r="P67" i="6"/>
  <c r="P63" i="6"/>
  <c r="P58" i="6"/>
  <c r="P65" i="6"/>
  <c r="P64" i="6"/>
  <c r="P55" i="6"/>
  <c r="P42" i="6"/>
  <c r="O9" i="9"/>
  <c r="P73" i="6"/>
  <c r="P38" i="6"/>
  <c r="P48" i="6"/>
  <c r="P47" i="6"/>
  <c r="P41" i="6"/>
  <c r="P40" i="6"/>
  <c r="P39" i="6"/>
  <c r="P30" i="6"/>
  <c r="P54" i="6"/>
  <c r="P46" i="6"/>
  <c r="P45" i="6"/>
  <c r="P44" i="6"/>
  <c r="P49" i="6"/>
  <c r="P60" i="6"/>
  <c r="P59" i="6"/>
  <c r="P53" i="6"/>
  <c r="P33" i="6"/>
  <c r="P32" i="6"/>
  <c r="P28" i="6"/>
  <c r="P23" i="6"/>
  <c r="P18" i="6"/>
  <c r="P12" i="6"/>
  <c r="N70" i="5"/>
  <c r="P50" i="6"/>
  <c r="P24" i="6"/>
  <c r="P19" i="6"/>
  <c r="P14" i="6"/>
  <c r="P25" i="6"/>
  <c r="P13" i="6"/>
  <c r="N78" i="5"/>
  <c r="N67" i="5"/>
  <c r="P51" i="6"/>
  <c r="P36" i="6"/>
  <c r="P11" i="6"/>
  <c r="N65" i="5"/>
  <c r="N63" i="5"/>
  <c r="P17" i="6"/>
  <c r="N59" i="5"/>
  <c r="N57" i="5"/>
  <c r="N55" i="5"/>
  <c r="N53" i="5"/>
  <c r="N51" i="5"/>
  <c r="N49" i="5"/>
  <c r="N47" i="5"/>
  <c r="N45" i="5"/>
  <c r="N43" i="5"/>
  <c r="P35" i="6"/>
  <c r="Y35" i="6" s="1"/>
  <c r="N69" i="5"/>
  <c r="N62" i="5"/>
  <c r="N41" i="5"/>
  <c r="N33" i="5"/>
  <c r="P37" i="6"/>
  <c r="P21" i="6"/>
  <c r="N68" i="5"/>
  <c r="N60" i="5"/>
  <c r="N56" i="5"/>
  <c r="N48" i="5"/>
  <c r="N40" i="5"/>
  <c r="N36" i="5"/>
  <c r="N29" i="5"/>
  <c r="P34" i="6"/>
  <c r="P26" i="6"/>
  <c r="N42" i="5"/>
  <c r="N31" i="5"/>
  <c r="N28" i="5"/>
  <c r="P29" i="6"/>
  <c r="N64" i="5"/>
  <c r="N61" i="5"/>
  <c r="N46" i="5"/>
  <c r="N39" i="5"/>
  <c r="N34" i="5"/>
  <c r="P43" i="6"/>
  <c r="P15" i="6"/>
  <c r="N77" i="5"/>
  <c r="N21" i="5"/>
  <c r="N14" i="5"/>
  <c r="N10" i="5"/>
  <c r="H4" i="2"/>
  <c r="H18" i="8" s="1"/>
  <c r="L18" i="8" s="1"/>
  <c r="N19" i="5"/>
  <c r="N44" i="5"/>
  <c r="N27" i="5"/>
  <c r="P20" i="6"/>
  <c r="N66" i="5"/>
  <c r="N26" i="5"/>
  <c r="N18" i="5"/>
  <c r="N12" i="5"/>
  <c r="N54" i="5"/>
  <c r="N8" i="5"/>
  <c r="P52" i="6"/>
  <c r="N32" i="5"/>
  <c r="N22" i="5"/>
  <c r="P31" i="6"/>
  <c r="P16" i="6"/>
  <c r="N58" i="5"/>
  <c r="N35" i="5"/>
  <c r="N24" i="5"/>
  <c r="N17" i="5"/>
  <c r="N9" i="5"/>
  <c r="W9" i="5" s="1"/>
  <c r="N30" i="5"/>
  <c r="N20" i="5"/>
  <c r="N13" i="5"/>
  <c r="N38" i="5"/>
  <c r="P68" i="6"/>
  <c r="N50" i="5"/>
  <c r="N23" i="5"/>
  <c r="N15" i="5"/>
  <c r="N11" i="5"/>
  <c r="P27" i="6"/>
  <c r="P22" i="6"/>
  <c r="N37" i="5"/>
  <c r="N25" i="5"/>
  <c r="N52" i="5"/>
  <c r="N16" i="5"/>
  <c r="L66" i="4"/>
  <c r="P8" i="4"/>
  <c r="I6" i="3"/>
  <c r="H6" i="3"/>
  <c r="J6" i="3" s="1"/>
  <c r="H12" i="2"/>
  <c r="I5" i="3"/>
  <c r="H5" i="3"/>
  <c r="J5" i="3" s="1"/>
  <c r="T72" i="6"/>
  <c r="T68" i="6"/>
  <c r="T64" i="6"/>
  <c r="T73" i="6"/>
  <c r="T63" i="6"/>
  <c r="T59" i="6"/>
  <c r="T55" i="6"/>
  <c r="T67" i="6"/>
  <c r="T57" i="6"/>
  <c r="T70" i="6"/>
  <c r="T66" i="6"/>
  <c r="T60" i="6"/>
  <c r="S9" i="9"/>
  <c r="T62" i="6"/>
  <c r="T49" i="6"/>
  <c r="T39" i="6"/>
  <c r="T38" i="6"/>
  <c r="T61" i="6"/>
  <c r="T51" i="6"/>
  <c r="T50" i="6"/>
  <c r="T45" i="6"/>
  <c r="T46" i="6"/>
  <c r="T56" i="6"/>
  <c r="T54" i="6"/>
  <c r="T52" i="6"/>
  <c r="T44" i="6"/>
  <c r="T53" i="6"/>
  <c r="T43" i="6"/>
  <c r="T37" i="6"/>
  <c r="T58" i="6"/>
  <c r="T33" i="6"/>
  <c r="T41" i="6"/>
  <c r="T15" i="6"/>
  <c r="V9" i="7"/>
  <c r="T65" i="6"/>
  <c r="T48" i="6"/>
  <c r="T36" i="6"/>
  <c r="T35" i="6"/>
  <c r="T30" i="6"/>
  <c r="T29" i="6"/>
  <c r="T27" i="6"/>
  <c r="T23" i="6"/>
  <c r="T18" i="6"/>
  <c r="T40" i="6"/>
  <c r="T24" i="6"/>
  <c r="T17" i="6"/>
  <c r="T16" i="6"/>
  <c r="R68" i="5"/>
  <c r="T22" i="6"/>
  <c r="R66" i="5"/>
  <c r="R61" i="5"/>
  <c r="T71" i="6"/>
  <c r="T69" i="6"/>
  <c r="T34" i="6"/>
  <c r="T31" i="6"/>
  <c r="T28" i="6"/>
  <c r="T21" i="6"/>
  <c r="R64" i="5"/>
  <c r="R60" i="5"/>
  <c r="R58" i="5"/>
  <c r="R56" i="5"/>
  <c r="R54" i="5"/>
  <c r="R52" i="5"/>
  <c r="R50" i="5"/>
  <c r="R48" i="5"/>
  <c r="R46" i="5"/>
  <c r="R44" i="5"/>
  <c r="T47" i="6"/>
  <c r="T26" i="6"/>
  <c r="R65" i="5"/>
  <c r="R43" i="5"/>
  <c r="T19" i="6"/>
  <c r="T13" i="6"/>
  <c r="T11" i="6"/>
  <c r="R38" i="5"/>
  <c r="R37" i="5"/>
  <c r="R32" i="5"/>
  <c r="R30" i="5"/>
  <c r="R27" i="5"/>
  <c r="T42" i="6"/>
  <c r="T14" i="6"/>
  <c r="Y14" i="6" s="1"/>
  <c r="R67" i="5"/>
  <c r="R57" i="5"/>
  <c r="R53" i="5"/>
  <c r="T32" i="6"/>
  <c r="R70" i="5"/>
  <c r="R51" i="5"/>
  <c r="R35" i="5"/>
  <c r="T20" i="6"/>
  <c r="P10" i="5"/>
  <c r="R24" i="5"/>
  <c r="P28" i="5"/>
  <c r="R12" i="5"/>
  <c r="P62" i="5"/>
  <c r="T12" i="6"/>
  <c r="R32" i="6"/>
  <c r="Y32" i="6" s="1"/>
  <c r="AX70" i="6"/>
  <c r="AX66" i="6"/>
  <c r="AX62" i="6"/>
  <c r="AX63" i="6"/>
  <c r="AX57" i="6"/>
  <c r="AX53" i="6"/>
  <c r="AX73" i="6"/>
  <c r="AX71" i="6"/>
  <c r="AX64" i="6"/>
  <c r="AX60" i="6"/>
  <c r="AX69" i="6"/>
  <c r="AX67" i="6"/>
  <c r="AX65" i="6"/>
  <c r="AX61" i="6"/>
  <c r="AX56" i="6"/>
  <c r="AX72" i="6"/>
  <c r="AX48" i="6"/>
  <c r="AX43" i="6"/>
  <c r="AX37" i="6"/>
  <c r="AX59" i="6"/>
  <c r="AX49" i="6"/>
  <c r="AX44" i="6"/>
  <c r="AX39" i="6"/>
  <c r="AX55" i="6"/>
  <c r="AX52" i="6"/>
  <c r="AX58" i="6"/>
  <c r="AX54" i="6"/>
  <c r="AX51" i="6"/>
  <c r="AX42" i="6"/>
  <c r="AX36" i="6"/>
  <c r="AX31" i="6"/>
  <c r="AX50" i="6"/>
  <c r="AX68" i="6"/>
  <c r="AX41" i="6"/>
  <c r="AX32" i="6"/>
  <c r="AX47" i="6"/>
  <c r="AX29" i="6"/>
  <c r="AX13" i="6"/>
  <c r="AV70" i="5"/>
  <c r="AX34" i="6"/>
  <c r="AX25" i="6"/>
  <c r="AX22" i="6"/>
  <c r="AX16" i="6"/>
  <c r="AV79" i="5"/>
  <c r="AV65" i="5"/>
  <c r="AX46" i="6"/>
  <c r="AX33" i="6"/>
  <c r="AX30" i="6"/>
  <c r="AX15" i="6"/>
  <c r="AV63" i="5"/>
  <c r="AV60" i="5"/>
  <c r="AX28" i="6"/>
  <c r="AX27" i="6"/>
  <c r="AX21" i="6"/>
  <c r="AX14" i="6"/>
  <c r="AV61" i="5"/>
  <c r="AX26" i="6"/>
  <c r="AX20" i="6"/>
  <c r="AV68" i="5"/>
  <c r="AV59" i="5"/>
  <c r="AV57" i="5"/>
  <c r="AV55" i="5"/>
  <c r="AV53" i="5"/>
  <c r="AV51" i="5"/>
  <c r="AV49" i="5"/>
  <c r="AV47" i="5"/>
  <c r="AV45" i="5"/>
  <c r="AV43" i="5"/>
  <c r="AX45" i="6"/>
  <c r="AV78" i="5"/>
  <c r="AV69" i="5"/>
  <c r="AV62" i="5"/>
  <c r="AV50" i="5"/>
  <c r="AV42" i="5"/>
  <c r="AV37" i="5"/>
  <c r="AV33" i="5"/>
  <c r="AX35" i="6"/>
  <c r="AX24" i="6"/>
  <c r="AX11" i="6"/>
  <c r="AV48" i="5"/>
  <c r="AV36" i="5"/>
  <c r="AV29" i="5"/>
  <c r="AV58" i="5"/>
  <c r="AV54" i="5"/>
  <c r="AV46" i="5"/>
  <c r="AV31" i="5"/>
  <c r="AV28" i="5"/>
  <c r="AX19" i="6"/>
  <c r="AV34" i="5"/>
  <c r="AI9" i="5"/>
  <c r="R10" i="5"/>
  <c r="R19" i="5"/>
  <c r="R28" i="5"/>
  <c r="R31" i="5"/>
  <c r="R45" i="5"/>
  <c r="P51" i="5"/>
  <c r="AI53" i="5"/>
  <c r="P56" i="5"/>
  <c r="AI77" i="5"/>
  <c r="AI80" i="5"/>
  <c r="AG80" i="5"/>
  <c r="H11" i="2"/>
  <c r="AV11" i="5"/>
  <c r="AG12" i="5"/>
  <c r="P13" i="5"/>
  <c r="AV13" i="5"/>
  <c r="R16" i="5"/>
  <c r="AI21" i="5"/>
  <c r="R22" i="5"/>
  <c r="AI24" i="5"/>
  <c r="AV26" i="5"/>
  <c r="AV32" i="5"/>
  <c r="AI33" i="5"/>
  <c r="AG37" i="5"/>
  <c r="R39" i="5"/>
  <c r="AI40" i="5"/>
  <c r="R62" i="5"/>
  <c r="AG71" i="5"/>
  <c r="AX18" i="6"/>
  <c r="R34" i="5"/>
  <c r="R71" i="6"/>
  <c r="R67" i="6"/>
  <c r="R63" i="6"/>
  <c r="R69" i="6"/>
  <c r="R64" i="6"/>
  <c r="R58" i="6"/>
  <c r="R54" i="6"/>
  <c r="R72" i="6"/>
  <c r="R65" i="6"/>
  <c r="R61" i="6"/>
  <c r="R70" i="6"/>
  <c r="R68" i="6"/>
  <c r="R73" i="6"/>
  <c r="R53" i="6"/>
  <c r="R66" i="6"/>
  <c r="R49" i="6"/>
  <c r="Y49" i="6" s="1"/>
  <c r="R57" i="6"/>
  <c r="R46" i="6"/>
  <c r="Y46" i="6" s="1"/>
  <c r="R56" i="6"/>
  <c r="R51" i="6"/>
  <c r="R45" i="6"/>
  <c r="Y45" i="6" s="1"/>
  <c r="R44" i="6"/>
  <c r="Y44" i="6" s="1"/>
  <c r="R38" i="6"/>
  <c r="Y38" i="6" s="1"/>
  <c r="R60" i="6"/>
  <c r="R59" i="6"/>
  <c r="R52" i="6"/>
  <c r="R43" i="6"/>
  <c r="Y43" i="6" s="1"/>
  <c r="R47" i="6"/>
  <c r="Y47" i="6" s="1"/>
  <c r="O8" i="8"/>
  <c r="R62" i="6"/>
  <c r="R39" i="6"/>
  <c r="Y39" i="6" s="1"/>
  <c r="R31" i="6"/>
  <c r="R19" i="6"/>
  <c r="Y19" i="6" s="1"/>
  <c r="R14" i="6"/>
  <c r="R13" i="6"/>
  <c r="R50" i="6"/>
  <c r="R74" i="6"/>
  <c r="R41" i="6"/>
  <c r="Y41" i="6" s="1"/>
  <c r="R26" i="6"/>
  <c r="Y26" i="6" s="1"/>
  <c r="R25" i="6"/>
  <c r="R15" i="6"/>
  <c r="P79" i="5"/>
  <c r="W79" i="5" s="1"/>
  <c r="R48" i="6"/>
  <c r="Y48" i="6" s="1"/>
  <c r="R36" i="6"/>
  <c r="P70" i="5"/>
  <c r="W70" i="5" s="1"/>
  <c r="P63" i="5"/>
  <c r="R30" i="6"/>
  <c r="R18" i="6"/>
  <c r="R12" i="6"/>
  <c r="P59" i="5"/>
  <c r="P57" i="5"/>
  <c r="P55" i="5"/>
  <c r="R40" i="6"/>
  <c r="Y40" i="6" s="1"/>
  <c r="R33" i="6"/>
  <c r="R24" i="6"/>
  <c r="R23" i="6"/>
  <c r="Y23" i="6" s="1"/>
  <c r="R17" i="6"/>
  <c r="R55" i="6"/>
  <c r="R22" i="6"/>
  <c r="R16" i="6"/>
  <c r="Y16" i="6" s="1"/>
  <c r="P68" i="5"/>
  <c r="P61" i="5"/>
  <c r="P41" i="5"/>
  <c r="R37" i="6"/>
  <c r="Y37" i="6" s="1"/>
  <c r="R21" i="6"/>
  <c r="Y21" i="6" s="1"/>
  <c r="P78" i="5"/>
  <c r="P45" i="5"/>
  <c r="P42" i="5"/>
  <c r="P31" i="5"/>
  <c r="P29" i="5"/>
  <c r="R34" i="6"/>
  <c r="Y34" i="6" s="1"/>
  <c r="P65" i="5"/>
  <c r="P46" i="5"/>
  <c r="P39" i="5"/>
  <c r="P34" i="5"/>
  <c r="P25" i="5"/>
  <c r="P21" i="5"/>
  <c r="P17" i="5"/>
  <c r="R29" i="6"/>
  <c r="R28" i="6"/>
  <c r="Y28" i="6" s="1"/>
  <c r="R11" i="6"/>
  <c r="P64" i="5"/>
  <c r="P52" i="5"/>
  <c r="P43" i="5"/>
  <c r="P26" i="5"/>
  <c r="P23" i="5"/>
  <c r="P19" i="5"/>
  <c r="R42" i="6"/>
  <c r="Y42" i="6" s="1"/>
  <c r="R27" i="6"/>
  <c r="Y27" i="6" s="1"/>
  <c r="P67" i="5"/>
  <c r="P58" i="5"/>
  <c r="P54" i="5"/>
  <c r="P53" i="5"/>
  <c r="P50" i="5"/>
  <c r="P44" i="5"/>
  <c r="P38" i="5"/>
  <c r="P37" i="5"/>
  <c r="H6" i="2"/>
  <c r="AF9" i="9" s="1"/>
  <c r="AI17" i="5"/>
  <c r="R42" i="5"/>
  <c r="P48" i="5"/>
  <c r="AK16" i="6"/>
  <c r="P8" i="5"/>
  <c r="R14" i="5"/>
  <c r="AI15" i="5"/>
  <c r="AV17" i="5"/>
  <c r="AV20" i="5"/>
  <c r="BC25" i="5"/>
  <c r="BD25" i="5" s="1"/>
  <c r="AI26" i="5"/>
  <c r="P27" i="5"/>
  <c r="AI34" i="5"/>
  <c r="AI62" i="5"/>
  <c r="L92" i="5"/>
  <c r="AI71" i="6"/>
  <c r="AI67" i="6"/>
  <c r="AI63" i="6"/>
  <c r="AI58" i="6"/>
  <c r="AI54" i="6"/>
  <c r="AI70" i="6"/>
  <c r="AI66" i="6"/>
  <c r="AI62" i="6"/>
  <c r="AI64" i="6"/>
  <c r="AI68" i="6"/>
  <c r="AI46" i="6"/>
  <c r="AI55" i="6"/>
  <c r="AI42" i="6"/>
  <c r="AI72" i="6"/>
  <c r="AI65" i="6"/>
  <c r="AI57" i="6"/>
  <c r="AI53" i="6"/>
  <c r="AI52" i="6"/>
  <c r="AI45" i="6"/>
  <c r="AI43" i="6"/>
  <c r="AI37" i="6"/>
  <c r="AK9" i="7"/>
  <c r="AI59" i="6"/>
  <c r="AI56" i="6"/>
  <c r="AI44" i="6"/>
  <c r="AI34" i="6"/>
  <c r="AI61" i="6"/>
  <c r="AI51" i="6"/>
  <c r="AI50" i="6"/>
  <c r="AI41" i="6"/>
  <c r="AI30" i="6"/>
  <c r="AI60" i="6"/>
  <c r="AI29" i="6"/>
  <c r="AI27" i="6"/>
  <c r="AI22" i="6"/>
  <c r="AI16" i="6"/>
  <c r="AI48" i="6"/>
  <c r="AI38" i="6"/>
  <c r="AI28" i="6"/>
  <c r="AI23" i="6"/>
  <c r="AI18" i="6"/>
  <c r="AI12" i="6"/>
  <c r="AI49" i="6"/>
  <c r="AG64" i="5"/>
  <c r="AI33" i="6"/>
  <c r="AG69" i="5"/>
  <c r="AG62" i="5"/>
  <c r="AG59" i="5"/>
  <c r="AG57" i="5"/>
  <c r="AG55" i="5"/>
  <c r="AG53" i="5"/>
  <c r="AI40" i="6"/>
  <c r="AI31" i="6"/>
  <c r="AG78" i="5"/>
  <c r="AG70" i="5"/>
  <c r="AG67" i="5"/>
  <c r="AI21" i="6"/>
  <c r="AI15" i="6"/>
  <c r="AI14" i="6"/>
  <c r="AG65" i="5"/>
  <c r="AG41" i="5"/>
  <c r="AI36" i="6"/>
  <c r="AI26" i="6"/>
  <c r="AG52" i="5"/>
  <c r="AG51" i="5"/>
  <c r="AG47" i="5"/>
  <c r="AG31" i="5"/>
  <c r="AG29" i="5"/>
  <c r="AG50" i="5"/>
  <c r="AG49" i="5"/>
  <c r="AG40" i="5"/>
  <c r="AG34" i="5"/>
  <c r="AG25" i="5"/>
  <c r="AG23" i="5"/>
  <c r="AG21" i="5"/>
  <c r="AG19" i="5"/>
  <c r="AG17" i="5"/>
  <c r="AI19" i="6"/>
  <c r="AG61" i="5"/>
  <c r="AG58" i="5"/>
  <c r="AG54" i="5"/>
  <c r="AG45" i="5"/>
  <c r="AG26" i="5"/>
  <c r="AI47" i="6"/>
  <c r="AI17" i="6"/>
  <c r="AG68" i="5"/>
  <c r="AG48" i="5"/>
  <c r="AG42" i="5"/>
  <c r="AG39" i="5"/>
  <c r="M5" i="5"/>
  <c r="R8" i="5"/>
  <c r="AV9" i="5"/>
  <c r="AG10" i="5"/>
  <c r="P11" i="5"/>
  <c r="R13" i="5"/>
  <c r="AG14" i="5"/>
  <c r="P15" i="5"/>
  <c r="AV15" i="5"/>
  <c r="AI18" i="5"/>
  <c r="P20" i="5"/>
  <c r="AV21" i="5"/>
  <c r="AG22" i="5"/>
  <c r="R23" i="5"/>
  <c r="AV24" i="5"/>
  <c r="AG27" i="5"/>
  <c r="AG28" i="5"/>
  <c r="P30" i="5"/>
  <c r="AV39" i="5"/>
  <c r="AG46" i="5"/>
  <c r="R59" i="5"/>
  <c r="R78" i="5"/>
  <c r="AY25" i="5"/>
  <c r="AZ25" i="5" s="1"/>
  <c r="AY39" i="5"/>
  <c r="AZ39" i="5" s="1"/>
  <c r="AY32" i="5"/>
  <c r="AZ32" i="5" s="1"/>
  <c r="AI11" i="6"/>
  <c r="AX12" i="6"/>
  <c r="R21" i="5"/>
  <c r="T25" i="6"/>
  <c r="P14" i="5"/>
  <c r="O8" i="6"/>
  <c r="AI20" i="5"/>
  <c r="P22" i="5"/>
  <c r="R40" i="5"/>
  <c r="R47" i="5"/>
  <c r="M7" i="4"/>
  <c r="O7" i="4" s="1"/>
  <c r="Q7" i="4" s="1"/>
  <c r="K67" i="4"/>
  <c r="K87" i="4" s="1"/>
  <c r="U6" i="5"/>
  <c r="P9" i="5"/>
  <c r="R11" i="5"/>
  <c r="W11" i="5" s="1"/>
  <c r="AI12" i="5"/>
  <c r="R15" i="5"/>
  <c r="R17" i="5"/>
  <c r="AV18" i="5"/>
  <c r="AI25" i="5"/>
  <c r="AV27" i="5"/>
  <c r="R29" i="5"/>
  <c r="AI31" i="5"/>
  <c r="R36" i="5"/>
  <c r="AV41" i="5"/>
  <c r="P49" i="5"/>
  <c r="AG60" i="5"/>
  <c r="AI66" i="5"/>
  <c r="P71" i="5"/>
  <c r="AV71" i="5"/>
  <c r="N71" i="5"/>
  <c r="AT71" i="5"/>
  <c r="AI71" i="5"/>
  <c r="T71" i="5"/>
  <c r="R71" i="5"/>
  <c r="V4" i="5"/>
  <c r="B37" i="1"/>
  <c r="AP77" i="5"/>
  <c r="AW77" i="5" s="1"/>
  <c r="AV77" i="5"/>
  <c r="AT77" i="5"/>
  <c r="K103" i="5"/>
  <c r="AI20" i="6"/>
  <c r="AI25" i="6"/>
  <c r="AI35" i="6"/>
  <c r="R63" i="5"/>
  <c r="R55" i="5"/>
  <c r="R69" i="5"/>
  <c r="R79" i="5"/>
  <c r="AI9" i="8"/>
  <c r="R8" i="8"/>
  <c r="H5" i="2"/>
  <c r="P8" i="9" s="1"/>
  <c r="T8" i="9" s="1"/>
  <c r="AK72" i="6"/>
  <c r="AK68" i="6"/>
  <c r="AK64" i="6"/>
  <c r="AK62" i="6"/>
  <c r="AK59" i="6"/>
  <c r="AK55" i="6"/>
  <c r="AK58" i="6"/>
  <c r="AK71" i="6"/>
  <c r="AX74" i="6"/>
  <c r="AK69" i="6"/>
  <c r="AK57" i="6"/>
  <c r="AK54" i="6"/>
  <c r="AK67" i="6"/>
  <c r="AK65" i="6"/>
  <c r="AK61" i="6"/>
  <c r="AK47" i="6"/>
  <c r="AM9" i="7"/>
  <c r="AK43" i="6"/>
  <c r="AK51" i="6"/>
  <c r="AK42" i="6"/>
  <c r="AK35" i="6"/>
  <c r="AK50" i="6"/>
  <c r="AK41" i="6"/>
  <c r="AK60" i="6"/>
  <c r="AK49" i="6"/>
  <c r="AK48" i="6"/>
  <c r="AK40" i="6"/>
  <c r="AK31" i="6"/>
  <c r="AK52" i="6"/>
  <c r="AK39" i="6"/>
  <c r="AK36" i="6"/>
  <c r="AK28" i="6"/>
  <c r="AK23" i="6"/>
  <c r="AK17" i="6"/>
  <c r="AK12" i="6"/>
  <c r="AK56" i="6"/>
  <c r="AK53" i="6"/>
  <c r="AK46" i="6"/>
  <c r="AK34" i="6"/>
  <c r="AK24" i="6"/>
  <c r="AK19" i="6"/>
  <c r="AK13" i="6"/>
  <c r="AK66" i="6"/>
  <c r="AK37" i="6"/>
  <c r="AK22" i="6"/>
  <c r="AI70" i="5"/>
  <c r="AI69" i="5"/>
  <c r="AK45" i="6"/>
  <c r="AK27" i="6"/>
  <c r="AK15" i="6"/>
  <c r="AI78" i="5"/>
  <c r="AI67" i="5"/>
  <c r="AK70" i="6"/>
  <c r="AK21" i="6"/>
  <c r="AK14" i="6"/>
  <c r="AI65" i="5"/>
  <c r="AK63" i="6"/>
  <c r="AK38" i="6"/>
  <c r="AK29" i="6"/>
  <c r="AK26" i="6"/>
  <c r="AK20" i="6"/>
  <c r="AI63" i="5"/>
  <c r="AI60" i="5"/>
  <c r="AI58" i="5"/>
  <c r="AI56" i="5"/>
  <c r="AI54" i="5"/>
  <c r="AI52" i="5"/>
  <c r="AI50" i="5"/>
  <c r="AI48" i="5"/>
  <c r="AI46" i="5"/>
  <c r="AI44" i="5"/>
  <c r="AI49" i="5"/>
  <c r="AI45" i="5"/>
  <c r="AK33" i="6"/>
  <c r="AI68" i="5"/>
  <c r="AI64" i="5"/>
  <c r="AI61" i="5"/>
  <c r="AI42" i="5"/>
  <c r="AI39" i="5"/>
  <c r="AI30" i="5"/>
  <c r="AI27" i="5"/>
  <c r="AI43" i="5"/>
  <c r="AI38" i="5"/>
  <c r="AI32" i="5"/>
  <c r="AK11" i="6"/>
  <c r="AI59" i="5"/>
  <c r="AI55" i="5"/>
  <c r="AI37" i="5"/>
  <c r="AI35" i="5"/>
  <c r="AI11" i="5"/>
  <c r="AI13" i="5"/>
  <c r="P16" i="5"/>
  <c r="R18" i="5"/>
  <c r="R25" i="5"/>
  <c r="P32" i="5"/>
  <c r="R33" i="5"/>
  <c r="AI47" i="5"/>
  <c r="R9" i="5"/>
  <c r="AI10" i="5"/>
  <c r="AV12" i="5"/>
  <c r="AI14" i="5"/>
  <c r="AI19" i="5"/>
  <c r="R20" i="5"/>
  <c r="AI22" i="5"/>
  <c r="P24" i="5"/>
  <c r="AV25" i="5"/>
  <c r="R26" i="5"/>
  <c r="AI28" i="5"/>
  <c r="AV30" i="5"/>
  <c r="P35" i="5"/>
  <c r="R41" i="5"/>
  <c r="AV44" i="5"/>
  <c r="R49" i="5"/>
  <c r="AV56" i="5"/>
  <c r="AI57" i="5"/>
  <c r="P60" i="5"/>
  <c r="P66" i="5"/>
  <c r="AI13" i="6"/>
  <c r="AX17" i="6"/>
  <c r="R20" i="6"/>
  <c r="AX23" i="6"/>
  <c r="AK25" i="6"/>
  <c r="AI32" i="6"/>
  <c r="AX38" i="6"/>
  <c r="AX40" i="6"/>
  <c r="AT36" i="5"/>
  <c r="AT61" i="5"/>
  <c r="AT68" i="5"/>
  <c r="L103" i="5"/>
  <c r="AV21" i="6"/>
  <c r="AV26" i="6"/>
  <c r="AV50" i="6"/>
  <c r="AT48" i="5"/>
  <c r="AV69" i="6"/>
  <c r="AV65" i="6"/>
  <c r="AV61" i="6"/>
  <c r="AV73" i="6"/>
  <c r="AV62" i="6"/>
  <c r="AV60" i="6"/>
  <c r="AV56" i="6"/>
  <c r="AV57" i="6"/>
  <c r="AV71" i="6"/>
  <c r="AV64" i="6"/>
  <c r="AV66" i="6"/>
  <c r="AV47" i="6"/>
  <c r="AV72" i="6"/>
  <c r="AV43" i="6"/>
  <c r="AV53" i="6"/>
  <c r="AV45" i="6"/>
  <c r="AV44" i="6"/>
  <c r="AV37" i="6"/>
  <c r="AV55" i="6"/>
  <c r="AV52" i="6"/>
  <c r="AV35" i="6"/>
  <c r="AV67" i="6"/>
  <c r="AV63" i="6"/>
  <c r="AV54" i="6"/>
  <c r="AV42" i="6"/>
  <c r="AV36" i="6"/>
  <c r="AV59" i="6"/>
  <c r="AV58" i="6"/>
  <c r="AV51" i="6"/>
  <c r="AV31" i="6"/>
  <c r="AV49" i="6"/>
  <c r="AV46" i="6"/>
  <c r="AV70" i="6"/>
  <c r="AV23" i="6"/>
  <c r="AV17" i="6"/>
  <c r="AV12" i="6"/>
  <c r="AV68" i="6"/>
  <c r="AV28" i="6"/>
  <c r="AV24" i="6"/>
  <c r="AV19" i="6"/>
  <c r="AV13" i="6"/>
  <c r="AT70" i="5"/>
  <c r="AV38" i="6"/>
  <c r="AT69" i="5"/>
  <c r="AV39" i="6"/>
  <c r="AV16" i="6"/>
  <c r="AT78" i="5"/>
  <c r="AT67" i="5"/>
  <c r="AT58" i="5"/>
  <c r="AT56" i="5"/>
  <c r="AT54" i="5"/>
  <c r="AV33" i="6"/>
  <c r="AV30" i="6"/>
  <c r="AV22" i="6"/>
  <c r="AV15" i="6"/>
  <c r="AT65" i="5"/>
  <c r="AT60" i="5"/>
  <c r="AV48" i="6"/>
  <c r="AV27" i="6"/>
  <c r="AV14" i="6"/>
  <c r="AT63" i="5"/>
  <c r="AT42" i="5"/>
  <c r="AT35" i="5"/>
  <c r="AT38" i="5"/>
  <c r="AT49" i="5"/>
  <c r="AT50" i="5"/>
  <c r="AT53" i="5"/>
  <c r="AT57" i="5"/>
  <c r="AT62" i="5"/>
  <c r="AV32" i="6"/>
  <c r="AT51" i="5"/>
  <c r="AT52" i="5"/>
  <c r="AT66" i="5"/>
  <c r="R77" i="5"/>
  <c r="P77" i="5"/>
  <c r="W77" i="5" s="1"/>
  <c r="AV18" i="6"/>
  <c r="AV25" i="6"/>
  <c r="AI79" i="5"/>
  <c r="AG79" i="5"/>
  <c r="AP79" i="5"/>
  <c r="AW79" i="5" s="1"/>
  <c r="AT79" i="5"/>
  <c r="AT80" i="5"/>
  <c r="AX9" i="8"/>
  <c r="AV9" i="8"/>
  <c r="AH9" i="9"/>
  <c r="AJ9" i="9"/>
  <c r="Z9" i="7"/>
  <c r="T9" i="7"/>
  <c r="AA9" i="7" s="1"/>
  <c r="R8" i="7"/>
  <c r="AQ9" i="9"/>
  <c r="AU9" i="9"/>
  <c r="AW9" i="9"/>
  <c r="Q8" i="7"/>
  <c r="G6" i="14"/>
  <c r="G14" i="14" s="1"/>
  <c r="G15" i="14" s="1"/>
  <c r="G20" i="14" s="1"/>
  <c r="AI74" i="6"/>
  <c r="AV74" i="6"/>
  <c r="Y12" i="8"/>
  <c r="T8" i="7"/>
  <c r="Q9" i="9"/>
  <c r="G8" i="14"/>
  <c r="AK73" i="6"/>
  <c r="AI73" i="6"/>
  <c r="N8" i="9"/>
  <c r="R8" i="9" s="1"/>
  <c r="T74" i="6"/>
  <c r="AK74" i="6"/>
  <c r="Y12" i="6" l="1"/>
  <c r="AR79" i="5"/>
  <c r="X9" i="9"/>
  <c r="N95" i="6"/>
  <c r="Y13" i="6"/>
  <c r="Y33" i="6"/>
  <c r="Y30" i="6"/>
  <c r="Y25" i="6"/>
  <c r="Y20" i="6"/>
  <c r="Y22" i="6"/>
  <c r="Y18" i="6"/>
  <c r="Y73" i="6"/>
  <c r="Y36" i="6"/>
  <c r="Y31" i="6"/>
  <c r="Y29" i="6"/>
  <c r="L94" i="6"/>
  <c r="I11" i="2"/>
  <c r="Y17" i="6"/>
  <c r="Y24" i="6"/>
  <c r="J19" i="7"/>
  <c r="M19" i="7" s="1"/>
  <c r="F39" i="7" s="1"/>
  <c r="H86" i="5"/>
  <c r="J86" i="5" s="1"/>
  <c r="L86" i="5" s="1"/>
  <c r="L90" i="5"/>
  <c r="BA92" i="5" s="1"/>
  <c r="AZ92" i="5"/>
  <c r="AZ90" i="5"/>
  <c r="W8" i="5"/>
  <c r="W71" i="5" s="1"/>
  <c r="AR77" i="5"/>
  <c r="AA79" i="5"/>
  <c r="H91" i="5"/>
  <c r="J91" i="5" s="1"/>
  <c r="L91" i="5" s="1"/>
  <c r="H93" i="5"/>
  <c r="J93" i="5" s="1"/>
  <c r="AR9" i="7"/>
  <c r="AV9" i="7"/>
  <c r="AS9" i="9"/>
  <c r="AX9" i="9" s="1"/>
  <c r="AT9" i="8"/>
  <c r="AR80" i="5"/>
  <c r="Y15" i="6"/>
  <c r="Y11" i="6"/>
  <c r="X103" i="5"/>
  <c r="D61" i="1" s="1"/>
  <c r="P4" i="5"/>
  <c r="N4" i="5"/>
  <c r="W4" i="5" s="1"/>
  <c r="X9" i="6"/>
  <c r="P7" i="6"/>
  <c r="Y7" i="6" s="1"/>
  <c r="R7" i="6"/>
  <c r="S8" i="9"/>
  <c r="AE69" i="6"/>
  <c r="AE65" i="6"/>
  <c r="AE61" i="6"/>
  <c r="AE71" i="6"/>
  <c r="AE64" i="6"/>
  <c r="AE60" i="6"/>
  <c r="AE56" i="6"/>
  <c r="AE72" i="6"/>
  <c r="AE63" i="6"/>
  <c r="S8" i="7"/>
  <c r="AE66" i="6"/>
  <c r="AE70" i="6"/>
  <c r="AE62" i="6"/>
  <c r="AE68" i="6"/>
  <c r="AE44" i="6"/>
  <c r="AL44" i="6" s="1"/>
  <c r="AE73" i="6"/>
  <c r="AE54" i="6"/>
  <c r="AE40" i="6"/>
  <c r="AL40" i="6" s="1"/>
  <c r="AE67" i="6"/>
  <c r="AE45" i="6"/>
  <c r="AL45" i="6" s="1"/>
  <c r="AE39" i="6"/>
  <c r="AL39" i="6" s="1"/>
  <c r="AE32" i="6"/>
  <c r="AL32" i="6" s="1"/>
  <c r="AD9" i="9"/>
  <c r="AK9" i="9" s="1"/>
  <c r="AE59" i="6"/>
  <c r="AE58" i="6"/>
  <c r="AE55" i="6"/>
  <c r="AE53" i="6"/>
  <c r="AE52" i="6"/>
  <c r="AE38" i="6"/>
  <c r="AL38" i="6" s="1"/>
  <c r="AE37" i="6"/>
  <c r="AL37" i="6" s="1"/>
  <c r="AE57" i="6"/>
  <c r="Q8" i="6"/>
  <c r="AE51" i="6"/>
  <c r="AE49" i="6"/>
  <c r="AL49" i="6" s="1"/>
  <c r="AE25" i="6"/>
  <c r="AL25" i="6" s="1"/>
  <c r="AE20" i="6"/>
  <c r="AL20" i="6" s="1"/>
  <c r="AE14" i="6"/>
  <c r="AE47" i="6"/>
  <c r="AL47" i="6" s="1"/>
  <c r="AE50" i="6"/>
  <c r="AE26" i="6"/>
  <c r="AL26" i="6" s="1"/>
  <c r="AE21" i="6"/>
  <c r="AL21" i="6" s="1"/>
  <c r="AE16" i="6"/>
  <c r="AE11" i="6"/>
  <c r="AE19" i="6"/>
  <c r="AL19" i="6" s="1"/>
  <c r="AC68" i="5"/>
  <c r="AC63" i="5"/>
  <c r="AE41" i="6"/>
  <c r="AL41" i="6" s="1"/>
  <c r="AE36" i="6"/>
  <c r="AE30" i="6"/>
  <c r="AL30" i="6" s="1"/>
  <c r="AE24" i="6"/>
  <c r="AE23" i="6"/>
  <c r="AE18" i="6"/>
  <c r="AL18" i="6" s="1"/>
  <c r="AE17" i="6"/>
  <c r="AC77" i="5"/>
  <c r="AJ77" i="5" s="1"/>
  <c r="W99" i="5" s="1"/>
  <c r="AC66" i="5"/>
  <c r="AC61" i="5"/>
  <c r="AC60" i="5"/>
  <c r="AC58" i="5"/>
  <c r="AC56" i="5"/>
  <c r="AC54" i="5"/>
  <c r="AE48" i="6"/>
  <c r="AL48" i="6" s="1"/>
  <c r="AE43" i="6"/>
  <c r="AL43" i="6" s="1"/>
  <c r="AE33" i="6"/>
  <c r="AL33" i="6" s="1"/>
  <c r="AE28" i="6"/>
  <c r="AL28" i="6" s="1"/>
  <c r="AC64" i="5"/>
  <c r="AE34" i="6"/>
  <c r="AL34" i="6" s="1"/>
  <c r="AE22" i="6"/>
  <c r="AL22" i="6" s="1"/>
  <c r="AC62" i="5"/>
  <c r="AC42" i="5"/>
  <c r="AE46" i="6"/>
  <c r="AL46" i="6" s="1"/>
  <c r="AE35" i="6"/>
  <c r="AL35" i="6" s="1"/>
  <c r="AE31" i="6"/>
  <c r="AE15" i="6"/>
  <c r="AC32" i="5"/>
  <c r="AC30" i="5"/>
  <c r="AC57" i="5"/>
  <c r="AC53" i="5"/>
  <c r="AC46" i="5"/>
  <c r="AC37" i="5"/>
  <c r="AC35" i="5"/>
  <c r="AC24" i="5"/>
  <c r="AC20" i="5"/>
  <c r="AC18" i="5"/>
  <c r="AE29" i="6"/>
  <c r="AE13" i="6"/>
  <c r="AC65" i="5"/>
  <c r="AC51" i="5"/>
  <c r="AC47" i="5"/>
  <c r="AC33" i="5"/>
  <c r="AC22" i="5"/>
  <c r="AC52" i="5"/>
  <c r="AC49" i="5"/>
  <c r="AC44" i="5"/>
  <c r="AC41" i="5"/>
  <c r="AC36" i="5"/>
  <c r="AC79" i="5"/>
  <c r="AJ79" i="5" s="1"/>
  <c r="W102" i="5" s="1"/>
  <c r="AC29" i="5"/>
  <c r="AC17" i="5"/>
  <c r="AC15" i="5"/>
  <c r="AC9" i="5"/>
  <c r="O5" i="5"/>
  <c r="AC14" i="5"/>
  <c r="AC10" i="5"/>
  <c r="AC69" i="5"/>
  <c r="AC38" i="5"/>
  <c r="AC23" i="5"/>
  <c r="AC13" i="5"/>
  <c r="AC11" i="5"/>
  <c r="AC55" i="5"/>
  <c r="AC34" i="5"/>
  <c r="AE12" i="6"/>
  <c r="AC59" i="5"/>
  <c r="AE27" i="6"/>
  <c r="AC78" i="5"/>
  <c r="BC28" i="5"/>
  <c r="BD28" i="5" s="1"/>
  <c r="BE26" i="5" s="1"/>
  <c r="AC25" i="5"/>
  <c r="AC67" i="5"/>
  <c r="AC39" i="5"/>
  <c r="AC48" i="5"/>
  <c r="AC45" i="5"/>
  <c r="AC43" i="5"/>
  <c r="AC31" i="5"/>
  <c r="AC28" i="5"/>
  <c r="AC19" i="5"/>
  <c r="AC8" i="5"/>
  <c r="AC50" i="5"/>
  <c r="AY42" i="5"/>
  <c r="AZ42" i="5" s="1"/>
  <c r="BA40" i="5" s="1"/>
  <c r="AC40" i="5"/>
  <c r="AY35" i="5"/>
  <c r="AZ35" i="5" s="1"/>
  <c r="BA33" i="5" s="1"/>
  <c r="AC16" i="5"/>
  <c r="AE42" i="6"/>
  <c r="AL42" i="6" s="1"/>
  <c r="AY28" i="5"/>
  <c r="AZ28" i="5" s="1"/>
  <c r="BA26" i="5" s="1"/>
  <c r="AC27" i="5"/>
  <c r="AC21" i="5"/>
  <c r="AC12" i="5"/>
  <c r="AC26" i="5"/>
  <c r="AG70" i="6"/>
  <c r="AG66" i="6"/>
  <c r="AG62" i="6"/>
  <c r="AG72" i="6"/>
  <c r="AG65" i="6"/>
  <c r="AG57" i="6"/>
  <c r="AG68" i="6"/>
  <c r="AG59" i="6"/>
  <c r="AG73" i="6"/>
  <c r="AG71" i="6"/>
  <c r="AG64" i="6"/>
  <c r="AG54" i="6"/>
  <c r="AG45" i="6"/>
  <c r="AG67" i="6"/>
  <c r="AG41" i="6"/>
  <c r="AG69" i="6"/>
  <c r="AG58" i="6"/>
  <c r="AG55" i="6"/>
  <c r="AG39" i="6"/>
  <c r="AG38" i="6"/>
  <c r="AG63" i="6"/>
  <c r="AG53" i="6"/>
  <c r="AG52" i="6"/>
  <c r="AG37" i="6"/>
  <c r="AG33" i="6"/>
  <c r="AG56" i="6"/>
  <c r="AG43" i="6"/>
  <c r="AG42" i="6"/>
  <c r="AG61" i="6"/>
  <c r="AG51" i="6"/>
  <c r="AG44" i="6"/>
  <c r="AG29" i="6"/>
  <c r="AG49" i="6"/>
  <c r="AG47" i="6"/>
  <c r="AG32" i="6"/>
  <c r="AG26" i="6"/>
  <c r="AG21" i="6"/>
  <c r="AG15" i="6"/>
  <c r="AG60" i="6"/>
  <c r="AG50" i="6"/>
  <c r="AG35" i="6"/>
  <c r="AG27" i="6"/>
  <c r="AG22" i="6"/>
  <c r="AG17" i="6"/>
  <c r="AG36" i="6"/>
  <c r="AG30" i="6"/>
  <c r="AG24" i="6"/>
  <c r="AG23" i="6"/>
  <c r="AE77" i="5"/>
  <c r="AE66" i="5"/>
  <c r="AG48" i="6"/>
  <c r="AG28" i="6"/>
  <c r="AG16" i="6"/>
  <c r="AE64" i="5"/>
  <c r="AG34" i="6"/>
  <c r="AE62" i="5"/>
  <c r="AG40" i="6"/>
  <c r="AE78" i="5"/>
  <c r="AE69" i="5"/>
  <c r="AE59" i="5"/>
  <c r="AE57" i="5"/>
  <c r="AE55" i="5"/>
  <c r="AE53" i="5"/>
  <c r="AE51" i="5"/>
  <c r="AE49" i="5"/>
  <c r="AE47" i="5"/>
  <c r="AE45" i="5"/>
  <c r="AE43" i="5"/>
  <c r="AG13" i="6"/>
  <c r="AE65" i="5"/>
  <c r="AE60" i="5"/>
  <c r="AE56" i="5"/>
  <c r="AE33" i="5"/>
  <c r="AE44" i="5"/>
  <c r="AE41" i="5"/>
  <c r="AE36" i="5"/>
  <c r="AE31" i="5"/>
  <c r="AE28" i="5"/>
  <c r="AE79" i="5"/>
  <c r="AE67" i="5"/>
  <c r="AE52" i="5"/>
  <c r="AE29" i="5"/>
  <c r="AG14" i="6"/>
  <c r="AE50" i="5"/>
  <c r="AE40" i="5"/>
  <c r="AE34" i="5"/>
  <c r="AG18" i="6"/>
  <c r="AE68" i="5"/>
  <c r="AE42" i="5"/>
  <c r="AE12" i="5"/>
  <c r="AE54" i="5"/>
  <c r="AE63" i="5"/>
  <c r="AE35" i="5"/>
  <c r="AE20" i="5"/>
  <c r="AE19" i="5"/>
  <c r="AE61" i="5"/>
  <c r="AE37" i="5"/>
  <c r="AG12" i="6"/>
  <c r="AE32" i="5"/>
  <c r="AE15" i="5"/>
  <c r="AE38" i="5"/>
  <c r="AG25" i="6"/>
  <c r="AG20" i="6"/>
  <c r="AG19" i="6"/>
  <c r="AE25" i="5"/>
  <c r="AE8" i="5"/>
  <c r="AE46" i="5"/>
  <c r="AE22" i="5"/>
  <c r="AE10" i="5"/>
  <c r="AG31" i="6"/>
  <c r="AE13" i="5"/>
  <c r="AG46" i="6"/>
  <c r="AG11" i="6"/>
  <c r="AE58" i="5"/>
  <c r="AE39" i="5"/>
  <c r="AE30" i="5"/>
  <c r="AE16" i="5"/>
  <c r="AE48" i="5"/>
  <c r="AE27" i="5"/>
  <c r="AE21" i="5"/>
  <c r="AE14" i="5"/>
  <c r="AE26" i="5"/>
  <c r="AE18" i="5"/>
  <c r="AE17" i="5"/>
  <c r="AE9" i="5"/>
  <c r="AE24" i="5"/>
  <c r="AE23" i="5"/>
  <c r="AE11" i="5"/>
  <c r="AJ11" i="5" s="1"/>
  <c r="AC73" i="6"/>
  <c r="V8" i="7"/>
  <c r="U8" i="7"/>
  <c r="AC9" i="8"/>
  <c r="AA80" i="5"/>
  <c r="AE9" i="8"/>
  <c r="AL9" i="8" s="1"/>
  <c r="AG9" i="8"/>
  <c r="AR71" i="5"/>
  <c r="W6" i="5"/>
  <c r="S8" i="6"/>
  <c r="T8" i="6"/>
  <c r="AC72" i="6"/>
  <c r="AC68" i="6"/>
  <c r="AC64" i="6"/>
  <c r="AC70" i="6"/>
  <c r="AC63" i="6"/>
  <c r="AC59" i="6"/>
  <c r="AC55" i="6"/>
  <c r="AC69" i="6"/>
  <c r="AC67" i="6"/>
  <c r="AC65" i="6"/>
  <c r="AC61" i="6"/>
  <c r="AC57" i="6"/>
  <c r="AC60" i="6"/>
  <c r="AC66" i="6"/>
  <c r="AC43" i="6"/>
  <c r="AC71" i="6"/>
  <c r="AC39" i="6"/>
  <c r="AC62" i="6"/>
  <c r="AC49" i="6"/>
  <c r="AC48" i="6"/>
  <c r="AC47" i="6"/>
  <c r="AC46" i="6"/>
  <c r="AC31" i="6"/>
  <c r="AC45" i="6"/>
  <c r="AC56" i="6"/>
  <c r="AC54" i="6"/>
  <c r="AC52" i="6"/>
  <c r="AC38" i="6"/>
  <c r="AC58" i="6"/>
  <c r="AC51" i="6"/>
  <c r="AC37" i="6"/>
  <c r="AC24" i="6"/>
  <c r="AC19" i="6"/>
  <c r="AC13" i="6"/>
  <c r="AL13" i="6" s="1"/>
  <c r="AC25" i="6"/>
  <c r="AC20" i="6"/>
  <c r="AC15" i="6"/>
  <c r="AC12" i="6"/>
  <c r="AC11" i="6"/>
  <c r="AA65" i="5"/>
  <c r="AC42" i="6"/>
  <c r="AC32" i="6"/>
  <c r="AA63" i="5"/>
  <c r="AC41" i="6"/>
  <c r="AC36" i="6"/>
  <c r="AL36" i="6" s="1"/>
  <c r="AC30" i="6"/>
  <c r="AC23" i="6"/>
  <c r="AC18" i="6"/>
  <c r="AA77" i="5"/>
  <c r="AA68" i="5"/>
  <c r="AC33" i="6"/>
  <c r="AC17" i="6"/>
  <c r="AL17" i="6" s="1"/>
  <c r="AC16" i="6"/>
  <c r="AA66" i="5"/>
  <c r="AA61" i="5"/>
  <c r="AA60" i="5"/>
  <c r="AA58" i="5"/>
  <c r="AA56" i="5"/>
  <c r="AA54" i="5"/>
  <c r="AA52" i="5"/>
  <c r="AA50" i="5"/>
  <c r="AA48" i="5"/>
  <c r="AA46" i="5"/>
  <c r="AA44" i="5"/>
  <c r="AC22" i="6"/>
  <c r="AA69" i="5"/>
  <c r="AA43" i="5"/>
  <c r="AA39" i="5"/>
  <c r="AC40" i="6"/>
  <c r="AC35" i="6"/>
  <c r="AA78" i="5"/>
  <c r="AA38" i="5"/>
  <c r="AA37" i="5"/>
  <c r="AA32" i="5"/>
  <c r="AA30" i="5"/>
  <c r="AA27" i="5"/>
  <c r="AC29" i="6"/>
  <c r="AL29" i="6" s="1"/>
  <c r="AC28" i="6"/>
  <c r="AC26" i="6"/>
  <c r="AC21" i="6"/>
  <c r="AA64" i="5"/>
  <c r="AA57" i="5"/>
  <c r="AA53" i="5"/>
  <c r="AA35" i="5"/>
  <c r="AC44" i="6"/>
  <c r="AA55" i="5"/>
  <c r="AA34" i="5"/>
  <c r="AA24" i="5"/>
  <c r="AA21" i="5"/>
  <c r="AA28" i="5"/>
  <c r="AA22" i="5"/>
  <c r="AA19" i="5"/>
  <c r="AA16" i="5"/>
  <c r="AA70" i="5"/>
  <c r="AC50" i="6"/>
  <c r="AA41" i="5"/>
  <c r="AA26" i="5"/>
  <c r="AA31" i="5"/>
  <c r="AA67" i="5"/>
  <c r="AA62" i="5"/>
  <c r="AA40" i="5"/>
  <c r="AA25" i="5"/>
  <c r="AA10" i="5"/>
  <c r="AA51" i="5"/>
  <c r="AA47" i="5"/>
  <c r="AA33" i="5"/>
  <c r="AC34" i="6"/>
  <c r="AA36" i="5"/>
  <c r="AA29" i="5"/>
  <c r="AA20" i="5"/>
  <c r="AA17" i="5"/>
  <c r="AA15" i="5"/>
  <c r="AA9" i="5"/>
  <c r="AJ9" i="5" s="1"/>
  <c r="AA59" i="5"/>
  <c r="AA8" i="5"/>
  <c r="AA45" i="5"/>
  <c r="AA14" i="5"/>
  <c r="AA42" i="5"/>
  <c r="AA18" i="5"/>
  <c r="AA12" i="5"/>
  <c r="AC14" i="6"/>
  <c r="AA49" i="5"/>
  <c r="AA23" i="5"/>
  <c r="AA13" i="5"/>
  <c r="AA11" i="5"/>
  <c r="AC27" i="6"/>
  <c r="AC53" i="6"/>
  <c r="AC70" i="5"/>
  <c r="AJ70" i="5" s="1"/>
  <c r="AE74" i="6"/>
  <c r="AT74" i="6"/>
  <c r="AA71" i="5"/>
  <c r="R5" i="5"/>
  <c r="Q5" i="5"/>
  <c r="AI9" i="7"/>
  <c r="AO9" i="9"/>
  <c r="Q8" i="8"/>
  <c r="AE70" i="5"/>
  <c r="AC71" i="5"/>
  <c r="AR74" i="6"/>
  <c r="AE80" i="5"/>
  <c r="AC80" i="5"/>
  <c r="AJ80" i="5" s="1"/>
  <c r="AC74" i="6"/>
  <c r="AG74" i="6"/>
  <c r="AP71" i="5"/>
  <c r="AE71" i="5"/>
  <c r="AP70" i="6"/>
  <c r="AP66" i="6"/>
  <c r="AP62" i="6"/>
  <c r="AP71" i="6"/>
  <c r="AP65" i="6"/>
  <c r="AP64" i="6"/>
  <c r="AP57" i="6"/>
  <c r="AP63" i="6"/>
  <c r="AP72" i="6"/>
  <c r="AP59" i="6"/>
  <c r="AP68" i="6"/>
  <c r="AP49" i="6"/>
  <c r="AP44" i="6"/>
  <c r="AP39" i="6"/>
  <c r="AP54" i="6"/>
  <c r="AP51" i="6"/>
  <c r="AP45" i="6"/>
  <c r="AP40" i="6"/>
  <c r="AP60" i="6"/>
  <c r="AP48" i="6"/>
  <c r="AP47" i="6"/>
  <c r="AP9" i="8"/>
  <c r="AP46" i="6"/>
  <c r="AP32" i="6"/>
  <c r="AP69" i="6"/>
  <c r="AP38" i="6"/>
  <c r="AP33" i="6"/>
  <c r="AP28" i="6"/>
  <c r="AP56" i="6"/>
  <c r="AP53" i="6"/>
  <c r="AP67" i="6"/>
  <c r="AP61" i="6"/>
  <c r="AP43" i="6"/>
  <c r="AP25" i="6"/>
  <c r="AN70" i="5"/>
  <c r="AP30" i="6"/>
  <c r="AP21" i="6"/>
  <c r="AP35" i="6"/>
  <c r="AP29" i="6"/>
  <c r="AP26" i="6"/>
  <c r="AP20" i="6"/>
  <c r="AP13" i="6"/>
  <c r="AN61" i="5"/>
  <c r="AN60" i="5"/>
  <c r="AP50" i="6"/>
  <c r="AP19" i="6"/>
  <c r="AP18" i="6"/>
  <c r="AP12" i="6"/>
  <c r="AN68" i="5"/>
  <c r="AP58" i="6"/>
  <c r="AP11" i="6"/>
  <c r="AN66" i="5"/>
  <c r="AP55" i="6"/>
  <c r="AP24" i="6"/>
  <c r="AP23" i="6"/>
  <c r="AP17" i="6"/>
  <c r="AN80" i="5"/>
  <c r="AN64" i="5"/>
  <c r="AN59" i="5"/>
  <c r="AN57" i="5"/>
  <c r="AN55" i="5"/>
  <c r="AN53" i="5"/>
  <c r="AN51" i="5"/>
  <c r="AN49" i="5"/>
  <c r="AN47" i="5"/>
  <c r="AN45" i="5"/>
  <c r="AN43" i="5"/>
  <c r="AN79" i="5"/>
  <c r="AN46" i="5"/>
  <c r="AN33" i="5"/>
  <c r="AP73" i="6"/>
  <c r="AP41" i="6"/>
  <c r="AP37" i="6"/>
  <c r="AP27" i="6"/>
  <c r="AN63" i="5"/>
  <c r="AN36" i="5"/>
  <c r="AN44" i="5"/>
  <c r="AN31" i="5"/>
  <c r="AN29" i="5"/>
  <c r="AN28" i="5"/>
  <c r="AP42" i="6"/>
  <c r="AN78" i="5"/>
  <c r="AN69" i="5"/>
  <c r="AN62" i="5"/>
  <c r="AN56" i="5"/>
  <c r="AN65" i="5"/>
  <c r="AN41" i="5"/>
  <c r="AN34" i="5"/>
  <c r="AN58" i="5"/>
  <c r="AN40" i="5"/>
  <c r="AN32" i="5"/>
  <c r="AN26" i="5"/>
  <c r="AN24" i="5"/>
  <c r="AN15" i="5"/>
  <c r="AN9" i="5"/>
  <c r="AW9" i="5" s="1"/>
  <c r="AN14" i="5"/>
  <c r="AN10" i="5"/>
  <c r="AN39" i="5"/>
  <c r="AP52" i="6"/>
  <c r="AP34" i="6"/>
  <c r="AP14" i="6"/>
  <c r="AN37" i="5"/>
  <c r="AN18" i="5"/>
  <c r="AN67" i="5"/>
  <c r="AN50" i="5"/>
  <c r="AN42" i="5"/>
  <c r="AN17" i="5"/>
  <c r="AN13" i="5"/>
  <c r="AN11" i="5"/>
  <c r="AN25" i="5"/>
  <c r="AN22" i="5"/>
  <c r="AN27" i="5"/>
  <c r="AN12" i="5"/>
  <c r="AN48" i="5"/>
  <c r="AP31" i="6"/>
  <c r="AY31" i="6" s="1"/>
  <c r="AP16" i="6"/>
  <c r="AN38" i="5"/>
  <c r="AN23" i="5"/>
  <c r="AN20" i="5"/>
  <c r="AN19" i="5"/>
  <c r="AN8" i="5"/>
  <c r="AN30" i="5"/>
  <c r="AN52" i="5"/>
  <c r="AP15" i="6"/>
  <c r="AP22" i="6"/>
  <c r="AN35" i="5"/>
  <c r="AP36" i="6"/>
  <c r="AN54" i="5"/>
  <c r="AN16" i="5"/>
  <c r="AN21" i="5"/>
  <c r="AG9" i="7"/>
  <c r="AN9" i="7" s="1"/>
  <c r="AN77" i="5"/>
  <c r="AN71" i="5"/>
  <c r="AE9" i="7"/>
  <c r="AB9" i="9"/>
  <c r="AR71" i="6"/>
  <c r="AR67" i="6"/>
  <c r="AR63" i="6"/>
  <c r="AR72" i="6"/>
  <c r="AR58" i="6"/>
  <c r="AR54" i="6"/>
  <c r="AR59" i="6"/>
  <c r="AR68" i="6"/>
  <c r="AR70" i="6"/>
  <c r="AR66" i="6"/>
  <c r="AR55" i="6"/>
  <c r="AR73" i="6"/>
  <c r="AR62" i="6"/>
  <c r="AR56" i="6"/>
  <c r="AR51" i="6"/>
  <c r="AR50" i="6"/>
  <c r="AR40" i="6"/>
  <c r="AY40" i="6" s="1"/>
  <c r="AR65" i="6"/>
  <c r="AR60" i="6"/>
  <c r="AR52" i="6"/>
  <c r="AR47" i="6"/>
  <c r="AY47" i="6" s="1"/>
  <c r="AR46" i="6"/>
  <c r="AY46" i="6" s="1"/>
  <c r="AR49" i="6"/>
  <c r="AY49" i="6" s="1"/>
  <c r="AR39" i="6"/>
  <c r="AY39" i="6" s="1"/>
  <c r="AR28" i="6"/>
  <c r="AY28" i="6" s="1"/>
  <c r="AR69" i="6"/>
  <c r="AR43" i="6"/>
  <c r="AY43" i="6" s="1"/>
  <c r="AR38" i="6"/>
  <c r="AY38" i="6" s="1"/>
  <c r="AR64" i="6"/>
  <c r="AR57" i="6"/>
  <c r="AR53" i="6"/>
  <c r="AR45" i="6"/>
  <c r="AY45" i="6" s="1"/>
  <c r="AR44" i="6"/>
  <c r="AY44" i="6" s="1"/>
  <c r="AR37" i="6"/>
  <c r="AY37" i="6" s="1"/>
  <c r="AR35" i="6"/>
  <c r="AY35" i="6" s="1"/>
  <c r="AR34" i="6"/>
  <c r="AY34" i="6" s="1"/>
  <c r="AR33" i="6"/>
  <c r="AY33" i="6" s="1"/>
  <c r="AR32" i="6"/>
  <c r="AR20" i="6"/>
  <c r="AY20" i="6" s="1"/>
  <c r="AR16" i="6"/>
  <c r="AP80" i="5"/>
  <c r="AW80" i="5" s="1"/>
  <c r="AR12" i="6"/>
  <c r="AP68" i="5"/>
  <c r="AR25" i="6"/>
  <c r="AY25" i="6" s="1"/>
  <c r="AR23" i="6"/>
  <c r="AR11" i="6"/>
  <c r="AP66" i="5"/>
  <c r="AP59" i="5"/>
  <c r="AP57" i="5"/>
  <c r="AP55" i="5"/>
  <c r="AP53" i="5"/>
  <c r="AR36" i="6"/>
  <c r="AR24" i="6"/>
  <c r="AR17" i="6"/>
  <c r="AP69" i="5"/>
  <c r="AP64" i="5"/>
  <c r="AR42" i="6"/>
  <c r="AY42" i="6" s="1"/>
  <c r="AR30" i="6"/>
  <c r="AR22" i="6"/>
  <c r="AY22" i="6" s="1"/>
  <c r="AP67" i="5"/>
  <c r="AP62" i="5"/>
  <c r="AP41" i="5"/>
  <c r="AR41" i="6"/>
  <c r="AY41" i="6" s="1"/>
  <c r="AR27" i="6"/>
  <c r="AY27" i="6" s="1"/>
  <c r="AP70" i="5"/>
  <c r="AW70" i="5" s="1"/>
  <c r="AP56" i="5"/>
  <c r="AP44" i="5"/>
  <c r="AP31" i="5"/>
  <c r="AP29" i="5"/>
  <c r="AR61" i="6"/>
  <c r="AR18" i="6"/>
  <c r="AY18" i="6" s="1"/>
  <c r="AP78" i="5"/>
  <c r="AP65" i="5"/>
  <c r="AP60" i="5"/>
  <c r="AP34" i="5"/>
  <c r="AP40" i="5"/>
  <c r="AP25" i="5"/>
  <c r="AP23" i="5"/>
  <c r="AP21" i="5"/>
  <c r="AP52" i="5"/>
  <c r="AP47" i="5"/>
  <c r="AP26" i="5"/>
  <c r="AP19" i="5"/>
  <c r="AP17" i="5"/>
  <c r="AR31" i="6"/>
  <c r="AR15" i="6"/>
  <c r="AP51" i="5"/>
  <c r="AP50" i="5"/>
  <c r="AP39" i="5"/>
  <c r="AP20" i="5"/>
  <c r="AP13" i="5"/>
  <c r="AP11" i="5"/>
  <c r="AR14" i="6"/>
  <c r="AP48" i="5"/>
  <c r="AP43" i="5"/>
  <c r="AP28" i="5"/>
  <c r="AP18" i="5"/>
  <c r="AP32" i="5"/>
  <c r="AP24" i="5"/>
  <c r="AR19" i="6"/>
  <c r="AY19" i="6" s="1"/>
  <c r="AP42" i="5"/>
  <c r="AP33" i="5"/>
  <c r="AP61" i="5"/>
  <c r="AP38" i="5"/>
  <c r="AP35" i="5"/>
  <c r="AP58" i="5"/>
  <c r="AP45" i="5"/>
  <c r="AR29" i="6"/>
  <c r="AR26" i="6"/>
  <c r="AY26" i="6" s="1"/>
  <c r="AR21" i="6"/>
  <c r="AY21" i="6" s="1"/>
  <c r="AP54" i="5"/>
  <c r="AP16" i="5"/>
  <c r="AP8" i="5"/>
  <c r="AR9" i="8"/>
  <c r="AY9" i="8" s="1"/>
  <c r="AP63" i="5"/>
  <c r="AP27" i="5"/>
  <c r="AP49" i="5"/>
  <c r="AP15" i="5"/>
  <c r="AP36" i="5"/>
  <c r="AP30" i="5"/>
  <c r="AP22" i="5"/>
  <c r="AP14" i="5"/>
  <c r="AP10" i="5"/>
  <c r="AR48" i="6"/>
  <c r="AY48" i="6" s="1"/>
  <c r="AP12" i="5"/>
  <c r="AR13" i="6"/>
  <c r="AP46" i="5"/>
  <c r="AP37" i="5"/>
  <c r="AP9" i="5"/>
  <c r="AT72" i="6"/>
  <c r="AT68" i="6"/>
  <c r="AT64" i="6"/>
  <c r="AT73" i="6"/>
  <c r="AT59" i="6"/>
  <c r="AT55" i="6"/>
  <c r="AT70" i="6"/>
  <c r="AT66" i="6"/>
  <c r="AT62" i="6"/>
  <c r="AT58" i="6"/>
  <c r="AT69" i="6"/>
  <c r="AT65" i="6"/>
  <c r="AT63" i="6"/>
  <c r="AT60" i="6"/>
  <c r="AT52" i="6"/>
  <c r="AT61" i="6"/>
  <c r="AT48" i="6"/>
  <c r="AT46" i="6"/>
  <c r="AT57" i="6"/>
  <c r="AT53" i="6"/>
  <c r="AT44" i="6"/>
  <c r="AT43" i="6"/>
  <c r="AT38" i="6"/>
  <c r="AT37" i="6"/>
  <c r="AT56" i="6"/>
  <c r="AT45" i="6"/>
  <c r="AT67" i="6"/>
  <c r="AT54" i="6"/>
  <c r="AT42" i="6"/>
  <c r="AT36" i="6"/>
  <c r="AT40" i="6"/>
  <c r="AT30" i="6"/>
  <c r="AT22" i="6"/>
  <c r="AT21" i="6"/>
  <c r="AT16" i="6"/>
  <c r="AT49" i="6"/>
  <c r="AT71" i="6"/>
  <c r="AT51" i="6"/>
  <c r="AT47" i="6"/>
  <c r="AT41" i="6"/>
  <c r="AT29" i="6"/>
  <c r="AT18" i="6"/>
  <c r="AT17" i="6"/>
  <c r="AT12" i="6"/>
  <c r="AT50" i="6"/>
  <c r="AT32" i="6"/>
  <c r="AT25" i="6"/>
  <c r="AT24" i="6"/>
  <c r="AT23" i="6"/>
  <c r="AT11" i="6"/>
  <c r="AR64" i="5"/>
  <c r="AR69" i="5"/>
  <c r="AR62" i="5"/>
  <c r="AT39" i="6"/>
  <c r="AR70" i="5"/>
  <c r="AR67" i="5"/>
  <c r="AT28" i="6"/>
  <c r="AT15" i="6"/>
  <c r="AR78" i="5"/>
  <c r="AR65" i="5"/>
  <c r="AR58" i="5"/>
  <c r="AR56" i="5"/>
  <c r="AR54" i="5"/>
  <c r="AR52" i="5"/>
  <c r="AR50" i="5"/>
  <c r="AR48" i="5"/>
  <c r="AR46" i="5"/>
  <c r="AR44" i="5"/>
  <c r="AR47" i="5"/>
  <c r="AR40" i="5"/>
  <c r="AT20" i="6"/>
  <c r="AR41" i="5"/>
  <c r="AR39" i="5"/>
  <c r="AR32" i="5"/>
  <c r="AR30" i="5"/>
  <c r="AR27" i="5"/>
  <c r="AT35" i="6"/>
  <c r="AT31" i="6"/>
  <c r="AR66" i="5"/>
  <c r="AR51" i="5"/>
  <c r="AR45" i="5"/>
  <c r="AR42" i="5"/>
  <c r="AT13" i="6"/>
  <c r="AR57" i="5"/>
  <c r="AR53" i="5"/>
  <c r="AR49" i="5"/>
  <c r="AR38" i="5"/>
  <c r="AR37" i="5"/>
  <c r="AR35" i="5"/>
  <c r="AR61" i="5"/>
  <c r="AR34" i="5"/>
  <c r="AR17" i="5"/>
  <c r="AR16" i="5"/>
  <c r="AR8" i="5"/>
  <c r="AR33" i="5"/>
  <c r="AT27" i="6"/>
  <c r="AT26" i="6"/>
  <c r="AR36" i="5"/>
  <c r="AR23" i="5"/>
  <c r="AR22" i="5"/>
  <c r="AR14" i="5"/>
  <c r="AR10" i="5"/>
  <c r="AT34" i="6"/>
  <c r="AR9" i="5"/>
  <c r="AR13" i="5"/>
  <c r="AT33" i="6"/>
  <c r="AR55" i="5"/>
  <c r="AR29" i="5"/>
  <c r="AR12" i="5"/>
  <c r="AT14" i="6"/>
  <c r="AR68" i="5"/>
  <c r="AR24" i="5"/>
  <c r="AR59" i="5"/>
  <c r="AR21" i="5"/>
  <c r="AR20" i="5"/>
  <c r="AR26" i="5"/>
  <c r="AR11" i="5"/>
  <c r="AW11" i="5" s="1"/>
  <c r="AR63" i="5"/>
  <c r="AR43" i="5"/>
  <c r="AR28" i="5"/>
  <c r="AR19" i="5"/>
  <c r="AR18" i="5"/>
  <c r="AR25" i="5"/>
  <c r="AT19" i="6"/>
  <c r="AR60" i="5"/>
  <c r="AR31" i="5"/>
  <c r="AR15" i="5"/>
  <c r="T8" i="8"/>
  <c r="S8" i="8"/>
  <c r="AP74" i="6"/>
  <c r="E111" i="6" l="1"/>
  <c r="AY13" i="6"/>
  <c r="AL12" i="6"/>
  <c r="AY12" i="6"/>
  <c r="D17" i="9"/>
  <c r="AY30" i="6"/>
  <c r="AL27" i="6"/>
  <c r="AY32" i="6"/>
  <c r="AY17" i="6"/>
  <c r="Y9" i="6"/>
  <c r="AY73" i="6"/>
  <c r="AL73" i="6"/>
  <c r="AY29" i="6"/>
  <c r="AL31" i="6"/>
  <c r="AY36" i="6"/>
  <c r="AY24" i="6"/>
  <c r="F23" i="8"/>
  <c r="G33" i="7"/>
  <c r="F102" i="6"/>
  <c r="AL24" i="6"/>
  <c r="AY14" i="6"/>
  <c r="AL14" i="6"/>
  <c r="AL23" i="6"/>
  <c r="AY23" i="6"/>
  <c r="O19" i="7"/>
  <c r="BA91" i="5"/>
  <c r="BA90" i="5"/>
  <c r="L93" i="5"/>
  <c r="BA105" i="5" s="1"/>
  <c r="BA107" i="5" s="1"/>
  <c r="AZ105" i="5"/>
  <c r="AW8" i="5"/>
  <c r="AW71" i="5" s="1"/>
  <c r="Y74" i="6"/>
  <c r="AY16" i="6"/>
  <c r="AY15" i="6"/>
  <c r="AL16" i="6"/>
  <c r="AL15" i="6"/>
  <c r="AL11" i="6"/>
  <c r="AJ8" i="5"/>
  <c r="AJ71" i="5" s="1"/>
  <c r="W100" i="5"/>
  <c r="U8" i="9"/>
  <c r="X8" i="9" s="1"/>
  <c r="X8" i="7"/>
  <c r="AA8" i="7" s="1"/>
  <c r="AB8" i="7" s="1"/>
  <c r="W8" i="7"/>
  <c r="V8" i="8"/>
  <c r="Y8" i="8" s="1"/>
  <c r="Z8" i="8" s="1"/>
  <c r="U8" i="8"/>
  <c r="T5" i="5"/>
  <c r="W5" i="5" s="1"/>
  <c r="S5" i="5"/>
  <c r="X5" i="5" s="1"/>
  <c r="AY11" i="6"/>
  <c r="U8" i="6"/>
  <c r="V8" i="6"/>
  <c r="Y8" i="6" s="1"/>
  <c r="Z8" i="6" s="1"/>
  <c r="Y8" i="9" l="1"/>
  <c r="D18" i="9"/>
  <c r="AA13" i="8"/>
  <c r="D21" i="9"/>
  <c r="AY74" i="6"/>
  <c r="AL74" i="6"/>
  <c r="AY5" i="5"/>
  <c r="B9" i="15"/>
  <c r="E18" i="9" l="1"/>
  <c r="L20" i="2"/>
  <c r="K21" i="2"/>
  <c r="K23" i="2"/>
  <c r="L23" i="2"/>
  <c r="K22" i="2"/>
  <c r="J23" i="2"/>
  <c r="J22" i="2"/>
  <c r="L22" i="2" l="1"/>
  <c r="J7" i="2"/>
  <c r="O18" i="7"/>
  <c r="G39" i="7" s="1"/>
  <c r="L6" i="2"/>
  <c r="X107" i="5"/>
  <c r="K6" i="2"/>
  <c r="J6" i="2"/>
  <c r="K7" i="2"/>
  <c r="L7" i="2"/>
  <c r="J10" i="2"/>
  <c r="J5" i="2"/>
  <c r="Z9" i="6" s="1"/>
  <c r="J4" i="2"/>
  <c r="J8" i="2"/>
  <c r="K4" i="2"/>
  <c r="L27" i="2"/>
  <c r="M18" i="8"/>
  <c r="N18" i="8" s="1"/>
  <c r="L21" i="2"/>
  <c r="L19" i="2"/>
  <c r="J21" i="2"/>
  <c r="L12" i="2"/>
  <c r="L4" i="2"/>
  <c r="L25" i="2"/>
  <c r="K20" i="2"/>
  <c r="K8" i="2"/>
  <c r="K5" i="2"/>
  <c r="AC10" i="9" s="1"/>
  <c r="AD10" i="9" s="1"/>
  <c r="AK10" i="9" s="1"/>
  <c r="J20" i="2"/>
  <c r="J19" i="2"/>
  <c r="L11" i="2"/>
  <c r="L10" i="2"/>
  <c r="K19" i="2"/>
  <c r="M94" i="6"/>
  <c r="N94" i="6" s="1"/>
  <c r="F111" i="6" s="1"/>
  <c r="G111" i="6" s="1"/>
  <c r="H111" i="6" s="1"/>
  <c r="I111" i="6" s="1"/>
  <c r="L26" i="2"/>
  <c r="L24" i="2"/>
  <c r="L8" i="2"/>
  <c r="Q97" i="4"/>
  <c r="L5" i="2"/>
  <c r="AP10" i="9" s="1"/>
  <c r="AQ10" i="9" s="1"/>
  <c r="AX10" i="9" s="1"/>
  <c r="P10" i="9" l="1"/>
  <c r="Q10" i="9" s="1"/>
  <c r="X10" i="9" s="1"/>
  <c r="G23" i="8"/>
  <c r="Z94" i="6"/>
  <c r="S9" i="7"/>
  <c r="AB9" i="7" s="1"/>
  <c r="AC12" i="7" s="1"/>
  <c r="M32" i="4"/>
  <c r="O77" i="5"/>
  <c r="X77" i="5" s="1"/>
  <c r="M34" i="4"/>
  <c r="O79" i="5"/>
  <c r="X79" i="5" s="1"/>
  <c r="P9" i="9"/>
  <c r="Q80" i="6"/>
  <c r="R80" i="6" s="1"/>
  <c r="Y80" i="6" s="1"/>
  <c r="AA78" i="6" s="1"/>
  <c r="Q71" i="6"/>
  <c r="O65" i="5"/>
  <c r="Q20" i="6"/>
  <c r="Z20" i="6" s="1"/>
  <c r="O59" i="5"/>
  <c r="Q29" i="6"/>
  <c r="O42" i="5"/>
  <c r="Q60" i="6"/>
  <c r="O47" i="5"/>
  <c r="Q13" i="6"/>
  <c r="Q28" i="6"/>
  <c r="Z28" i="6" s="1"/>
  <c r="X6" i="5"/>
  <c r="M56" i="4"/>
  <c r="O71" i="5"/>
  <c r="O32" i="5"/>
  <c r="M44" i="4"/>
  <c r="Q50" i="6"/>
  <c r="O63" i="5"/>
  <c r="O58" i="5"/>
  <c r="M33" i="4"/>
  <c r="O14" i="5"/>
  <c r="M51" i="4"/>
  <c r="O25" i="5"/>
  <c r="Q22" i="6"/>
  <c r="M59" i="4"/>
  <c r="M18" i="4"/>
  <c r="Q18" i="4" s="1"/>
  <c r="O13" i="5"/>
  <c r="Q12" i="6"/>
  <c r="O40" i="5"/>
  <c r="Q36" i="6"/>
  <c r="O44" i="5"/>
  <c r="O19" i="5"/>
  <c r="Q15" i="6"/>
  <c r="O24" i="5"/>
  <c r="Q48" i="6"/>
  <c r="Z48" i="6" s="1"/>
  <c r="M24" i="4"/>
  <c r="Q24" i="4" s="1"/>
  <c r="M11" i="4"/>
  <c r="M17" i="4"/>
  <c r="Q54" i="6"/>
  <c r="O82" i="5"/>
  <c r="P82" i="5" s="1"/>
  <c r="W82" i="5" s="1"/>
  <c r="W103" i="5" s="1"/>
  <c r="Q68" i="6"/>
  <c r="Q39" i="6"/>
  <c r="Z39" i="6" s="1"/>
  <c r="M40" i="4"/>
  <c r="Q24" i="6"/>
  <c r="M12" i="4"/>
  <c r="O26" i="5"/>
  <c r="S12" i="7"/>
  <c r="T12" i="7" s="1"/>
  <c r="AA12" i="7" s="1"/>
  <c r="AC11" i="7" s="1"/>
  <c r="M55" i="4"/>
  <c r="M48" i="4"/>
  <c r="Q61" i="6"/>
  <c r="Q17" i="6"/>
  <c r="O18" i="5"/>
  <c r="Q19" i="6"/>
  <c r="Z19" i="6" s="1"/>
  <c r="O51" i="5"/>
  <c r="M20" i="4"/>
  <c r="Q20" i="4" s="1"/>
  <c r="M47" i="4"/>
  <c r="M36" i="4"/>
  <c r="Q35" i="6"/>
  <c r="Q33" i="6"/>
  <c r="O55" i="5"/>
  <c r="O53" i="5"/>
  <c r="M23" i="4"/>
  <c r="Q23" i="4" s="1"/>
  <c r="M58" i="4"/>
  <c r="O57" i="5"/>
  <c r="Q59" i="6"/>
  <c r="M15" i="4"/>
  <c r="O16" i="5"/>
  <c r="Q56" i="6"/>
  <c r="Q74" i="6"/>
  <c r="O69" i="5"/>
  <c r="Q73" i="6"/>
  <c r="Q62" i="6"/>
  <c r="O10" i="5"/>
  <c r="Q55" i="6"/>
  <c r="O56" i="5"/>
  <c r="Q53" i="6"/>
  <c r="O62" i="5"/>
  <c r="O61" i="5"/>
  <c r="M10" i="4"/>
  <c r="Q10" i="4" s="1"/>
  <c r="M64" i="4"/>
  <c r="O67" i="5"/>
  <c r="O41" i="5"/>
  <c r="O8" i="5"/>
  <c r="Q18" i="6"/>
  <c r="M29" i="4"/>
  <c r="Q29" i="4" s="1"/>
  <c r="Q13" i="8"/>
  <c r="R13" i="8" s="1"/>
  <c r="Y13" i="8" s="1"/>
  <c r="M54" i="4"/>
  <c r="Q27" i="6"/>
  <c r="Z27" i="6" s="1"/>
  <c r="M42" i="4"/>
  <c r="O68" i="5"/>
  <c r="O23" i="5"/>
  <c r="Q14" i="6"/>
  <c r="Q30" i="6"/>
  <c r="M13" i="4"/>
  <c r="O66" i="5"/>
  <c r="Q46" i="6"/>
  <c r="Z46" i="6" s="1"/>
  <c r="M31" i="4"/>
  <c r="Q31" i="4" s="1"/>
  <c r="Q57" i="6"/>
  <c r="Q45" i="6"/>
  <c r="Z45" i="6" s="1"/>
  <c r="Q43" i="6"/>
  <c r="Z43" i="6" s="1"/>
  <c r="O30" i="5"/>
  <c r="Q47" i="6"/>
  <c r="Z47" i="6" s="1"/>
  <c r="O22" i="5"/>
  <c r="M52" i="4"/>
  <c r="Q38" i="6"/>
  <c r="Z38" i="6" s="1"/>
  <c r="O46" i="5"/>
  <c r="O70" i="5"/>
  <c r="X70" i="5" s="1"/>
  <c r="M39" i="4"/>
  <c r="Q64" i="6"/>
  <c r="M38" i="4"/>
  <c r="M63" i="4"/>
  <c r="Q69" i="6"/>
  <c r="Q70" i="6"/>
  <c r="O54" i="5"/>
  <c r="Q58" i="6"/>
  <c r="Q72" i="6"/>
  <c r="Q11" i="6"/>
  <c r="M61" i="4"/>
  <c r="Q66" i="6"/>
  <c r="Q21" i="6"/>
  <c r="Z21" i="6" s="1"/>
  <c r="O21" i="5"/>
  <c r="O36" i="5"/>
  <c r="O31" i="5"/>
  <c r="Q25" i="6"/>
  <c r="Z25" i="6" s="1"/>
  <c r="M22" i="4"/>
  <c r="Q22" i="4" s="1"/>
  <c r="Q63" i="6"/>
  <c r="O49" i="5"/>
  <c r="O78" i="5"/>
  <c r="M27" i="4"/>
  <c r="Q27" i="4" s="1"/>
  <c r="Q49" i="6"/>
  <c r="Z49" i="6" s="1"/>
  <c r="M14" i="4"/>
  <c r="O34" i="5"/>
  <c r="O60" i="5"/>
  <c r="M19" i="4"/>
  <c r="M65" i="4"/>
  <c r="O12" i="5"/>
  <c r="AD74" i="6"/>
  <c r="O64" i="5"/>
  <c r="M26" i="4"/>
  <c r="Q26" i="4" s="1"/>
  <c r="Q65" i="6"/>
  <c r="M16" i="4"/>
  <c r="Q23" i="6"/>
  <c r="Q67" i="6"/>
  <c r="Q8" i="4"/>
  <c r="M49" i="4"/>
  <c r="M46" i="4"/>
  <c r="Q37" i="6"/>
  <c r="Z37" i="6" s="1"/>
  <c r="Q32" i="6"/>
  <c r="Z32" i="6" s="1"/>
  <c r="M57" i="4"/>
  <c r="O39" i="5"/>
  <c r="M60" i="4"/>
  <c r="O15" i="5"/>
  <c r="O45" i="5"/>
  <c r="Q40" i="6"/>
  <c r="Z40" i="6" s="1"/>
  <c r="Q26" i="6"/>
  <c r="Z26" i="6" s="1"/>
  <c r="M21" i="4"/>
  <c r="Q21" i="4" s="1"/>
  <c r="M37" i="4"/>
  <c r="Q37" i="4" s="1"/>
  <c r="O20" i="5"/>
  <c r="Q44" i="6"/>
  <c r="Z44" i="6" s="1"/>
  <c r="O33" i="5"/>
  <c r="Q31" i="6"/>
  <c r="AB71" i="5"/>
  <c r="Q34" i="6"/>
  <c r="Z34" i="6" s="1"/>
  <c r="Q42" i="6"/>
  <c r="Q41" i="6"/>
  <c r="Z41" i="6" s="1"/>
  <c r="O17" i="5"/>
  <c r="AO71" i="5"/>
  <c r="M62" i="4"/>
  <c r="M30" i="4"/>
  <c r="Q30" i="4" s="1"/>
  <c r="Q16" i="6"/>
  <c r="AQ74" i="6"/>
  <c r="M43" i="4"/>
  <c r="O27" i="5"/>
  <c r="O11" i="5"/>
  <c r="O38" i="5"/>
  <c r="O43" i="5"/>
  <c r="O28" i="5"/>
  <c r="M35" i="4"/>
  <c r="Q35" i="4" s="1"/>
  <c r="M41" i="4"/>
  <c r="O52" i="5"/>
  <c r="O50" i="5"/>
  <c r="O29" i="5"/>
  <c r="M28" i="4"/>
  <c r="O35" i="5"/>
  <c r="O37" i="5"/>
  <c r="M45" i="4"/>
  <c r="O9" i="5"/>
  <c r="M53" i="4"/>
  <c r="Q52" i="6"/>
  <c r="Q51" i="6"/>
  <c r="M25" i="4"/>
  <c r="Q25" i="4" s="1"/>
  <c r="O48" i="5"/>
  <c r="M50" i="4"/>
  <c r="J12" i="2"/>
  <c r="J11" i="2"/>
  <c r="J26" i="2"/>
  <c r="J27" i="2"/>
  <c r="AM8" i="5"/>
  <c r="AO34" i="6"/>
  <c r="AO15" i="6"/>
  <c r="AO54" i="6"/>
  <c r="AM23" i="5"/>
  <c r="AO30" i="6"/>
  <c r="AM45" i="5"/>
  <c r="AM53" i="5"/>
  <c r="AM22" i="5"/>
  <c r="AM21" i="5"/>
  <c r="AO35" i="6"/>
  <c r="AO69" i="6"/>
  <c r="AQ9" i="7"/>
  <c r="AO19" i="6"/>
  <c r="AO57" i="6"/>
  <c r="AO59" i="6"/>
  <c r="AO70" i="6"/>
  <c r="AM27" i="5"/>
  <c r="AO12" i="6"/>
  <c r="AM20" i="5"/>
  <c r="AM40" i="5"/>
  <c r="AM50" i="5"/>
  <c r="AO51" i="6"/>
  <c r="AM12" i="5"/>
  <c r="AM14" i="5"/>
  <c r="AO37" i="6"/>
  <c r="AM34" i="5"/>
  <c r="AM11" i="5"/>
  <c r="AM36" i="5"/>
  <c r="AM10" i="5"/>
  <c r="AM35" i="5"/>
  <c r="AO61" i="6"/>
  <c r="AO63" i="6"/>
  <c r="AO29" i="6"/>
  <c r="AM24" i="5"/>
  <c r="AO28" i="6"/>
  <c r="AN9" i="9"/>
  <c r="AO66" i="6"/>
  <c r="AO11" i="6"/>
  <c r="AM44" i="5"/>
  <c r="AM28" i="5"/>
  <c r="AM25" i="5"/>
  <c r="AM70" i="5"/>
  <c r="AM48" i="5"/>
  <c r="AO73" i="6"/>
  <c r="AM29" i="5"/>
  <c r="AO17" i="6"/>
  <c r="AM26" i="5"/>
  <c r="AM79" i="5"/>
  <c r="AO21" i="6"/>
  <c r="AO13" i="6"/>
  <c r="AM80" i="5"/>
  <c r="AO14" i="6"/>
  <c r="AM64" i="5"/>
  <c r="AO9" i="8"/>
  <c r="AM46" i="5"/>
  <c r="AO40" i="6"/>
  <c r="AO24" i="6"/>
  <c r="AM63" i="5"/>
  <c r="AO53" i="6"/>
  <c r="AO36" i="6"/>
  <c r="AO52" i="6"/>
  <c r="AO27" i="6"/>
  <c r="AO42" i="6"/>
  <c r="AM66" i="5"/>
  <c r="AM43" i="5"/>
  <c r="AO26" i="6"/>
  <c r="AM32" i="5"/>
  <c r="AO45" i="6"/>
  <c r="AO39" i="6"/>
  <c r="AO46" i="6"/>
  <c r="AM68" i="5"/>
  <c r="AM16" i="5"/>
  <c r="AM77" i="5"/>
  <c r="AO32" i="6"/>
  <c r="AO62" i="6"/>
  <c r="AM13" i="5"/>
  <c r="AM67" i="5"/>
  <c r="AM61" i="5"/>
  <c r="AO58" i="6"/>
  <c r="AM65" i="5"/>
  <c r="AM41" i="5"/>
  <c r="AO67" i="6"/>
  <c r="AO60" i="6"/>
  <c r="AM57" i="5"/>
  <c r="AO20" i="6"/>
  <c r="AM59" i="5"/>
  <c r="AO25" i="6"/>
  <c r="AO43" i="6"/>
  <c r="AO48" i="6"/>
  <c r="AM55" i="5"/>
  <c r="AM58" i="5"/>
  <c r="AM39" i="5"/>
  <c r="AM9" i="5"/>
  <c r="AX9" i="5" s="1"/>
  <c r="AM52" i="5"/>
  <c r="AM33" i="5"/>
  <c r="AO71" i="6"/>
  <c r="AO56" i="6"/>
  <c r="AO33" i="6"/>
  <c r="AO49" i="6"/>
  <c r="AM54" i="5"/>
  <c r="AM38" i="5"/>
  <c r="AO38" i="6"/>
  <c r="AO65" i="6"/>
  <c r="AM69" i="5"/>
  <c r="AO50" i="6"/>
  <c r="AO55" i="6"/>
  <c r="AO44" i="6"/>
  <c r="AM62" i="5"/>
  <c r="AM15" i="5"/>
  <c r="AM37" i="5"/>
  <c r="AO64" i="6"/>
  <c r="AO68" i="6"/>
  <c r="AM18" i="5"/>
  <c r="AM60" i="5"/>
  <c r="AO72" i="6"/>
  <c r="AO41" i="6"/>
  <c r="AO18" i="6"/>
  <c r="AM51" i="5"/>
  <c r="AM78" i="5"/>
  <c r="AM30" i="5"/>
  <c r="AM49" i="5"/>
  <c r="AM42" i="5"/>
  <c r="AO47" i="6"/>
  <c r="AO22" i="6"/>
  <c r="AM47" i="5"/>
  <c r="AO23" i="6"/>
  <c r="AM17" i="5"/>
  <c r="AM56" i="5"/>
  <c r="AM19" i="5"/>
  <c r="AO16" i="6"/>
  <c r="AO31" i="6"/>
  <c r="AM31" i="5"/>
  <c r="AU15" i="6"/>
  <c r="AS67" i="5"/>
  <c r="AU40" i="6"/>
  <c r="AU16" i="6"/>
  <c r="AS15" i="5"/>
  <c r="AU22" i="6"/>
  <c r="AW9" i="7"/>
  <c r="AU13" i="6"/>
  <c r="AU42" i="6"/>
  <c r="AU23" i="6"/>
  <c r="AS69" i="5"/>
  <c r="AU66" i="6"/>
  <c r="AS49" i="5"/>
  <c r="AU24" i="6"/>
  <c r="AS65" i="5"/>
  <c r="AS14" i="5"/>
  <c r="AS70" i="5"/>
  <c r="AU30" i="6"/>
  <c r="AS34" i="5"/>
  <c r="AU25" i="6"/>
  <c r="AU20" i="6"/>
  <c r="AS19" i="5"/>
  <c r="AU45" i="6"/>
  <c r="AS9" i="5"/>
  <c r="AU14" i="6"/>
  <c r="AS63" i="5"/>
  <c r="AU36" i="6"/>
  <c r="AU62" i="6"/>
  <c r="AS68" i="5"/>
  <c r="AU63" i="6"/>
  <c r="AU54" i="6"/>
  <c r="AU35" i="6"/>
  <c r="AU29" i="6"/>
  <c r="AU71" i="6"/>
  <c r="AS21" i="5"/>
  <c r="AU38" i="6"/>
  <c r="AS51" i="5"/>
  <c r="AU50" i="6"/>
  <c r="AU37" i="6"/>
  <c r="AS27" i="5"/>
  <c r="AU26" i="6"/>
  <c r="AS80" i="5"/>
  <c r="AS39" i="5"/>
  <c r="AU61" i="6"/>
  <c r="AS44" i="5"/>
  <c r="AU52" i="6"/>
  <c r="AU31" i="6"/>
  <c r="AU21" i="6"/>
  <c r="AS42" i="5"/>
  <c r="AS24" i="5"/>
  <c r="AS30" i="5"/>
  <c r="AU27" i="6"/>
  <c r="AU51" i="6"/>
  <c r="AU28" i="6"/>
  <c r="AU33" i="6"/>
  <c r="AS23" i="5"/>
  <c r="AU11" i="6"/>
  <c r="AS40" i="5"/>
  <c r="AS28" i="5"/>
  <c r="AS48" i="5"/>
  <c r="AS59" i="5"/>
  <c r="AS16" i="5"/>
  <c r="AU58" i="6"/>
  <c r="AU46" i="6"/>
  <c r="AU39" i="6"/>
  <c r="AU34" i="6"/>
  <c r="AU48" i="6"/>
  <c r="AU65" i="6"/>
  <c r="AU17" i="6"/>
  <c r="AS8" i="5"/>
  <c r="AU53" i="6"/>
  <c r="AS58" i="5"/>
  <c r="AS22" i="5"/>
  <c r="AS12" i="5"/>
  <c r="AU49" i="6"/>
  <c r="AS32" i="5"/>
  <c r="AS25" i="5"/>
  <c r="AS52" i="5"/>
  <c r="AS77" i="5"/>
  <c r="AU60" i="6"/>
  <c r="AU12" i="6"/>
  <c r="AS41" i="5"/>
  <c r="AU56" i="6"/>
  <c r="AS38" i="5"/>
  <c r="AS45" i="5"/>
  <c r="AU70" i="6"/>
  <c r="AS61" i="5"/>
  <c r="AS43" i="5"/>
  <c r="AS57" i="5"/>
  <c r="AS50" i="5"/>
  <c r="AU68" i="6"/>
  <c r="AU72" i="6"/>
  <c r="AU19" i="6"/>
  <c r="AU44" i="6"/>
  <c r="AS31" i="5"/>
  <c r="AS62" i="5"/>
  <c r="AU64" i="6"/>
  <c r="AS20" i="5"/>
  <c r="AU41" i="6"/>
  <c r="AS54" i="5"/>
  <c r="AU47" i="6"/>
  <c r="AU32" i="6"/>
  <c r="AU69" i="6"/>
  <c r="AS53" i="5"/>
  <c r="AS11" i="5"/>
  <c r="AT9" i="9"/>
  <c r="AS17" i="5"/>
  <c r="AS35" i="5"/>
  <c r="AS60" i="5"/>
  <c r="AU43" i="6"/>
  <c r="AS79" i="5"/>
  <c r="AS46" i="5"/>
  <c r="AU67" i="6"/>
  <c r="AS13" i="5"/>
  <c r="AU57" i="6"/>
  <c r="AS37" i="5"/>
  <c r="AS78" i="5"/>
  <c r="AS56" i="5"/>
  <c r="AS10" i="5"/>
  <c r="AS29" i="5"/>
  <c r="AS26" i="5"/>
  <c r="AU55" i="6"/>
  <c r="AS33" i="5"/>
  <c r="AU73" i="6"/>
  <c r="AS66" i="5"/>
  <c r="AS36" i="5"/>
  <c r="AS64" i="5"/>
  <c r="AS18" i="5"/>
  <c r="AS47" i="5"/>
  <c r="AS55" i="5"/>
  <c r="AU59" i="6"/>
  <c r="AU9" i="8"/>
  <c r="AU18" i="6"/>
  <c r="AF69" i="5"/>
  <c r="AH33" i="6"/>
  <c r="AH57" i="6"/>
  <c r="AF11" i="5"/>
  <c r="AH50" i="6"/>
  <c r="AH11" i="6"/>
  <c r="AF33" i="5"/>
  <c r="AF77" i="5"/>
  <c r="AH70" i="6"/>
  <c r="AH16" i="6"/>
  <c r="AH24" i="6"/>
  <c r="AF30" i="5"/>
  <c r="AF78" i="5"/>
  <c r="AF48" i="5"/>
  <c r="AH39" i="6"/>
  <c r="AH12" i="6"/>
  <c r="AF26" i="5"/>
  <c r="AF21" i="5"/>
  <c r="AH32" i="6"/>
  <c r="AH31" i="6"/>
  <c r="AH41" i="6"/>
  <c r="AF45" i="5"/>
  <c r="AH63" i="6"/>
  <c r="AF14" i="5"/>
  <c r="AJ9" i="7"/>
  <c r="AH46" i="6"/>
  <c r="AF53" i="5"/>
  <c r="AF65" i="5"/>
  <c r="AH21" i="6"/>
  <c r="AF22" i="5"/>
  <c r="AH64" i="6"/>
  <c r="AH42" i="6"/>
  <c r="AF47" i="5"/>
  <c r="AH66" i="6"/>
  <c r="AF15" i="5"/>
  <c r="AH9" i="8"/>
  <c r="AH54" i="6"/>
  <c r="AH18" i="6"/>
  <c r="AH48" i="6"/>
  <c r="AF80" i="5"/>
  <c r="AF24" i="5"/>
  <c r="AF9" i="5"/>
  <c r="AH73" i="6"/>
  <c r="AF12" i="5"/>
  <c r="AF40" i="5"/>
  <c r="AH60" i="6"/>
  <c r="AH59" i="6"/>
  <c r="AF43" i="5"/>
  <c r="AH51" i="6"/>
  <c r="AF31" i="5"/>
  <c r="AH52" i="6"/>
  <c r="AF36" i="5"/>
  <c r="AH29" i="6"/>
  <c r="AF18" i="5"/>
  <c r="AF79" i="5"/>
  <c r="AH56" i="6"/>
  <c r="AF51" i="5"/>
  <c r="AG9" i="9"/>
  <c r="AH25" i="6"/>
  <c r="AH62" i="6"/>
  <c r="AF37" i="5"/>
  <c r="AF28" i="5"/>
  <c r="AF42" i="5"/>
  <c r="AF10" i="5"/>
  <c r="AH20" i="6"/>
  <c r="AH45" i="6"/>
  <c r="AH44" i="6"/>
  <c r="AF13" i="5"/>
  <c r="AF19" i="5"/>
  <c r="AH67" i="6"/>
  <c r="AH47" i="6"/>
  <c r="AF46" i="5"/>
  <c r="AH22" i="6"/>
  <c r="AF70" i="5"/>
  <c r="AF59" i="5"/>
  <c r="AH13" i="6"/>
  <c r="AH65" i="6"/>
  <c r="AF56" i="5"/>
  <c r="AH28" i="6"/>
  <c r="AF50" i="5"/>
  <c r="AH30" i="6"/>
  <c r="AH26" i="6"/>
  <c r="AF66" i="5"/>
  <c r="AH68" i="6"/>
  <c r="AH71" i="6"/>
  <c r="AH40" i="6"/>
  <c r="AH19" i="6"/>
  <c r="AF23" i="5"/>
  <c r="AH49" i="6"/>
  <c r="AH38" i="6"/>
  <c r="AF27" i="5"/>
  <c r="AF64" i="5"/>
  <c r="AF52" i="5"/>
  <c r="AF41" i="5"/>
  <c r="AH53" i="6"/>
  <c r="AH17" i="6"/>
  <c r="AF20" i="5"/>
  <c r="AF17" i="5"/>
  <c r="AH14" i="6"/>
  <c r="AF49" i="5"/>
  <c r="AH23" i="6"/>
  <c r="AF38" i="5"/>
  <c r="AF58" i="5"/>
  <c r="AH43" i="6"/>
  <c r="AF60" i="5"/>
  <c r="AH35" i="6"/>
  <c r="AF25" i="5"/>
  <c r="AH69" i="6"/>
  <c r="AF63" i="5"/>
  <c r="AH34" i="6"/>
  <c r="AF44" i="5"/>
  <c r="AF54" i="5"/>
  <c r="AF68" i="5"/>
  <c r="AF35" i="5"/>
  <c r="AH58" i="6"/>
  <c r="AF8" i="5"/>
  <c r="AF67" i="5"/>
  <c r="AF55" i="5"/>
  <c r="AH72" i="6"/>
  <c r="AF29" i="5"/>
  <c r="AH27" i="6"/>
  <c r="AH36" i="6"/>
  <c r="AF39" i="5"/>
  <c r="AF32" i="5"/>
  <c r="AF62" i="5"/>
  <c r="AF61" i="5"/>
  <c r="AH15" i="6"/>
  <c r="AF16" i="5"/>
  <c r="AH61" i="6"/>
  <c r="AF57" i="5"/>
  <c r="AH55" i="6"/>
  <c r="AH37" i="6"/>
  <c r="AF34" i="5"/>
  <c r="H33" i="7"/>
  <c r="G102" i="6"/>
  <c r="S11" i="6"/>
  <c r="S66" i="6"/>
  <c r="N11" i="4"/>
  <c r="Q25" i="5"/>
  <c r="Q40" i="5"/>
  <c r="N38" i="4"/>
  <c r="Q12" i="5"/>
  <c r="N43" i="4"/>
  <c r="S71" i="6"/>
  <c r="S23" i="6"/>
  <c r="Q59" i="5"/>
  <c r="S12" i="6"/>
  <c r="Q16" i="5"/>
  <c r="Q47" i="5"/>
  <c r="N56" i="4"/>
  <c r="S38" i="6"/>
  <c r="S17" i="6"/>
  <c r="N35" i="4"/>
  <c r="N23" i="4"/>
  <c r="N54" i="4"/>
  <c r="N13" i="4"/>
  <c r="Q78" i="5"/>
  <c r="Q57" i="5"/>
  <c r="N39" i="4"/>
  <c r="N55" i="4"/>
  <c r="N50" i="4"/>
  <c r="Q60" i="5"/>
  <c r="N42" i="4"/>
  <c r="S73" i="6"/>
  <c r="N29" i="4"/>
  <c r="Q66" i="5"/>
  <c r="S16" i="6"/>
  <c r="S70" i="6"/>
  <c r="S13" i="6"/>
  <c r="S36" i="6"/>
  <c r="N21" i="4"/>
  <c r="S44" i="6"/>
  <c r="S43" i="6"/>
  <c r="N34" i="4"/>
  <c r="Q77" i="5"/>
  <c r="S47" i="6"/>
  <c r="S63" i="6"/>
  <c r="S39" i="6"/>
  <c r="Q64" i="5"/>
  <c r="Q51" i="5"/>
  <c r="Q19" i="5"/>
  <c r="AS74" i="6"/>
  <c r="N16" i="4"/>
  <c r="N20" i="4"/>
  <c r="AQ71" i="5"/>
  <c r="S60" i="6"/>
  <c r="Q36" i="5"/>
  <c r="Q32" i="5"/>
  <c r="N37" i="4"/>
  <c r="S33" i="6"/>
  <c r="N47" i="4"/>
  <c r="N57" i="4"/>
  <c r="Q27" i="5"/>
  <c r="S14" i="6"/>
  <c r="S61" i="6"/>
  <c r="S53" i="6"/>
  <c r="S72" i="6"/>
  <c r="S51" i="6"/>
  <c r="N58" i="4"/>
  <c r="S35" i="6"/>
  <c r="Q33" i="5"/>
  <c r="AD71" i="5"/>
  <c r="N64" i="4"/>
  <c r="N36" i="4"/>
  <c r="S28" i="6"/>
  <c r="Q69" i="5"/>
  <c r="S40" i="6"/>
  <c r="Q37" i="5"/>
  <c r="N25" i="4"/>
  <c r="N40" i="4"/>
  <c r="Q21" i="5"/>
  <c r="S45" i="6"/>
  <c r="N19" i="4"/>
  <c r="Q19" i="4" s="1"/>
  <c r="S41" i="6"/>
  <c r="S37" i="6"/>
  <c r="Q9" i="5"/>
  <c r="N46" i="4"/>
  <c r="S22" i="6"/>
  <c r="S30" i="6"/>
  <c r="Q8" i="5"/>
  <c r="Q14" i="5"/>
  <c r="S59" i="6"/>
  <c r="S42" i="6"/>
  <c r="N33" i="4"/>
  <c r="S69" i="6"/>
  <c r="S50" i="6"/>
  <c r="Q48" i="5"/>
  <c r="Q43" i="5"/>
  <c r="N31" i="4"/>
  <c r="N22" i="4"/>
  <c r="Q63" i="5"/>
  <c r="S18" i="6"/>
  <c r="N15" i="4"/>
  <c r="S62" i="6"/>
  <c r="Q46" i="5"/>
  <c r="Q65" i="5"/>
  <c r="S74" i="6"/>
  <c r="Q39" i="5"/>
  <c r="S56" i="6"/>
  <c r="N49" i="4"/>
  <c r="Q17" i="5"/>
  <c r="N45" i="4"/>
  <c r="S68" i="6"/>
  <c r="Q70" i="5"/>
  <c r="Q55" i="5"/>
  <c r="Q61" i="5"/>
  <c r="Q38" i="5"/>
  <c r="M66" i="4"/>
  <c r="Q66" i="4" s="1"/>
  <c r="Q79" i="5"/>
  <c r="S34" i="6"/>
  <c r="S32" i="6"/>
  <c r="S65" i="6"/>
  <c r="Q56" i="5"/>
  <c r="Q58" i="5"/>
  <c r="Q28" i="5"/>
  <c r="Q54" i="5"/>
  <c r="Q67" i="5"/>
  <c r="S19" i="6"/>
  <c r="N18" i="4"/>
  <c r="S21" i="6"/>
  <c r="Q50" i="5"/>
  <c r="S26" i="6"/>
  <c r="Q45" i="5"/>
  <c r="N28" i="4"/>
  <c r="Q28" i="4" s="1"/>
  <c r="S27" i="6"/>
  <c r="N32" i="4"/>
  <c r="S25" i="6"/>
  <c r="Q71" i="5"/>
  <c r="N24" i="4"/>
  <c r="N63" i="4"/>
  <c r="Q31" i="5"/>
  <c r="N60" i="4"/>
  <c r="S57" i="6"/>
  <c r="Q42" i="5"/>
  <c r="N48" i="4"/>
  <c r="Q22" i="5"/>
  <c r="N53" i="4"/>
  <c r="S55" i="6"/>
  <c r="N59" i="4"/>
  <c r="S64" i="6"/>
  <c r="Q13" i="5"/>
  <c r="Q18" i="5"/>
  <c r="N52" i="4"/>
  <c r="N44" i="4"/>
  <c r="S20" i="6"/>
  <c r="Q20" i="5"/>
  <c r="Q11" i="5"/>
  <c r="X11" i="5" s="1"/>
  <c r="U9" i="7"/>
  <c r="Q49" i="5"/>
  <c r="N17" i="4"/>
  <c r="N61" i="4"/>
  <c r="N27" i="4"/>
  <c r="S49" i="6"/>
  <c r="Q23" i="5"/>
  <c r="N10" i="4"/>
  <c r="S15" i="6"/>
  <c r="Q30" i="5"/>
  <c r="AF74" i="6"/>
  <c r="Q62" i="5"/>
  <c r="Q53" i="5"/>
  <c r="R9" i="9"/>
  <c r="Q52" i="5"/>
  <c r="Q26" i="5"/>
  <c r="S48" i="6"/>
  <c r="S67" i="6"/>
  <c r="Q35" i="5"/>
  <c r="Q10" i="5"/>
  <c r="N14" i="4"/>
  <c r="N12" i="4"/>
  <c r="Q24" i="5"/>
  <c r="Q34" i="5"/>
  <c r="N41" i="4"/>
  <c r="N62" i="4"/>
  <c r="S52" i="6"/>
  <c r="N51" i="4"/>
  <c r="Q29" i="5"/>
  <c r="Q68" i="5"/>
  <c r="N26" i="4"/>
  <c r="S31" i="6"/>
  <c r="S46" i="6"/>
  <c r="Q44" i="5"/>
  <c r="Q41" i="5"/>
  <c r="S24" i="6"/>
  <c r="Q15" i="5"/>
  <c r="N65" i="4"/>
  <c r="S58" i="6"/>
  <c r="S29" i="6"/>
  <c r="S54" i="6"/>
  <c r="N30" i="4"/>
  <c r="AD31" i="5"/>
  <c r="AH9" i="7"/>
  <c r="AF55" i="6"/>
  <c r="AD32" i="5"/>
  <c r="AD60" i="5"/>
  <c r="AF64" i="6"/>
  <c r="AF48" i="6"/>
  <c r="AD51" i="5"/>
  <c r="AD64" i="5"/>
  <c r="AD35" i="5"/>
  <c r="AD21" i="5"/>
  <c r="AD62" i="5"/>
  <c r="AF51" i="6"/>
  <c r="AF70" i="6"/>
  <c r="AF40" i="6"/>
  <c r="AD39" i="5"/>
  <c r="AD45" i="5"/>
  <c r="AF33" i="6"/>
  <c r="AD26" i="5"/>
  <c r="AF73" i="6"/>
  <c r="AD56" i="5"/>
  <c r="AF38" i="6"/>
  <c r="AF44" i="6"/>
  <c r="AD47" i="5"/>
  <c r="AD37" i="5"/>
  <c r="AD23" i="5"/>
  <c r="AF9" i="8"/>
  <c r="AD44" i="5"/>
  <c r="AD42" i="5"/>
  <c r="AD55" i="5"/>
  <c r="AF63" i="6"/>
  <c r="AD11" i="5"/>
  <c r="AK11" i="5" s="1"/>
  <c r="AF43" i="6"/>
  <c r="AF39" i="6"/>
  <c r="AD30" i="5"/>
  <c r="AF21" i="6"/>
  <c r="AF42" i="6"/>
  <c r="AD28" i="5"/>
  <c r="AF45" i="6"/>
  <c r="AF23" i="6"/>
  <c r="AD10" i="5"/>
  <c r="AF60" i="6"/>
  <c r="AF11" i="6"/>
  <c r="AM11" i="6" s="1"/>
  <c r="AF49" i="6"/>
  <c r="AF35" i="6"/>
  <c r="AF12" i="6"/>
  <c r="AF36" i="6"/>
  <c r="AF46" i="6"/>
  <c r="AF62" i="6"/>
  <c r="AD40" i="5"/>
  <c r="AD48" i="5"/>
  <c r="AD80" i="5"/>
  <c r="AD43" i="5"/>
  <c r="AF18" i="6"/>
  <c r="AF25" i="6"/>
  <c r="AD27" i="5"/>
  <c r="AD77" i="5"/>
  <c r="AF47" i="6"/>
  <c r="AD36" i="5"/>
  <c r="AF15" i="6"/>
  <c r="AF19" i="6"/>
  <c r="AD59" i="5"/>
  <c r="AD79" i="5"/>
  <c r="AD33" i="5"/>
  <c r="AD38" i="5"/>
  <c r="AF58" i="6"/>
  <c r="AD66" i="5"/>
  <c r="AD9" i="5"/>
  <c r="AD15" i="5"/>
  <c r="AF52" i="6"/>
  <c r="AF68" i="6"/>
  <c r="AF32" i="6"/>
  <c r="AD25" i="5"/>
  <c r="AD57" i="5"/>
  <c r="AF22" i="6"/>
  <c r="AD8" i="5"/>
  <c r="AF28" i="6"/>
  <c r="AF65" i="6"/>
  <c r="AF17" i="6"/>
  <c r="AF56" i="6"/>
  <c r="AF50" i="6"/>
  <c r="AD18" i="5"/>
  <c r="AF41" i="6"/>
  <c r="AD70" i="5"/>
  <c r="AF27" i="6"/>
  <c r="AD24" i="5"/>
  <c r="AD63" i="5"/>
  <c r="AD52" i="5"/>
  <c r="AF13" i="6"/>
  <c r="AF69" i="6"/>
  <c r="AD14" i="5"/>
  <c r="AD41" i="5"/>
  <c r="AD13" i="5"/>
  <c r="AF31" i="6"/>
  <c r="AF26" i="6"/>
  <c r="AD65" i="5"/>
  <c r="AF30" i="6"/>
  <c r="AF16" i="6"/>
  <c r="AF71" i="6"/>
  <c r="AD34" i="5"/>
  <c r="AF34" i="6"/>
  <c r="AF72" i="6"/>
  <c r="AD29" i="5"/>
  <c r="AD58" i="5"/>
  <c r="AF67" i="6"/>
  <c r="AD54" i="5"/>
  <c r="AD67" i="5"/>
  <c r="AD53" i="5"/>
  <c r="AD22" i="5"/>
  <c r="AD46" i="5"/>
  <c r="AF37" i="6"/>
  <c r="AD61" i="5"/>
  <c r="AF66" i="6"/>
  <c r="AD69" i="5"/>
  <c r="AE9" i="9"/>
  <c r="AF20" i="6"/>
  <c r="AF57" i="6"/>
  <c r="AF54" i="6"/>
  <c r="AD20" i="5"/>
  <c r="AD17" i="5"/>
  <c r="AF59" i="6"/>
  <c r="AF29" i="6"/>
  <c r="AD16" i="5"/>
  <c r="AF61" i="6"/>
  <c r="AF24" i="6"/>
  <c r="AD19" i="5"/>
  <c r="AD50" i="5"/>
  <c r="AD68" i="5"/>
  <c r="AF14" i="6"/>
  <c r="AD12" i="5"/>
  <c r="AD78" i="5"/>
  <c r="AF53" i="6"/>
  <c r="AD49" i="5"/>
  <c r="D65" i="1"/>
  <c r="W74" i="5"/>
  <c r="AQ44" i="5"/>
  <c r="AS46" i="6"/>
  <c r="AS17" i="6"/>
  <c r="AS33" i="6"/>
  <c r="AQ65" i="5"/>
  <c r="AS40" i="6"/>
  <c r="AQ21" i="5"/>
  <c r="AS68" i="6"/>
  <c r="AS16" i="6"/>
  <c r="AQ43" i="5"/>
  <c r="AQ78" i="5"/>
  <c r="AQ27" i="5"/>
  <c r="AQ24" i="5"/>
  <c r="AQ8" i="5"/>
  <c r="AS19" i="6"/>
  <c r="AQ10" i="5"/>
  <c r="AQ34" i="5"/>
  <c r="AS18" i="6"/>
  <c r="AS63" i="6"/>
  <c r="AQ64" i="5"/>
  <c r="AS21" i="6"/>
  <c r="AQ46" i="5"/>
  <c r="AQ79" i="5"/>
  <c r="AS66" i="6"/>
  <c r="AS43" i="6"/>
  <c r="AQ55" i="5"/>
  <c r="AQ40" i="5"/>
  <c r="AS24" i="6"/>
  <c r="AQ69" i="5"/>
  <c r="AQ41" i="5"/>
  <c r="AS73" i="6"/>
  <c r="AQ17" i="5"/>
  <c r="AS59" i="6"/>
  <c r="AS70" i="6"/>
  <c r="AS65" i="6"/>
  <c r="AQ63" i="5"/>
  <c r="AS71" i="6"/>
  <c r="AQ32" i="5"/>
  <c r="AQ33" i="5"/>
  <c r="AQ70" i="5"/>
  <c r="AR9" i="9"/>
  <c r="AS32" i="6"/>
  <c r="AS50" i="6"/>
  <c r="AS61" i="6"/>
  <c r="AQ61" i="5"/>
  <c r="AQ42" i="5"/>
  <c r="AS56" i="6"/>
  <c r="AQ18" i="5"/>
  <c r="AS60" i="6"/>
  <c r="AS38" i="6"/>
  <c r="AS31" i="6"/>
  <c r="AQ48" i="5"/>
  <c r="AS41" i="6"/>
  <c r="AS52" i="6"/>
  <c r="AQ29" i="5"/>
  <c r="AQ51" i="5"/>
  <c r="AS25" i="6"/>
  <c r="AS12" i="6"/>
  <c r="AS26" i="6"/>
  <c r="AS9" i="8"/>
  <c r="AQ15" i="5"/>
  <c r="AQ25" i="5"/>
  <c r="AQ35" i="5"/>
  <c r="AS72" i="6"/>
  <c r="AS34" i="6"/>
  <c r="AQ67" i="5"/>
  <c r="AQ39" i="5"/>
  <c r="AQ68" i="5"/>
  <c r="AS23" i="6"/>
  <c r="AS48" i="6"/>
  <c r="AS51" i="6"/>
  <c r="AQ57" i="5"/>
  <c r="AS67" i="6"/>
  <c r="AS44" i="6"/>
  <c r="AS36" i="6"/>
  <c r="AS54" i="6"/>
  <c r="AQ80" i="5"/>
  <c r="AS57" i="6"/>
  <c r="AQ54" i="5"/>
  <c r="AS15" i="6"/>
  <c r="AS14" i="6"/>
  <c r="AZ14" i="6" s="1"/>
  <c r="AS69" i="6"/>
  <c r="AQ52" i="5"/>
  <c r="AQ50" i="5"/>
  <c r="AS45" i="6"/>
  <c r="AQ56" i="5"/>
  <c r="AS39" i="6"/>
  <c r="AS55" i="6"/>
  <c r="AQ26" i="5"/>
  <c r="AS29" i="6"/>
  <c r="AS62" i="6"/>
  <c r="AS30" i="6"/>
  <c r="AQ13" i="5"/>
  <c r="AS11" i="6"/>
  <c r="AZ11" i="6" s="1"/>
  <c r="AQ22" i="5"/>
  <c r="AQ77" i="5"/>
  <c r="AQ19" i="5"/>
  <c r="AQ31" i="5"/>
  <c r="AQ38" i="5"/>
  <c r="AS13" i="6"/>
  <c r="AQ49" i="5"/>
  <c r="AU9" i="7"/>
  <c r="AS47" i="6"/>
  <c r="AQ58" i="5"/>
  <c r="AQ14" i="5"/>
  <c r="AS58" i="6"/>
  <c r="AQ20" i="5"/>
  <c r="AQ28" i="5"/>
  <c r="AS20" i="6"/>
  <c r="AQ11" i="5"/>
  <c r="AX11" i="5" s="1"/>
  <c r="AQ60" i="5"/>
  <c r="AQ36" i="5"/>
  <c r="AQ47" i="5"/>
  <c r="AS53" i="6"/>
  <c r="AS49" i="6"/>
  <c r="AS27" i="6"/>
  <c r="AS42" i="6"/>
  <c r="AQ66" i="5"/>
  <c r="AS35" i="6"/>
  <c r="AQ53" i="5"/>
  <c r="AQ23" i="5"/>
  <c r="AS28" i="6"/>
  <c r="AQ30" i="5"/>
  <c r="AQ12" i="5"/>
  <c r="AS64" i="6"/>
  <c r="AQ16" i="5"/>
  <c r="AQ62" i="5"/>
  <c r="AQ45" i="5"/>
  <c r="AS37" i="6"/>
  <c r="AQ9" i="5"/>
  <c r="AQ59" i="5"/>
  <c r="AQ37" i="5"/>
  <c r="AS22" i="6"/>
  <c r="AO23" i="5"/>
  <c r="AQ18" i="6"/>
  <c r="AZ18" i="6" s="1"/>
  <c r="AO59" i="5"/>
  <c r="AQ48" i="6"/>
  <c r="AZ48" i="6" s="1"/>
  <c r="AO21" i="5"/>
  <c r="AO18" i="5"/>
  <c r="AQ24" i="6"/>
  <c r="AQ13" i="8"/>
  <c r="AR13" i="8" s="1"/>
  <c r="AY13" i="8" s="1"/>
  <c r="BA12" i="8" s="1"/>
  <c r="AO14" i="5"/>
  <c r="AO42" i="5"/>
  <c r="AS12" i="7"/>
  <c r="AT12" i="7" s="1"/>
  <c r="BA12" i="7" s="1"/>
  <c r="BC11" i="7" s="1"/>
  <c r="AO16" i="5"/>
  <c r="AQ20" i="6"/>
  <c r="AZ20" i="6" s="1"/>
  <c r="AO22" i="5"/>
  <c r="AO69" i="5"/>
  <c r="AO60" i="5"/>
  <c r="AQ64" i="6"/>
  <c r="AQ36" i="6"/>
  <c r="AO40" i="5"/>
  <c r="AO80" i="5"/>
  <c r="AX80" i="5" s="1"/>
  <c r="L100" i="5" s="1"/>
  <c r="AQ39" i="6"/>
  <c r="AZ39" i="6" s="1"/>
  <c r="AO68" i="5"/>
  <c r="AO34" i="5"/>
  <c r="AO30" i="5"/>
  <c r="AO52" i="5"/>
  <c r="AQ62" i="6"/>
  <c r="AO54" i="5"/>
  <c r="AQ27" i="6"/>
  <c r="AZ27" i="6" s="1"/>
  <c r="AQ53" i="6"/>
  <c r="AQ71" i="6"/>
  <c r="AO67" i="5"/>
  <c r="AO37" i="5"/>
  <c r="AO26" i="5"/>
  <c r="AO61" i="5"/>
  <c r="AO65" i="5"/>
  <c r="AQ13" i="6"/>
  <c r="AQ17" i="6"/>
  <c r="AO38" i="5"/>
  <c r="AO20" i="5"/>
  <c r="AO77" i="5"/>
  <c r="AX77" i="5" s="1"/>
  <c r="L99" i="5" s="1"/>
  <c r="AQ69" i="6"/>
  <c r="AO33" i="5"/>
  <c r="AO55" i="5"/>
  <c r="AO70" i="5"/>
  <c r="AX70" i="5" s="1"/>
  <c r="AQ21" i="6"/>
  <c r="AZ21" i="6" s="1"/>
  <c r="AQ50" i="6"/>
  <c r="AQ63" i="6"/>
  <c r="AO17" i="5"/>
  <c r="AO39" i="5"/>
  <c r="AQ73" i="6"/>
  <c r="AO12" i="5"/>
  <c r="AO58" i="5"/>
  <c r="AO66" i="5"/>
  <c r="AQ16" i="6"/>
  <c r="AQ30" i="6"/>
  <c r="AZ30" i="6" s="1"/>
  <c r="AQ29" i="6"/>
  <c r="AQ33" i="6"/>
  <c r="AZ33" i="6" s="1"/>
  <c r="AO25" i="5"/>
  <c r="AO46" i="5"/>
  <c r="AQ15" i="6"/>
  <c r="AQ80" i="6"/>
  <c r="AR80" i="6" s="1"/>
  <c r="AY80" i="6" s="1"/>
  <c r="BA78" i="6" s="1"/>
  <c r="I5" i="10" s="1"/>
  <c r="AO56" i="5"/>
  <c r="AO11" i="5"/>
  <c r="AQ37" i="6"/>
  <c r="AZ37" i="6" s="1"/>
  <c r="AQ58" i="6"/>
  <c r="AO36" i="5"/>
  <c r="AQ70" i="6"/>
  <c r="AO29" i="5"/>
  <c r="AQ22" i="6"/>
  <c r="AZ22" i="6" s="1"/>
  <c r="AO44" i="5"/>
  <c r="AQ42" i="6"/>
  <c r="AZ42" i="6" s="1"/>
  <c r="AO57" i="5"/>
  <c r="AO32" i="5"/>
  <c r="AQ32" i="6"/>
  <c r="AZ32" i="6" s="1"/>
  <c r="AO47" i="5"/>
  <c r="AQ34" i="6"/>
  <c r="AZ34" i="6" s="1"/>
  <c r="AQ72" i="6"/>
  <c r="AQ45" i="6"/>
  <c r="AZ45" i="6" s="1"/>
  <c r="AO10" i="5"/>
  <c r="AQ49" i="6"/>
  <c r="AZ49" i="6" s="1"/>
  <c r="AO63" i="5"/>
  <c r="AZ9" i="9"/>
  <c r="AO9" i="5"/>
  <c r="AQ56" i="6"/>
  <c r="AO49" i="5"/>
  <c r="AQ60" i="6"/>
  <c r="AP9" i="9"/>
  <c r="AQ14" i="6"/>
  <c r="AO64" i="5"/>
  <c r="AO50" i="5"/>
  <c r="AO41" i="5"/>
  <c r="AO43" i="5"/>
  <c r="AQ12" i="6"/>
  <c r="AQ65" i="6"/>
  <c r="AQ35" i="6"/>
  <c r="AZ35" i="6" s="1"/>
  <c r="AS9" i="7"/>
  <c r="BB9" i="7" s="1"/>
  <c r="BC12" i="7" s="1"/>
  <c r="H6" i="10" s="1"/>
  <c r="AQ51" i="6"/>
  <c r="AQ28" i="6"/>
  <c r="AZ28" i="6" s="1"/>
  <c r="AO62" i="5"/>
  <c r="AO45" i="5"/>
  <c r="AQ25" i="6"/>
  <c r="AZ25" i="6" s="1"/>
  <c r="AO27" i="5"/>
  <c r="AO78" i="5"/>
  <c r="AQ46" i="6"/>
  <c r="AZ46" i="6" s="1"/>
  <c r="AO79" i="5"/>
  <c r="AX79" i="5" s="1"/>
  <c r="L102" i="5" s="1"/>
  <c r="AQ31" i="6"/>
  <c r="AO28" i="5"/>
  <c r="AQ40" i="6"/>
  <c r="AZ40" i="6" s="1"/>
  <c r="AO51" i="5"/>
  <c r="AO8" i="5"/>
  <c r="AO19" i="5"/>
  <c r="AQ23" i="6"/>
  <c r="AO13" i="5"/>
  <c r="AQ55" i="6"/>
  <c r="AQ19" i="6"/>
  <c r="AZ19" i="6" s="1"/>
  <c r="AQ61" i="6"/>
  <c r="AQ68" i="6"/>
  <c r="AQ44" i="6"/>
  <c r="AZ44" i="6" s="1"/>
  <c r="AQ9" i="8"/>
  <c r="AZ9" i="8" s="1"/>
  <c r="BA13" i="8" s="1"/>
  <c r="AQ59" i="6"/>
  <c r="AO24" i="5"/>
  <c r="AO31" i="5"/>
  <c r="AQ11" i="6"/>
  <c r="AQ57" i="6"/>
  <c r="AO15" i="5"/>
  <c r="AQ47" i="6"/>
  <c r="AZ47" i="6" s="1"/>
  <c r="AQ43" i="6"/>
  <c r="AZ43" i="6" s="1"/>
  <c r="AO35" i="5"/>
  <c r="AO82" i="5"/>
  <c r="AP82" i="5" s="1"/>
  <c r="AW82" i="5" s="1"/>
  <c r="AQ67" i="6"/>
  <c r="AO48" i="5"/>
  <c r="AO53" i="5"/>
  <c r="AQ26" i="6"/>
  <c r="AZ26" i="6" s="1"/>
  <c r="AQ54" i="6"/>
  <c r="AQ38" i="6"/>
  <c r="AZ38" i="6" s="1"/>
  <c r="AQ52" i="6"/>
  <c r="AQ41" i="6"/>
  <c r="AZ41" i="6" s="1"/>
  <c r="AQ66" i="6"/>
  <c r="Q71" i="4"/>
  <c r="AB31" i="5"/>
  <c r="AB46" i="5"/>
  <c r="AB68" i="5"/>
  <c r="AD23" i="6"/>
  <c r="AM23" i="6" s="1"/>
  <c r="AD29" i="6"/>
  <c r="AB60" i="5"/>
  <c r="AB49" i="5"/>
  <c r="AD80" i="6"/>
  <c r="AE80" i="6" s="1"/>
  <c r="AL80" i="6" s="1"/>
  <c r="AN78" i="6" s="1"/>
  <c r="G5" i="10" s="1"/>
  <c r="AD71" i="6"/>
  <c r="AD38" i="6"/>
  <c r="AM38" i="6" s="1"/>
  <c r="AB25" i="5"/>
  <c r="AB35" i="5"/>
  <c r="AB69" i="5"/>
  <c r="AB78" i="5"/>
  <c r="AD36" i="6"/>
  <c r="AB10" i="5"/>
  <c r="AB38" i="5"/>
  <c r="AD60" i="6"/>
  <c r="AB11" i="5"/>
  <c r="AD63" i="6"/>
  <c r="AD59" i="6"/>
  <c r="AD15" i="6"/>
  <c r="AD17" i="6"/>
  <c r="AD54" i="6"/>
  <c r="AD55" i="6"/>
  <c r="AB28" i="5"/>
  <c r="AD66" i="6"/>
  <c r="AB61" i="5"/>
  <c r="AB13" i="5"/>
  <c r="AD40" i="6"/>
  <c r="AM40" i="6" s="1"/>
  <c r="AB14" i="5"/>
  <c r="AD61" i="6"/>
  <c r="AB15" i="5"/>
  <c r="AB57" i="5"/>
  <c r="AB62" i="5"/>
  <c r="AD62" i="6"/>
  <c r="AB79" i="5"/>
  <c r="AK79" i="5" s="1"/>
  <c r="K102" i="5" s="1"/>
  <c r="AB21" i="5"/>
  <c r="AD30" i="6"/>
  <c r="AM30" i="6" s="1"/>
  <c r="AD43" i="6"/>
  <c r="AM43" i="6" s="1"/>
  <c r="AB58" i="5"/>
  <c r="AB64" i="5"/>
  <c r="AB42" i="5"/>
  <c r="AB48" i="5"/>
  <c r="AB39" i="5"/>
  <c r="AD18" i="6"/>
  <c r="AM18" i="6" s="1"/>
  <c r="AB40" i="5"/>
  <c r="AB47" i="5"/>
  <c r="AB50" i="5"/>
  <c r="AB30" i="5"/>
  <c r="AD65" i="6"/>
  <c r="AD67" i="6"/>
  <c r="AB43" i="5"/>
  <c r="AD64" i="6"/>
  <c r="Q74" i="4"/>
  <c r="Q90" i="4" s="1"/>
  <c r="AB12" i="5"/>
  <c r="AD9" i="8"/>
  <c r="AM9" i="8" s="1"/>
  <c r="AN13" i="8" s="1"/>
  <c r="AM9" i="9"/>
  <c r="AD56" i="6"/>
  <c r="AB22" i="5"/>
  <c r="AD19" i="6"/>
  <c r="AM19" i="6" s="1"/>
  <c r="AD13" i="8"/>
  <c r="AE13" i="8" s="1"/>
  <c r="AL13" i="8" s="1"/>
  <c r="AN12" i="8" s="1"/>
  <c r="AB36" i="5"/>
  <c r="AB66" i="5"/>
  <c r="AD14" i="6"/>
  <c r="AB23" i="5"/>
  <c r="AD57" i="6"/>
  <c r="AB54" i="5"/>
  <c r="AD41" i="6"/>
  <c r="AM41" i="6" s="1"/>
  <c r="AB63" i="5"/>
  <c r="AD34" i="6"/>
  <c r="AM34" i="6" s="1"/>
  <c r="AD28" i="6"/>
  <c r="AM28" i="6" s="1"/>
  <c r="AB53" i="5"/>
  <c r="AD52" i="6"/>
  <c r="AD13" i="6"/>
  <c r="AD27" i="6"/>
  <c r="AM27" i="6" s="1"/>
  <c r="AD33" i="6"/>
  <c r="AM33" i="6" s="1"/>
  <c r="AD53" i="6"/>
  <c r="AF9" i="7"/>
  <c r="AO9" i="7" s="1"/>
  <c r="AP12" i="7" s="1"/>
  <c r="F6" i="10" s="1"/>
  <c r="AD16" i="6"/>
  <c r="AB45" i="5"/>
  <c r="AD20" i="6"/>
  <c r="AM20" i="6" s="1"/>
  <c r="AD32" i="6"/>
  <c r="AB29" i="5"/>
  <c r="AB19" i="5"/>
  <c r="AB51" i="5"/>
  <c r="AB67" i="5"/>
  <c r="AD47" i="6"/>
  <c r="AM47" i="6" s="1"/>
  <c r="AD73" i="6"/>
  <c r="AB77" i="5"/>
  <c r="AK77" i="5" s="1"/>
  <c r="K99" i="5" s="1"/>
  <c r="AD35" i="6"/>
  <c r="AM35" i="6" s="1"/>
  <c r="AB80" i="5"/>
  <c r="AK80" i="5" s="1"/>
  <c r="K100" i="5" s="1"/>
  <c r="AD49" i="6"/>
  <c r="AM49" i="6" s="1"/>
  <c r="AD31" i="6"/>
  <c r="AB27" i="5"/>
  <c r="AF12" i="7"/>
  <c r="AG12" i="7" s="1"/>
  <c r="AN12" i="7" s="1"/>
  <c r="AP11" i="7" s="1"/>
  <c r="AB37" i="5"/>
  <c r="AD21" i="6"/>
  <c r="AM21" i="6" s="1"/>
  <c r="AB70" i="5"/>
  <c r="AK70" i="5" s="1"/>
  <c r="AD51" i="6"/>
  <c r="AD22" i="6"/>
  <c r="AM22" i="6" s="1"/>
  <c r="AD12" i="6"/>
  <c r="AM12" i="6" s="1"/>
  <c r="AD50" i="6"/>
  <c r="AD68" i="6"/>
  <c r="AB56" i="5"/>
  <c r="AD42" i="6"/>
  <c r="AM42" i="6" s="1"/>
  <c r="AD69" i="6"/>
  <c r="AB52" i="5"/>
  <c r="AB59" i="5"/>
  <c r="AD48" i="6"/>
  <c r="AM48" i="6" s="1"/>
  <c r="AB32" i="5"/>
  <c r="AD72" i="6"/>
  <c r="AB16" i="5"/>
  <c r="AD11" i="6"/>
  <c r="AB9" i="5"/>
  <c r="AD25" i="6"/>
  <c r="AM25" i="6" s="1"/>
  <c r="AB18" i="5"/>
  <c r="AB20" i="5"/>
  <c r="AD39" i="6"/>
  <c r="AM39" i="6" s="1"/>
  <c r="AB82" i="5"/>
  <c r="AC82" i="5" s="1"/>
  <c r="AJ82" i="5" s="1"/>
  <c r="AB34" i="5"/>
  <c r="AB8" i="5"/>
  <c r="AB26" i="5"/>
  <c r="AB17" i="5"/>
  <c r="AD26" i="6"/>
  <c r="AM26" i="6" s="1"/>
  <c r="AD24" i="6"/>
  <c r="AB33" i="5"/>
  <c r="AD37" i="6"/>
  <c r="AM37" i="6" s="1"/>
  <c r="AC9" i="9"/>
  <c r="AB65" i="5"/>
  <c r="AD58" i="6"/>
  <c r="AB24" i="5"/>
  <c r="AD46" i="6"/>
  <c r="AM46" i="6" s="1"/>
  <c r="AB55" i="5"/>
  <c r="AB41" i="5"/>
  <c r="AD70" i="6"/>
  <c r="AD44" i="6"/>
  <c r="AM44" i="6" s="1"/>
  <c r="AB44" i="5"/>
  <c r="AD45" i="6"/>
  <c r="AM45" i="6" s="1"/>
  <c r="S54" i="5"/>
  <c r="O60" i="4"/>
  <c r="S35" i="5"/>
  <c r="U55" i="6"/>
  <c r="U14" i="6"/>
  <c r="S45" i="5"/>
  <c r="O14" i="4"/>
  <c r="S8" i="5"/>
  <c r="U17" i="6"/>
  <c r="S25" i="5"/>
  <c r="S30" i="5"/>
  <c r="O43" i="4"/>
  <c r="O45" i="4"/>
  <c r="O39" i="4"/>
  <c r="S60" i="5"/>
  <c r="U60" i="6"/>
  <c r="S18" i="5"/>
  <c r="U29" i="6"/>
  <c r="U47" i="6"/>
  <c r="U54" i="6"/>
  <c r="S22" i="5"/>
  <c r="O37" i="4"/>
  <c r="S40" i="5"/>
  <c r="U23" i="6"/>
  <c r="S77" i="5"/>
  <c r="U30" i="6"/>
  <c r="U34" i="6"/>
  <c r="U66" i="6"/>
  <c r="W9" i="7"/>
  <c r="O56" i="4"/>
  <c r="O48" i="4"/>
  <c r="U33" i="6"/>
  <c r="U20" i="6"/>
  <c r="S24" i="5"/>
  <c r="U21" i="6"/>
  <c r="O53" i="4"/>
  <c r="O16" i="4"/>
  <c r="S12" i="5"/>
  <c r="U73" i="6"/>
  <c r="O65" i="4"/>
  <c r="Q65" i="4" s="1"/>
  <c r="U36" i="6"/>
  <c r="S14" i="5"/>
  <c r="U56" i="6"/>
  <c r="U28" i="6"/>
  <c r="U63" i="6"/>
  <c r="U61" i="6"/>
  <c r="O22" i="4"/>
  <c r="O19" i="4"/>
  <c r="U37" i="6"/>
  <c r="S19" i="5"/>
  <c r="O29" i="4"/>
  <c r="U72" i="6"/>
  <c r="O25" i="4"/>
  <c r="O15" i="4"/>
  <c r="U40" i="6"/>
  <c r="O58" i="4"/>
  <c r="S21" i="5"/>
  <c r="S59" i="5"/>
  <c r="U51" i="6"/>
  <c r="AF71" i="5"/>
  <c r="O40" i="4"/>
  <c r="AU74" i="6"/>
  <c r="U12" i="6"/>
  <c r="U58" i="6"/>
  <c r="O61" i="4"/>
  <c r="S38" i="5"/>
  <c r="O17" i="4"/>
  <c r="S69" i="5"/>
  <c r="S39" i="5"/>
  <c r="S32" i="5"/>
  <c r="S31" i="5"/>
  <c r="T9" i="9"/>
  <c r="O31" i="4"/>
  <c r="U24" i="6"/>
  <c r="S42" i="5"/>
  <c r="U13" i="6"/>
  <c r="S56" i="5"/>
  <c r="U31" i="6"/>
  <c r="O27" i="4"/>
  <c r="O38" i="4"/>
  <c r="O44" i="4"/>
  <c r="S58" i="5"/>
  <c r="O26" i="4"/>
  <c r="U35" i="6"/>
  <c r="O55" i="4"/>
  <c r="O28" i="4"/>
  <c r="S62" i="5"/>
  <c r="O46" i="4"/>
  <c r="O47" i="4"/>
  <c r="U11" i="6"/>
  <c r="U16" i="6"/>
  <c r="S15" i="5"/>
  <c r="U19" i="6"/>
  <c r="S78" i="5"/>
  <c r="S17" i="5"/>
  <c r="O54" i="4"/>
  <c r="U69" i="6"/>
  <c r="U50" i="6"/>
  <c r="O51" i="4"/>
  <c r="U41" i="6"/>
  <c r="S79" i="5"/>
  <c r="S16" i="5"/>
  <c r="O24" i="4"/>
  <c r="U46" i="6"/>
  <c r="U62" i="6"/>
  <c r="U48" i="6"/>
  <c r="S64" i="5"/>
  <c r="S57" i="5"/>
  <c r="S43" i="5"/>
  <c r="S48" i="5"/>
  <c r="S10" i="5"/>
  <c r="S67" i="5"/>
  <c r="S28" i="5"/>
  <c r="U52" i="6"/>
  <c r="S52" i="5"/>
  <c r="S63" i="5"/>
  <c r="S20" i="5"/>
  <c r="U18" i="6"/>
  <c r="S26" i="5"/>
  <c r="O21" i="4"/>
  <c r="O41" i="4"/>
  <c r="U39" i="6"/>
  <c r="O10" i="4"/>
  <c r="S11" i="5"/>
  <c r="O64" i="4"/>
  <c r="S29" i="5"/>
  <c r="U67" i="6"/>
  <c r="U59" i="6"/>
  <c r="S13" i="5"/>
  <c r="U22" i="6"/>
  <c r="O34" i="4"/>
  <c r="U15" i="6"/>
  <c r="U42" i="6"/>
  <c r="S53" i="5"/>
  <c r="S44" i="5"/>
  <c r="O33" i="4"/>
  <c r="S41" i="5"/>
  <c r="O57" i="4"/>
  <c r="U32" i="6"/>
  <c r="S46" i="5"/>
  <c r="U74" i="6"/>
  <c r="S37" i="5"/>
  <c r="O30" i="4"/>
  <c r="O18" i="4"/>
  <c r="O63" i="4"/>
  <c r="U25" i="6"/>
  <c r="U53" i="6"/>
  <c r="O23" i="4"/>
  <c r="O35" i="4"/>
  <c r="S34" i="5"/>
  <c r="U57" i="6"/>
  <c r="U71" i="6"/>
  <c r="S47" i="5"/>
  <c r="U44" i="6"/>
  <c r="U45" i="6"/>
  <c r="AS71" i="5"/>
  <c r="O32" i="4"/>
  <c r="S23" i="5"/>
  <c r="S33" i="5"/>
  <c r="S27" i="5"/>
  <c r="O50" i="4"/>
  <c r="U26" i="6"/>
  <c r="S71" i="5"/>
  <c r="S68" i="5"/>
  <c r="S49" i="5"/>
  <c r="S61" i="5"/>
  <c r="O42" i="4"/>
  <c r="U64" i="6"/>
  <c r="U43" i="6"/>
  <c r="U38" i="6"/>
  <c r="U49" i="6"/>
  <c r="S65" i="5"/>
  <c r="O59" i="4"/>
  <c r="S66" i="5"/>
  <c r="U27" i="6"/>
  <c r="O62" i="4"/>
  <c r="U70" i="6"/>
  <c r="U65" i="6"/>
  <c r="S36" i="5"/>
  <c r="S70" i="5"/>
  <c r="AH74" i="6"/>
  <c r="O11" i="4"/>
  <c r="S51" i="5"/>
  <c r="O52" i="4"/>
  <c r="S9" i="5"/>
  <c r="O13" i="4"/>
  <c r="U68" i="6"/>
  <c r="S50" i="5"/>
  <c r="O36" i="4"/>
  <c r="O49" i="4"/>
  <c r="S55" i="5"/>
  <c r="O20" i="4"/>
  <c r="O12" i="4"/>
  <c r="Z8" i="5"/>
  <c r="AB57" i="6"/>
  <c r="Z36" i="5"/>
  <c r="AB63" i="6"/>
  <c r="Z51" i="5"/>
  <c r="Z54" i="5"/>
  <c r="AB21" i="6"/>
  <c r="Z65" i="5"/>
  <c r="Z31" i="5"/>
  <c r="Z33" i="5"/>
  <c r="Z77" i="5"/>
  <c r="AB41" i="6"/>
  <c r="Z52" i="5"/>
  <c r="AB17" i="6"/>
  <c r="AA9" i="9"/>
  <c r="AB72" i="6"/>
  <c r="AB55" i="6"/>
  <c r="AB12" i="6"/>
  <c r="Z42" i="5"/>
  <c r="AB73" i="6"/>
  <c r="AB46" i="6"/>
  <c r="AB13" i="6"/>
  <c r="AB40" i="6"/>
  <c r="AB15" i="6"/>
  <c r="AB51" i="6"/>
  <c r="AB58" i="6"/>
  <c r="Z80" i="5"/>
  <c r="Z15" i="5"/>
  <c r="Z24" i="5"/>
  <c r="Z22" i="5"/>
  <c r="Z79" i="5"/>
  <c r="AB49" i="6"/>
  <c r="Z14" i="5"/>
  <c r="AB62" i="6"/>
  <c r="AB61" i="6"/>
  <c r="AB37" i="6"/>
  <c r="Z57" i="5"/>
  <c r="AB31" i="6"/>
  <c r="AM31" i="6" s="1"/>
  <c r="AB34" i="6"/>
  <c r="Z13" i="5"/>
  <c r="Z56" i="5"/>
  <c r="Z78" i="5"/>
  <c r="Z46" i="5"/>
  <c r="AB67" i="6"/>
  <c r="AB45" i="6"/>
  <c r="Z30" i="5"/>
  <c r="AB20" i="6"/>
  <c r="Z68" i="5"/>
  <c r="AB68" i="6"/>
  <c r="Z62" i="5"/>
  <c r="Z50" i="5"/>
  <c r="AB64" i="6"/>
  <c r="Z34" i="5"/>
  <c r="AB65" i="6"/>
  <c r="Z41" i="5"/>
  <c r="Z48" i="5"/>
  <c r="Z12" i="5"/>
  <c r="Z53" i="5"/>
  <c r="Z16" i="5"/>
  <c r="Z21" i="5"/>
  <c r="AB48" i="6"/>
  <c r="AB19" i="6"/>
  <c r="Z55" i="5"/>
  <c r="AB11" i="6"/>
  <c r="Z44" i="5"/>
  <c r="Z25" i="5"/>
  <c r="Z37" i="5"/>
  <c r="Z59" i="5"/>
  <c r="AB22" i="6"/>
  <c r="Z45" i="5"/>
  <c r="Z40" i="5"/>
  <c r="Z29" i="5"/>
  <c r="AB47" i="6"/>
  <c r="AB36" i="6"/>
  <c r="AB29" i="6"/>
  <c r="Z60" i="5"/>
  <c r="Z18" i="5"/>
  <c r="Z67" i="5"/>
  <c r="AB38" i="6"/>
  <c r="Z66" i="5"/>
  <c r="Z27" i="5"/>
  <c r="AB27" i="6"/>
  <c r="Z23" i="5"/>
  <c r="Z47" i="5"/>
  <c r="AB32" i="6"/>
  <c r="AB71" i="6"/>
  <c r="AB30" i="6"/>
  <c r="Z70" i="5"/>
  <c r="AB18" i="6"/>
  <c r="AD9" i="7"/>
  <c r="AB28" i="6"/>
  <c r="AB39" i="6"/>
  <c r="AB24" i="6"/>
  <c r="AB70" i="6"/>
  <c r="Z63" i="5"/>
  <c r="AB9" i="8"/>
  <c r="AB60" i="6"/>
  <c r="AB42" i="6"/>
  <c r="Z61" i="5"/>
  <c r="Z38" i="5"/>
  <c r="Z32" i="5"/>
  <c r="AB56" i="6"/>
  <c r="AB16" i="6"/>
  <c r="AB50" i="6"/>
  <c r="AB54" i="6"/>
  <c r="AB25" i="6"/>
  <c r="AB44" i="6"/>
  <c r="AB52" i="6"/>
  <c r="Z49" i="5"/>
  <c r="Z9" i="5"/>
  <c r="AK9" i="5" s="1"/>
  <c r="Z58" i="5"/>
  <c r="AB23" i="6"/>
  <c r="AB35" i="6"/>
  <c r="AB33" i="6"/>
  <c r="AB66" i="6"/>
  <c r="Z69" i="5"/>
  <c r="Z28" i="5"/>
  <c r="Z10" i="5"/>
  <c r="AB69" i="6"/>
  <c r="Z35" i="5"/>
  <c r="Z20" i="5"/>
  <c r="Z43" i="5"/>
  <c r="AB59" i="6"/>
  <c r="Z64" i="5"/>
  <c r="Z26" i="5"/>
  <c r="Z17" i="5"/>
  <c r="AB26" i="6"/>
  <c r="Z11" i="5"/>
  <c r="AB53" i="6"/>
  <c r="Z39" i="5"/>
  <c r="AB14" i="6"/>
  <c r="Z19" i="5"/>
  <c r="AB43" i="6"/>
  <c r="AH54" i="5"/>
  <c r="AH53" i="5"/>
  <c r="AH20" i="5"/>
  <c r="AJ32" i="6"/>
  <c r="AJ12" i="6"/>
  <c r="AJ13" i="6"/>
  <c r="AJ33" i="6"/>
  <c r="AI9" i="9"/>
  <c r="AH28" i="5"/>
  <c r="AJ53" i="6"/>
  <c r="AH12" i="5"/>
  <c r="AH59" i="5"/>
  <c r="AJ50" i="6"/>
  <c r="AH77" i="5"/>
  <c r="AH15" i="5"/>
  <c r="AJ45" i="6"/>
  <c r="AJ42" i="6"/>
  <c r="AJ22" i="6"/>
  <c r="AJ9" i="8"/>
  <c r="AH23" i="5"/>
  <c r="AJ66" i="6"/>
  <c r="AJ21" i="6"/>
  <c r="AJ51" i="6"/>
  <c r="AJ38" i="6"/>
  <c r="AJ40" i="6"/>
  <c r="AH58" i="5"/>
  <c r="AH55" i="5"/>
  <c r="AH62" i="5"/>
  <c r="AH50" i="5"/>
  <c r="AH80" i="5"/>
  <c r="AH43" i="5"/>
  <c r="AJ25" i="6"/>
  <c r="AJ48" i="6"/>
  <c r="AH67" i="5"/>
  <c r="AJ26" i="6"/>
  <c r="AH68" i="5"/>
  <c r="AJ20" i="6"/>
  <c r="AJ11" i="6"/>
  <c r="AH21" i="5"/>
  <c r="AJ35" i="6"/>
  <c r="AJ54" i="6"/>
  <c r="AH11" i="5"/>
  <c r="AH60" i="5"/>
  <c r="AJ27" i="6"/>
  <c r="AJ47" i="6"/>
  <c r="AH63" i="5"/>
  <c r="AJ24" i="6"/>
  <c r="AL9" i="7"/>
  <c r="AJ36" i="6"/>
  <c r="AH61" i="5"/>
  <c r="AH14" i="5"/>
  <c r="AH38" i="5"/>
  <c r="AH33" i="5"/>
  <c r="AJ49" i="6"/>
  <c r="AH78" i="5"/>
  <c r="AJ41" i="6"/>
  <c r="AH51" i="5"/>
  <c r="AH8" i="5"/>
  <c r="AH48" i="5"/>
  <c r="AH31" i="5"/>
  <c r="AJ65" i="6"/>
  <c r="AJ34" i="6"/>
  <c r="AH49" i="5"/>
  <c r="AJ29" i="6"/>
  <c r="AH29" i="5"/>
  <c r="AH39" i="5"/>
  <c r="AJ52" i="6"/>
  <c r="AH17" i="5"/>
  <c r="AJ19" i="6"/>
  <c r="AH40" i="5"/>
  <c r="AH27" i="5"/>
  <c r="AH30" i="5"/>
  <c r="AH36" i="5"/>
  <c r="AJ16" i="6"/>
  <c r="AJ14" i="6"/>
  <c r="AJ46" i="6"/>
  <c r="AJ17" i="6"/>
  <c r="AH10" i="5"/>
  <c r="AJ15" i="6"/>
  <c r="AJ31" i="6"/>
  <c r="AH65" i="5"/>
  <c r="AH25" i="5"/>
  <c r="AJ39" i="6"/>
  <c r="AJ18" i="6"/>
  <c r="AH47" i="5"/>
  <c r="AH45" i="5"/>
  <c r="AJ70" i="6"/>
  <c r="AH26" i="5"/>
  <c r="AJ28" i="6"/>
  <c r="AJ73" i="6"/>
  <c r="AJ62" i="6"/>
  <c r="AH69" i="5"/>
  <c r="AJ72" i="6"/>
  <c r="AJ60" i="6"/>
  <c r="AJ30" i="6"/>
  <c r="AJ37" i="6"/>
  <c r="AH22" i="5"/>
  <c r="AH24" i="5"/>
  <c r="AJ58" i="6"/>
  <c r="AH41" i="5"/>
  <c r="AH13" i="5"/>
  <c r="AJ57" i="6"/>
  <c r="AH52" i="5"/>
  <c r="AJ64" i="6"/>
  <c r="AH16" i="5"/>
  <c r="AH64" i="5"/>
  <c r="AJ67" i="6"/>
  <c r="AH66" i="5"/>
  <c r="AJ63" i="6"/>
  <c r="AH46" i="5"/>
  <c r="AH19" i="5"/>
  <c r="AJ43" i="6"/>
  <c r="AH57" i="5"/>
  <c r="AH56" i="5"/>
  <c r="AH42" i="5"/>
  <c r="AH35" i="5"/>
  <c r="AJ71" i="6"/>
  <c r="AH37" i="5"/>
  <c r="AH79" i="5"/>
  <c r="AJ59" i="6"/>
  <c r="AJ44" i="6"/>
  <c r="AJ55" i="6"/>
  <c r="AH32" i="5"/>
  <c r="AH9" i="5"/>
  <c r="AH44" i="5"/>
  <c r="AJ68" i="6"/>
  <c r="AH70" i="5"/>
  <c r="AJ69" i="6"/>
  <c r="AJ56" i="6"/>
  <c r="AJ61" i="6"/>
  <c r="AJ23" i="6"/>
  <c r="AH34" i="5"/>
  <c r="AH18" i="5"/>
  <c r="W38" i="6"/>
  <c r="W53" i="6"/>
  <c r="P32" i="4"/>
  <c r="W46" i="6"/>
  <c r="U23" i="5"/>
  <c r="U46" i="5"/>
  <c r="W40" i="6"/>
  <c r="P54" i="4"/>
  <c r="P13" i="4"/>
  <c r="AU71" i="5"/>
  <c r="W27" i="6"/>
  <c r="W73" i="6"/>
  <c r="P23" i="4"/>
  <c r="W70" i="6"/>
  <c r="P26" i="4"/>
  <c r="W45" i="6"/>
  <c r="W39" i="6"/>
  <c r="U70" i="5"/>
  <c r="W69" i="6"/>
  <c r="W50" i="6"/>
  <c r="AW74" i="6"/>
  <c r="W68" i="6"/>
  <c r="W60" i="6"/>
  <c r="W44" i="6"/>
  <c r="W65" i="6"/>
  <c r="W22" i="6"/>
  <c r="P37" i="4"/>
  <c r="U34" i="5"/>
  <c r="W15" i="6"/>
  <c r="P28" i="4"/>
  <c r="P46" i="4"/>
  <c r="U77" i="5"/>
  <c r="U79" i="5"/>
  <c r="W21" i="6"/>
  <c r="P22" i="4"/>
  <c r="P11" i="4"/>
  <c r="W67" i="6"/>
  <c r="W57" i="6"/>
  <c r="U14" i="5"/>
  <c r="P35" i="4"/>
  <c r="P36" i="4"/>
  <c r="U25" i="5"/>
  <c r="Y9" i="7"/>
  <c r="P64" i="4"/>
  <c r="W36" i="6"/>
  <c r="W48" i="6"/>
  <c r="U24" i="5"/>
  <c r="P40" i="4"/>
  <c r="P39" i="4"/>
  <c r="W24" i="6"/>
  <c r="U15" i="5"/>
  <c r="W43" i="6"/>
  <c r="W31" i="6"/>
  <c r="U55" i="5"/>
  <c r="P25" i="4"/>
  <c r="P20" i="4"/>
  <c r="U67" i="5"/>
  <c r="U56" i="5"/>
  <c r="U60" i="5"/>
  <c r="P14" i="4"/>
  <c r="P50" i="4"/>
  <c r="U32" i="5"/>
  <c r="U69" i="5"/>
  <c r="U58" i="5"/>
  <c r="U45" i="5"/>
  <c r="P59" i="4"/>
  <c r="P60" i="4"/>
  <c r="U65" i="5"/>
  <c r="U59" i="5"/>
  <c r="W35" i="6"/>
  <c r="U16" i="5"/>
  <c r="P48" i="4"/>
  <c r="U17" i="5"/>
  <c r="U36" i="5"/>
  <c r="U53" i="5"/>
  <c r="W71" i="6"/>
  <c r="W23" i="6"/>
  <c r="U12" i="5"/>
  <c r="P51" i="4"/>
  <c r="P57" i="4"/>
  <c r="U78" i="5"/>
  <c r="U39" i="5"/>
  <c r="W33" i="6"/>
  <c r="U48" i="5"/>
  <c r="P41" i="4"/>
  <c r="P62" i="4"/>
  <c r="U44" i="5"/>
  <c r="W20" i="6"/>
  <c r="P53" i="4"/>
  <c r="U22" i="5"/>
  <c r="P56" i="4"/>
  <c r="AH71" i="5"/>
  <c r="P18" i="4"/>
  <c r="P52" i="4"/>
  <c r="W14" i="6"/>
  <c r="U9" i="5"/>
  <c r="W58" i="6"/>
  <c r="W55" i="6"/>
  <c r="U61" i="5"/>
  <c r="U13" i="5"/>
  <c r="P38" i="4"/>
  <c r="P12" i="4"/>
  <c r="W74" i="6"/>
  <c r="U20" i="5"/>
  <c r="W54" i="6"/>
  <c r="P47" i="4"/>
  <c r="W25" i="6"/>
  <c r="W52" i="6"/>
  <c r="W12" i="6"/>
  <c r="U8" i="5"/>
  <c r="U57" i="5"/>
  <c r="P43" i="4"/>
  <c r="P21" i="4"/>
  <c r="P44" i="4"/>
  <c r="U62" i="5"/>
  <c r="P45" i="4"/>
  <c r="U35" i="5"/>
  <c r="W41" i="6"/>
  <c r="U37" i="5"/>
  <c r="U51" i="5"/>
  <c r="W42" i="6"/>
  <c r="U68" i="5"/>
  <c r="P24" i="4"/>
  <c r="W30" i="6"/>
  <c r="U19" i="5"/>
  <c r="P42" i="4"/>
  <c r="U43" i="5"/>
  <c r="P31" i="4"/>
  <c r="P55" i="4"/>
  <c r="W34" i="6"/>
  <c r="U11" i="5"/>
  <c r="U71" i="5"/>
  <c r="P27" i="4"/>
  <c r="P30" i="4"/>
  <c r="U29" i="5"/>
  <c r="W29" i="6"/>
  <c r="U27" i="5"/>
  <c r="P17" i="4"/>
  <c r="U10" i="5"/>
  <c r="W72" i="6"/>
  <c r="U31" i="5"/>
  <c r="P10" i="4"/>
  <c r="U41" i="5"/>
  <c r="U66" i="5"/>
  <c r="W32" i="6"/>
  <c r="U26" i="5"/>
  <c r="U63" i="5"/>
  <c r="P61" i="4"/>
  <c r="W47" i="6"/>
  <c r="U28" i="5"/>
  <c r="U38" i="5"/>
  <c r="U50" i="5"/>
  <c r="W17" i="6"/>
  <c r="U49" i="5"/>
  <c r="U30" i="5"/>
  <c r="P15" i="4"/>
  <c r="W56" i="6"/>
  <c r="U42" i="5"/>
  <c r="W37" i="6"/>
  <c r="W18" i="6"/>
  <c r="W66" i="6"/>
  <c r="U21" i="5"/>
  <c r="W49" i="6"/>
  <c r="W19" i="6"/>
  <c r="W63" i="6"/>
  <c r="P63" i="4"/>
  <c r="V9" i="9"/>
  <c r="W59" i="6"/>
  <c r="W28" i="6"/>
  <c r="W64" i="6"/>
  <c r="P33" i="4"/>
  <c r="W13" i="6"/>
  <c r="P49" i="4"/>
  <c r="W26" i="6"/>
  <c r="U33" i="5"/>
  <c r="W16" i="6"/>
  <c r="P58" i="4"/>
  <c r="U52" i="5"/>
  <c r="P29" i="4"/>
  <c r="W61" i="6"/>
  <c r="P16" i="4"/>
  <c r="U54" i="5"/>
  <c r="U18" i="5"/>
  <c r="W62" i="6"/>
  <c r="P65" i="4"/>
  <c r="U40" i="5"/>
  <c r="P34" i="4"/>
  <c r="U64" i="5"/>
  <c r="U47" i="5"/>
  <c r="W11" i="6"/>
  <c r="W51" i="6"/>
  <c r="AJ74" i="6"/>
  <c r="P19" i="4"/>
  <c r="AW58" i="6"/>
  <c r="AU45" i="5"/>
  <c r="AW69" i="6"/>
  <c r="AU48" i="5"/>
  <c r="AW30" i="6"/>
  <c r="AW21" i="6"/>
  <c r="AU52" i="5"/>
  <c r="AW19" i="6"/>
  <c r="AW60" i="6"/>
  <c r="AU13" i="5"/>
  <c r="AU33" i="5"/>
  <c r="AW40" i="6"/>
  <c r="AU39" i="5"/>
  <c r="AW43" i="6"/>
  <c r="AW28" i="6"/>
  <c r="AW17" i="6"/>
  <c r="AU59" i="5"/>
  <c r="AW39" i="6"/>
  <c r="AU25" i="5"/>
  <c r="AW29" i="6"/>
  <c r="AU32" i="5"/>
  <c r="AW11" i="6"/>
  <c r="AU18" i="5"/>
  <c r="AU66" i="5"/>
  <c r="AW47" i="6"/>
  <c r="AU26" i="5"/>
  <c r="AU67" i="5"/>
  <c r="AW68" i="6"/>
  <c r="AW70" i="6"/>
  <c r="AU55" i="5"/>
  <c r="AW63" i="6"/>
  <c r="AW64" i="6"/>
  <c r="AY9" i="7"/>
  <c r="AU65" i="5"/>
  <c r="AU23" i="5"/>
  <c r="AW13" i="6"/>
  <c r="AU80" i="5"/>
  <c r="AU9" i="5"/>
  <c r="AU54" i="5"/>
  <c r="AU30" i="5"/>
  <c r="AU44" i="5"/>
  <c r="AU64" i="5"/>
  <c r="AW66" i="6"/>
  <c r="AU61" i="5"/>
  <c r="AU51" i="5"/>
  <c r="AW18" i="6"/>
  <c r="AW12" i="6"/>
  <c r="AU29" i="5"/>
  <c r="AU21" i="5"/>
  <c r="AW16" i="6"/>
  <c r="AW35" i="6"/>
  <c r="AW33" i="6"/>
  <c r="AU19" i="5"/>
  <c r="AW48" i="6"/>
  <c r="AU57" i="5"/>
  <c r="AW31" i="6"/>
  <c r="AW37" i="6"/>
  <c r="AW61" i="6"/>
  <c r="AW34" i="6"/>
  <c r="AW20" i="6"/>
  <c r="AU78" i="5"/>
  <c r="AU53" i="5"/>
  <c r="AW57" i="6"/>
  <c r="AU37" i="5"/>
  <c r="AW73" i="6"/>
  <c r="AW53" i="6"/>
  <c r="AU20" i="5"/>
  <c r="AW71" i="6"/>
  <c r="AW49" i="6"/>
  <c r="AW27" i="6"/>
  <c r="AW42" i="6"/>
  <c r="AV9" i="9"/>
  <c r="AW38" i="6"/>
  <c r="AW15" i="6"/>
  <c r="AU36" i="5"/>
  <c r="AU58" i="5"/>
  <c r="AU68" i="5"/>
  <c r="AW51" i="6"/>
  <c r="AU31" i="5"/>
  <c r="AW14" i="6"/>
  <c r="AU34" i="5"/>
  <c r="AW41" i="6"/>
  <c r="AW36" i="6"/>
  <c r="AW32" i="6"/>
  <c r="AU28" i="5"/>
  <c r="AU69" i="5"/>
  <c r="AW72" i="6"/>
  <c r="AW46" i="6"/>
  <c r="AW55" i="6"/>
  <c r="AU35" i="5"/>
  <c r="AW22" i="6"/>
  <c r="AU49" i="5"/>
  <c r="AW67" i="6"/>
  <c r="AU70" i="5"/>
  <c r="AU47" i="5"/>
  <c r="AW9" i="8"/>
  <c r="AU79" i="5"/>
  <c r="AW52" i="6"/>
  <c r="AW44" i="6"/>
  <c r="AW50" i="6"/>
  <c r="AW25" i="6"/>
  <c r="AU42" i="5"/>
  <c r="AU56" i="5"/>
  <c r="AU12" i="5"/>
  <c r="AU24" i="5"/>
  <c r="AW56" i="6"/>
  <c r="AU27" i="5"/>
  <c r="AU38" i="5"/>
  <c r="AW59" i="6"/>
  <c r="AW23" i="6"/>
  <c r="AU63" i="5"/>
  <c r="AW62" i="6"/>
  <c r="AU17" i="5"/>
  <c r="AU77" i="5"/>
  <c r="AU62" i="5"/>
  <c r="AW54" i="6"/>
  <c r="AU60" i="5"/>
  <c r="AW65" i="6"/>
  <c r="AU50" i="5"/>
  <c r="AU40" i="5"/>
  <c r="AU11" i="5"/>
  <c r="AU10" i="5"/>
  <c r="AW26" i="6"/>
  <c r="AU8" i="5"/>
  <c r="AW45" i="6"/>
  <c r="AU41" i="5"/>
  <c r="AU43" i="5"/>
  <c r="AU15" i="5"/>
  <c r="AU22" i="5"/>
  <c r="AU46" i="5"/>
  <c r="AU16" i="5"/>
  <c r="AU14" i="5"/>
  <c r="AW24" i="6"/>
  <c r="M8" i="5"/>
  <c r="O28" i="6"/>
  <c r="M18" i="5"/>
  <c r="O16" i="6"/>
  <c r="M57" i="5"/>
  <c r="L58" i="4"/>
  <c r="O22" i="6"/>
  <c r="L15" i="4"/>
  <c r="Q15" i="4" s="1"/>
  <c r="L54" i="4"/>
  <c r="M23" i="5"/>
  <c r="L16" i="4"/>
  <c r="Q16" i="4" s="1"/>
  <c r="Z71" i="5"/>
  <c r="M35" i="5"/>
  <c r="M17" i="5"/>
  <c r="M24" i="5"/>
  <c r="M12" i="5"/>
  <c r="M49" i="5"/>
  <c r="L44" i="4"/>
  <c r="AM71" i="5"/>
  <c r="L60" i="4"/>
  <c r="L35" i="4"/>
  <c r="L45" i="4"/>
  <c r="M11" i="5"/>
  <c r="O30" i="6"/>
  <c r="O64" i="6"/>
  <c r="M53" i="5"/>
  <c r="L52" i="4"/>
  <c r="M38" i="5"/>
  <c r="L48" i="4"/>
  <c r="M77" i="5"/>
  <c r="O33" i="6"/>
  <c r="O42" i="6"/>
  <c r="O48" i="6"/>
  <c r="O72" i="6"/>
  <c r="M25" i="5"/>
  <c r="L41" i="4"/>
  <c r="M40" i="5"/>
  <c r="M45" i="5"/>
  <c r="O46" i="6"/>
  <c r="L27" i="4"/>
  <c r="M43" i="5"/>
  <c r="M62" i="5"/>
  <c r="M21" i="5"/>
  <c r="O36" i="6"/>
  <c r="Z36" i="6" s="1"/>
  <c r="L18" i="4"/>
  <c r="L29" i="4"/>
  <c r="O27" i="6"/>
  <c r="O14" i="6"/>
  <c r="L11" i="4"/>
  <c r="L55" i="4"/>
  <c r="L31" i="4"/>
  <c r="O58" i="6"/>
  <c r="O55" i="6"/>
  <c r="M41" i="5"/>
  <c r="O20" i="6"/>
  <c r="O74" i="6"/>
  <c r="M14" i="5"/>
  <c r="O18" i="6"/>
  <c r="M58" i="5"/>
  <c r="L14" i="4"/>
  <c r="Q14" i="4" s="1"/>
  <c r="O66" i="6"/>
  <c r="M37" i="5"/>
  <c r="O39" i="6"/>
  <c r="O35" i="6"/>
  <c r="O41" i="6"/>
  <c r="O40" i="6"/>
  <c r="M36" i="5"/>
  <c r="O52" i="6"/>
  <c r="O63" i="6"/>
  <c r="M65" i="5"/>
  <c r="L38" i="4"/>
  <c r="M67" i="5"/>
  <c r="L25" i="4"/>
  <c r="L37" i="4"/>
  <c r="L28" i="4"/>
  <c r="M22" i="5"/>
  <c r="M59" i="5"/>
  <c r="O50" i="6"/>
  <c r="O57" i="6"/>
  <c r="AO74" i="6"/>
  <c r="L17" i="4"/>
  <c r="Q17" i="4" s="1"/>
  <c r="O25" i="6"/>
  <c r="L34" i="4"/>
  <c r="M27" i="5"/>
  <c r="M61" i="5"/>
  <c r="O31" i="6"/>
  <c r="L19" i="4"/>
  <c r="L65" i="4"/>
  <c r="O49" i="6"/>
  <c r="M50" i="5"/>
  <c r="O37" i="6"/>
  <c r="M19" i="5"/>
  <c r="M44" i="5"/>
  <c r="O24" i="6"/>
  <c r="Z24" i="6" s="1"/>
  <c r="M51" i="5"/>
  <c r="M29" i="5"/>
  <c r="L63" i="4"/>
  <c r="O44" i="6"/>
  <c r="L23" i="4"/>
  <c r="L24" i="4"/>
  <c r="O12" i="6"/>
  <c r="M52" i="5"/>
  <c r="M26" i="5"/>
  <c r="L43" i="4"/>
  <c r="O11" i="6"/>
  <c r="L40" i="4"/>
  <c r="O47" i="6"/>
  <c r="O51" i="6"/>
  <c r="M34" i="5"/>
  <c r="O65" i="6"/>
  <c r="M69" i="5"/>
  <c r="O29" i="6"/>
  <c r="Z29" i="6" s="1"/>
  <c r="O26" i="6"/>
  <c r="L32" i="4"/>
  <c r="O70" i="6"/>
  <c r="M30" i="5"/>
  <c r="O61" i="6"/>
  <c r="M10" i="5"/>
  <c r="O67" i="6"/>
  <c r="M20" i="5"/>
  <c r="O68" i="6"/>
  <c r="L51" i="4"/>
  <c r="O59" i="6"/>
  <c r="M48" i="5"/>
  <c r="L50" i="4"/>
  <c r="O71" i="6"/>
  <c r="L59" i="4"/>
  <c r="L39" i="4"/>
  <c r="O60" i="6"/>
  <c r="L47" i="4"/>
  <c r="L13" i="4"/>
  <c r="L20" i="4"/>
  <c r="N9" i="9"/>
  <c r="O73" i="6"/>
  <c r="M68" i="5"/>
  <c r="L21" i="4"/>
  <c r="M66" i="5"/>
  <c r="AB74" i="6"/>
  <c r="M15" i="5"/>
  <c r="M70" i="5"/>
  <c r="M46" i="5"/>
  <c r="Q9" i="7"/>
  <c r="M31" i="5"/>
  <c r="M42" i="5"/>
  <c r="L57" i="4"/>
  <c r="M9" i="5"/>
  <c r="X9" i="5" s="1"/>
  <c r="M32" i="5"/>
  <c r="L30" i="4"/>
  <c r="L33" i="4"/>
  <c r="M47" i="5"/>
  <c r="L36" i="4"/>
  <c r="M13" i="5"/>
  <c r="L42" i="4"/>
  <c r="O56" i="6"/>
  <c r="M39" i="5"/>
  <c r="O45" i="6"/>
  <c r="M60" i="5"/>
  <c r="M33" i="5"/>
  <c r="L53" i="4"/>
  <c r="O53" i="6"/>
  <c r="M55" i="5"/>
  <c r="O13" i="6"/>
  <c r="L10" i="4"/>
  <c r="L56" i="4"/>
  <c r="L62" i="4"/>
  <c r="M64" i="5"/>
  <c r="M78" i="5"/>
  <c r="O15" i="6"/>
  <c r="O19" i="6"/>
  <c r="M71" i="5"/>
  <c r="L22" i="4"/>
  <c r="L64" i="4"/>
  <c r="L49" i="4"/>
  <c r="O23" i="6"/>
  <c r="M56" i="5"/>
  <c r="M79" i="5"/>
  <c r="L12" i="4"/>
  <c r="O32" i="6"/>
  <c r="M28" i="5"/>
  <c r="M63" i="5"/>
  <c r="O69" i="6"/>
  <c r="O17" i="6"/>
  <c r="L61" i="4"/>
  <c r="O43" i="6"/>
  <c r="L26" i="4"/>
  <c r="O54" i="6"/>
  <c r="O34" i="6"/>
  <c r="M16" i="5"/>
  <c r="M54" i="5"/>
  <c r="O21" i="6"/>
  <c r="O62" i="6"/>
  <c r="O38" i="6"/>
  <c r="L46" i="4"/>
  <c r="AY9" i="9" l="1"/>
  <c r="AZ10" i="9" s="1"/>
  <c r="AZ12" i="6"/>
  <c r="AM13" i="6"/>
  <c r="E110" i="6"/>
  <c r="Z12" i="6"/>
  <c r="X8" i="5"/>
  <c r="X71" i="5" s="1"/>
  <c r="Y9" i="9"/>
  <c r="Z10" i="9" s="1"/>
  <c r="AM17" i="6"/>
  <c r="AZ13" i="6"/>
  <c r="AM16" i="6"/>
  <c r="AZ15" i="6"/>
  <c r="AM73" i="6"/>
  <c r="AZ17" i="6"/>
  <c r="Z13" i="6"/>
  <c r="AZ16" i="6"/>
  <c r="Z33" i="6"/>
  <c r="Z30" i="6"/>
  <c r="Z35" i="6"/>
  <c r="Z42" i="6"/>
  <c r="AM32" i="6"/>
  <c r="AZ31" i="6"/>
  <c r="Z22" i="6"/>
  <c r="Z16" i="6"/>
  <c r="Z17" i="6"/>
  <c r="Z18" i="6"/>
  <c r="F38" i="7"/>
  <c r="F41" i="7" s="1"/>
  <c r="T6" i="10" s="1"/>
  <c r="G38" i="7"/>
  <c r="G41" i="7" s="1"/>
  <c r="U6" i="10" s="1"/>
  <c r="Z73" i="6"/>
  <c r="AZ73" i="6"/>
  <c r="Z11" i="6"/>
  <c r="AZ29" i="6"/>
  <c r="AM29" i="6"/>
  <c r="AM36" i="6"/>
  <c r="Z31" i="6"/>
  <c r="AZ36" i="6"/>
  <c r="AM15" i="6"/>
  <c r="Z15" i="6"/>
  <c r="F28" i="8"/>
  <c r="AM24" i="6"/>
  <c r="AZ24" i="6"/>
  <c r="Z23" i="6"/>
  <c r="AM14" i="6"/>
  <c r="Z14" i="6"/>
  <c r="AZ23" i="6"/>
  <c r="AL9" i="9"/>
  <c r="AM10" i="9" s="1"/>
  <c r="E5" i="10"/>
  <c r="X100" i="5"/>
  <c r="D58" i="1" s="1"/>
  <c r="R75" i="4"/>
  <c r="Q89" i="4"/>
  <c r="L4" i="4"/>
  <c r="Q4" i="4" s="1"/>
  <c r="M4" i="5"/>
  <c r="X4" i="5" s="1"/>
  <c r="O7" i="6"/>
  <c r="Z7" i="6" s="1"/>
  <c r="O4" i="5"/>
  <c r="M4" i="4"/>
  <c r="Q7" i="6"/>
  <c r="AK8" i="5"/>
  <c r="Z9" i="9"/>
  <c r="T8" i="10"/>
  <c r="J102" i="5"/>
  <c r="X102" i="5" s="1"/>
  <c r="D60" i="1" s="1"/>
  <c r="B10" i="15"/>
  <c r="B18" i="15" s="1"/>
  <c r="D43" i="1"/>
  <c r="Q34" i="4"/>
  <c r="D41" i="1"/>
  <c r="J99" i="5"/>
  <c r="X99" i="5" s="1"/>
  <c r="Y81" i="5"/>
  <c r="AX8" i="5"/>
  <c r="Q32" i="4"/>
  <c r="D6" i="10"/>
  <c r="E112" i="6" l="1"/>
  <c r="T5" i="10" s="1"/>
  <c r="F30" i="8"/>
  <c r="U7" i="10" s="1"/>
  <c r="AM74" i="6"/>
  <c r="AN79" i="6" s="1"/>
  <c r="F5" i="10" s="1"/>
  <c r="AZ74" i="6"/>
  <c r="BA79" i="6" s="1"/>
  <c r="H5" i="10" s="1"/>
  <c r="Z74" i="6"/>
  <c r="AA79" i="6" s="1"/>
  <c r="F110" i="6" s="1"/>
  <c r="G110" i="6" s="1"/>
  <c r="H110" i="6" s="1"/>
  <c r="Y76" i="5"/>
  <c r="J98" i="5" s="1"/>
  <c r="E17" i="9"/>
  <c r="AK71" i="5"/>
  <c r="AL76" i="5" s="1"/>
  <c r="K98" i="5" s="1"/>
  <c r="AX71" i="5"/>
  <c r="AY76" i="5" s="1"/>
  <c r="L98" i="5" s="1"/>
  <c r="R70" i="4"/>
  <c r="D57" i="1"/>
  <c r="AK99" i="5"/>
  <c r="G112" i="6" l="1"/>
  <c r="E21" i="9"/>
  <c r="U8" i="10" s="1"/>
  <c r="D7" i="1"/>
  <c r="D50" i="1" s="1"/>
  <c r="D5" i="10"/>
  <c r="R80" i="4"/>
  <c r="R83" i="4" s="1"/>
  <c r="Q87" i="4"/>
  <c r="Q94" i="4" s="1"/>
  <c r="X98" i="5"/>
  <c r="I110" i="6" l="1"/>
  <c r="U5" i="10"/>
  <c r="U9" i="10" s="1"/>
  <c r="Q100" i="4"/>
  <c r="Q96" i="4"/>
  <c r="X104" i="5"/>
  <c r="D55" i="1"/>
  <c r="AJ98" i="5"/>
  <c r="W98" i="5" s="1"/>
  <c r="W104" i="5" s="1"/>
  <c r="V6" i="10" l="1"/>
  <c r="V7" i="10"/>
  <c r="V8" i="10"/>
  <c r="V5" i="10"/>
  <c r="D62" i="1"/>
  <c r="X110" i="5"/>
  <c r="AX104" i="5"/>
  <c r="AK104" i="5"/>
  <c r="W110" i="5"/>
  <c r="X105" i="5"/>
  <c r="D63" i="1" l="1"/>
  <c r="AK105" i="5"/>
  <c r="AK106" i="5" s="1"/>
  <c r="AK107" i="5" s="1"/>
  <c r="X106" i="5"/>
  <c r="D64" i="1" s="1"/>
  <c r="AA12" i="8" l="1"/>
  <c r="E28" i="8" l="1"/>
  <c r="E30" i="8" l="1"/>
  <c r="T7" i="10" s="1"/>
  <c r="T9" i="10" s="1"/>
  <c r="U10" i="10" s="1"/>
  <c r="U11" i="10" s="1"/>
  <c r="U12" i="10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Autoría desconocida</author>
  </authors>
  <commentList>
    <comment ref="H5" authorId="0" shapeId="0" xr:uid="{00000000-0006-0000-0300-000001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Cantidad</t>
        </r>
      </text>
    </comment>
    <comment ref="H6" authorId="0" shapeId="0" xr:uid="{00000000-0006-0000-0300-000002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Cantidad</t>
        </r>
      </text>
    </comment>
    <comment ref="H68" authorId="0" shapeId="0" xr:uid="{00000000-0006-0000-0300-000003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Por noche</t>
        </r>
      </text>
    </comment>
    <comment ref="H69" authorId="0" shapeId="0" xr:uid="{00000000-0006-0000-0300-000004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Por vuelo</t>
        </r>
      </text>
    </comment>
    <comment ref="H71" authorId="0" shapeId="0" xr:uid="{00000000-0006-0000-0300-000005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 xml:space="preserve">Cantidad de Equipos principales o partes Principales
</t>
        </r>
      </text>
    </comment>
    <comment ref="I71" authorId="0" shapeId="0" xr:uid="{00000000-0006-0000-0300-00000B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 xml:space="preserve">Número de años
</t>
        </r>
      </text>
    </comment>
    <comment ref="H72" authorId="0" shapeId="0" xr:uid="{00000000-0006-0000-0300-000006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En Horas</t>
        </r>
      </text>
    </comment>
    <comment ref="H73" authorId="0" shapeId="0" xr:uid="{00000000-0006-0000-0300-000007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En Horas</t>
        </r>
      </text>
    </comment>
    <comment ref="H74" authorId="0" shapeId="0" xr:uid="{00000000-0006-0000-0300-000008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Número de ventanas</t>
        </r>
      </text>
    </comment>
    <comment ref="I74" authorId="0" shapeId="0" xr:uid="{00000000-0006-0000-0300-00000C000000}">
      <text>
        <r>
          <rPr>
            <sz val="10"/>
            <rFont val="Arial"/>
            <family val="2"/>
          </rPr>
          <t xml:space="preserve">En de Horas por cada mantenimiento
</t>
        </r>
        <r>
          <rPr>
            <b/>
            <sz val="9"/>
            <color rgb="FF000000"/>
            <rFont val="Tahoma"/>
            <family val="2"/>
            <charset val="1"/>
          </rPr>
          <t xml:space="preserve">
</t>
        </r>
      </text>
    </comment>
    <comment ref="H75" authorId="0" shapeId="0" xr:uid="{00000000-0006-0000-0300-000009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Cantidad, basada en $20</t>
        </r>
      </text>
    </comment>
    <comment ref="H76" authorId="0" shapeId="0" xr:uid="{00000000-0006-0000-0300-00000A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En Horas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Autoría desconocida</author>
  </authors>
  <commentList>
    <comment ref="K70" authorId="0" shapeId="0" xr:uid="{00000000-0006-0000-0400-00000E000000}">
      <text>
        <r>
          <rPr>
            <sz val="10"/>
            <rFont val="Arial"/>
            <family val="2"/>
          </rPr>
          <t xml:space="preserve">Santiago Iza:
</t>
        </r>
        <r>
          <rPr>
            <sz val="9"/>
            <color rgb="FF000000"/>
            <rFont val="Tahoma"/>
            <family val="2"/>
            <charset val="1"/>
          </rPr>
          <t xml:space="preserve">AUTOMATICO
Horas de preparación de Material Transferencia
</t>
        </r>
      </text>
    </comment>
    <comment ref="H74" authorId="0" shapeId="0" xr:uid="{00000000-0006-0000-0400-000004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Por noche</t>
        </r>
      </text>
    </comment>
    <comment ref="H75" authorId="0" shapeId="0" xr:uid="{00000000-0006-0000-0400-000005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Por vuelo</t>
        </r>
      </text>
    </comment>
    <comment ref="J76" authorId="0" shapeId="0" xr:uid="{00000000-0006-0000-0400-00000D000000}">
      <text>
        <r>
          <rPr>
            <sz val="10"/>
            <rFont val="Arial"/>
            <family val="2"/>
          </rPr>
          <t xml:space="preserve">Navas Gallardo, Mauricio:
</t>
        </r>
        <r>
          <rPr>
            <sz val="9"/>
            <color rgb="FF000000"/>
            <rFont val="Tahoma"/>
            <family val="2"/>
            <charset val="1"/>
          </rPr>
          <t>número de días</t>
        </r>
      </text>
    </comment>
    <comment ref="K76" authorId="0" shapeId="0" xr:uid="{00000000-0006-0000-0400-00000F000000}">
      <text>
        <r>
          <rPr>
            <sz val="10"/>
            <rFont val="Arial"/>
            <family val="2"/>
          </rPr>
          <t xml:space="preserve">Navas Gallardo, Mauricio:
</t>
        </r>
        <r>
          <rPr>
            <sz val="9"/>
            <color rgb="FF000000"/>
            <rFont val="Tahoma"/>
            <family val="2"/>
            <charset val="1"/>
          </rPr>
          <t xml:space="preserve">cantidad de personas
</t>
        </r>
      </text>
    </comment>
    <comment ref="D77" authorId="0" shapeId="0" xr:uid="{00000000-0006-0000-0400-000001000000}">
      <text>
        <r>
          <rPr>
            <sz val="10"/>
            <rFont val="Arial"/>
            <family val="2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Mantenimientos cotizador con N2</t>
        </r>
      </text>
    </comment>
    <comment ref="H77" authorId="0" shapeId="0" xr:uid="{00000000-0006-0000-0400-000006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 xml:space="preserve">Cantidad de Equipos principales o partes Principales
</t>
        </r>
      </text>
    </comment>
    <comment ref="I77" authorId="0" shapeId="0" xr:uid="{00000000-0006-0000-0400-00000B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 xml:space="preserve">Número de años
</t>
        </r>
      </text>
    </comment>
    <comment ref="H78" authorId="0" shapeId="0" xr:uid="{00000000-0006-0000-0400-000007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En Horas</t>
        </r>
      </text>
    </comment>
    <comment ref="D79" authorId="0" shapeId="0" xr:uid="{00000000-0006-0000-0400-000002000000}">
      <text>
        <r>
          <rPr>
            <sz val="10"/>
            <rFont val="Arial"/>
            <family val="2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Mantenimientos cotizador con N2</t>
        </r>
      </text>
    </comment>
    <comment ref="H79" authorId="0" shapeId="0" xr:uid="{00000000-0006-0000-0400-000008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En Horas</t>
        </r>
      </text>
    </comment>
    <comment ref="D80" authorId="0" shapeId="0" xr:uid="{00000000-0006-0000-0400-000003000000}">
      <text>
        <r>
          <rPr>
            <sz val="10"/>
            <rFont val="Arial"/>
            <family val="2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Mantenimientos cotizador con N2</t>
        </r>
      </text>
    </comment>
    <comment ref="H80" authorId="0" shapeId="0" xr:uid="{00000000-0006-0000-0400-000009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Número de ventanas</t>
        </r>
      </text>
    </comment>
    <comment ref="I80" authorId="0" shapeId="0" xr:uid="{00000000-0006-0000-0400-00000C000000}">
      <text>
        <r>
          <rPr>
            <sz val="10"/>
            <rFont val="Arial"/>
            <family val="2"/>
          </rPr>
          <t xml:space="preserve">En de Horas por cada mantenimiento
</t>
        </r>
        <r>
          <rPr>
            <b/>
            <sz val="9"/>
            <color rgb="FF000000"/>
            <rFont val="Tahoma"/>
            <family val="2"/>
            <charset val="1"/>
          </rPr>
          <t xml:space="preserve">
</t>
        </r>
      </text>
    </comment>
    <comment ref="H82" authorId="0" shapeId="0" xr:uid="{00000000-0006-0000-0400-00000A000000}">
      <text>
        <r>
          <rPr>
            <sz val="10"/>
            <rFont val="Arial"/>
            <family val="2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Solicitar Valor en dólares a PHW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Autoría desconocida</author>
  </authors>
  <commentList>
    <comment ref="M73" authorId="0" shapeId="0" xr:uid="{00000000-0006-0000-0500-000005000000}">
      <text>
        <r>
          <rPr>
            <sz val="10"/>
            <rFont val="Arial"/>
            <family val="2"/>
          </rPr>
          <t xml:space="preserve">Santiago Iza:
</t>
        </r>
        <r>
          <rPr>
            <sz val="9"/>
            <color rgb="FF000000"/>
            <rFont val="Tahoma"/>
            <family val="2"/>
            <charset val="1"/>
          </rPr>
          <t xml:space="preserve">AUTOMATICO
Horas de preparación de Material Transferencia
</t>
        </r>
      </text>
    </comment>
    <comment ref="J77" authorId="0" shapeId="0" xr:uid="{00000000-0006-0000-0500-000001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Por noche</t>
        </r>
      </text>
    </comment>
    <comment ref="J78" authorId="0" shapeId="0" xr:uid="{00000000-0006-0000-0500-000002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Por vuelo</t>
        </r>
      </text>
    </comment>
    <comment ref="L79" authorId="0" shapeId="0" xr:uid="{00000000-0006-0000-0500-000004000000}">
      <text>
        <r>
          <rPr>
            <sz val="10"/>
            <rFont val="Arial"/>
            <family val="2"/>
          </rPr>
          <t xml:space="preserve">Navas Gallardo, Mauricio:
</t>
        </r>
        <r>
          <rPr>
            <sz val="9"/>
            <color rgb="FF000000"/>
            <rFont val="Tahoma"/>
            <family val="2"/>
            <charset val="1"/>
          </rPr>
          <t>número de días</t>
        </r>
      </text>
    </comment>
    <comment ref="M79" authorId="0" shapeId="0" xr:uid="{00000000-0006-0000-0500-000006000000}">
      <text>
        <r>
          <rPr>
            <sz val="10"/>
            <rFont val="Arial"/>
            <family val="2"/>
          </rPr>
          <t xml:space="preserve">Navas Gallardo, Mauricio:
</t>
        </r>
        <r>
          <rPr>
            <sz val="9"/>
            <color rgb="FF000000"/>
            <rFont val="Tahoma"/>
            <family val="2"/>
            <charset val="1"/>
          </rPr>
          <t xml:space="preserve">cantidad de personas
</t>
        </r>
      </text>
    </comment>
    <comment ref="J80" authorId="0" shapeId="0" xr:uid="{00000000-0006-0000-0500-000003000000}">
      <text>
        <r>
          <rPr>
            <sz val="10"/>
            <rFont val="Arial"/>
            <family val="2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Solicitar Valor en dólares a PHW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Autoría desconocida</author>
  </authors>
  <commentList>
    <comment ref="F9" authorId="0" shapeId="0" xr:uid="{00000000-0006-0000-0700-000001000000}">
      <text>
        <r>
          <rPr>
            <sz val="10"/>
            <rFont val="Arial"/>
            <family val="2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Mantenimientos cotizador con N2</t>
        </r>
      </text>
    </comment>
    <comment ref="J9" authorId="0" shapeId="0" xr:uid="{00000000-0006-0000-0700-000002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Número de ventanas</t>
        </r>
      </text>
    </comment>
    <comment ref="K9" authorId="0" shapeId="0" xr:uid="{00000000-0006-0000-0700-000006000000}">
      <text>
        <r>
          <rPr>
            <sz val="10"/>
            <rFont val="Arial"/>
            <family val="2"/>
          </rPr>
          <t xml:space="preserve">En de Horas por cada mantenimiento
</t>
        </r>
        <r>
          <rPr>
            <b/>
            <sz val="9"/>
            <color rgb="FF000000"/>
            <rFont val="Tahoma"/>
            <family val="2"/>
            <charset val="1"/>
          </rPr>
          <t xml:space="preserve">
</t>
        </r>
      </text>
    </comment>
    <comment ref="J10" authorId="0" shapeId="0" xr:uid="{00000000-0006-0000-0700-000003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Por noche</t>
        </r>
      </text>
    </comment>
    <comment ref="J11" authorId="0" shapeId="0" xr:uid="{00000000-0006-0000-0700-000004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Por vuelo</t>
        </r>
      </text>
    </comment>
    <comment ref="J13" authorId="0" shapeId="0" xr:uid="{00000000-0006-0000-0700-000005000000}">
      <text>
        <r>
          <rPr>
            <sz val="10"/>
            <rFont val="Arial"/>
            <family val="2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Solicitar Valor en dólares a PHW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Autoría desconocida</author>
  </authors>
  <commentList>
    <comment ref="G9" authorId="0" shapeId="0" xr:uid="{00000000-0006-0000-0600-000001000000}">
      <text>
        <r>
          <rPr>
            <sz val="10"/>
            <rFont val="Arial"/>
            <family val="2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Mantenimientos cotizador con N2</t>
        </r>
      </text>
    </comment>
    <comment ref="L9" authorId="0" shapeId="0" xr:uid="{00000000-0006-0000-0600-000002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 xml:space="preserve">Cantidad de Equipos principales o partes Principales
</t>
        </r>
      </text>
    </comment>
    <comment ref="M9" authorId="0" shapeId="0" xr:uid="{00000000-0006-0000-0600-000006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 xml:space="preserve">Número de años
</t>
        </r>
      </text>
    </comment>
    <comment ref="L10" authorId="0" shapeId="0" xr:uid="{00000000-0006-0000-0600-000003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Por noche</t>
        </r>
      </text>
    </comment>
    <comment ref="L11" authorId="0" shapeId="0" xr:uid="{00000000-0006-0000-0600-000004000000}">
      <text>
        <r>
          <rPr>
            <sz val="10"/>
            <rFont val="Arial"/>
            <family val="2"/>
          </rPr>
          <t xml:space="preserve">Pablo Andino:
</t>
        </r>
        <r>
          <rPr>
            <sz val="9"/>
            <color rgb="FF000000"/>
            <rFont val="Tahoma"/>
            <family val="2"/>
            <charset val="1"/>
          </rPr>
          <t>Por vuelo</t>
        </r>
      </text>
    </comment>
    <comment ref="L12" authorId="0" shapeId="0" xr:uid="{00000000-0006-0000-0600-000005000000}">
      <text>
        <r>
          <rPr>
            <sz val="10"/>
            <rFont val="Arial"/>
            <family val="2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Solicitar Valor en dólares a PHW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Autoría desconocida</author>
  </authors>
  <commentList>
    <comment ref="E9" authorId="0" shapeId="0" xr:uid="{00000000-0006-0000-0800-000001000000}">
      <text>
        <r>
          <rPr>
            <sz val="10"/>
            <rFont val="Arial"/>
            <family val="2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Mantenimientos cotizador con N2</t>
        </r>
      </text>
    </comment>
    <comment ref="I9" authorId="0" shapeId="0" xr:uid="{00000000-0006-0000-0800-000002000000}">
      <text>
        <r>
          <rPr>
            <sz val="10"/>
            <rFont val="Arial"/>
            <family val="2"/>
          </rPr>
          <t xml:space="preserve">JC Villacis:
Colocar </t>
        </r>
        <r>
          <rPr>
            <sz val="9"/>
            <color rgb="FF000000"/>
            <rFont val="Tahoma"/>
            <family val="2"/>
            <charset val="1"/>
          </rPr>
          <t>Horas Totales</t>
        </r>
      </text>
    </comment>
    <comment ref="I10" authorId="0" shapeId="0" xr:uid="{00000000-0006-0000-0800-000003000000}">
      <text>
        <r>
          <rPr>
            <sz val="10"/>
            <rFont val="Arial"/>
            <family val="2"/>
          </rPr>
          <t>[Comentario encadenado]
Su versión de Excel le permite leer este comentario encadenado; sin embargo, las ediciones que se apliquen se quitarán si el archivo se abre en una versión más reciente de Excel. Más información: https://go.microsoft.com/fwlink/?linkid=870924
Comentario:
    Solicitar Valor en dólares a PHW</t>
        </r>
      </text>
    </comment>
  </commentList>
</comments>
</file>

<file path=xl/sharedStrings.xml><?xml version="1.0" encoding="utf-8"?>
<sst xmlns="http://schemas.openxmlformats.org/spreadsheetml/2006/main" count="1126" uniqueCount="523">
  <si>
    <t>CLIENTE: MUNICIPIO DE QUITO</t>
  </si>
  <si>
    <t>PROYECTO: MANTENIMIENTO PREVENTIVO Y CORRECTIVO - VBLOCK + SOL. NAS SCALE-OUT</t>
  </si>
  <si>
    <t xml:space="preserve">AM: </t>
  </si>
  <si>
    <t>PV:  LEONARDO AGUIRRE</t>
  </si>
  <si>
    <t>Actividades</t>
  </si>
  <si>
    <t xml:space="preserve">Horas Hábiles </t>
  </si>
  <si>
    <t xml:space="preserve">Horas Extra </t>
  </si>
  <si>
    <t>Precio</t>
  </si>
  <si>
    <t>Gestión, Entregas, Movilización:</t>
  </si>
  <si>
    <t xml:space="preserve">Gestión de Proyecto </t>
  </si>
  <si>
    <t xml:space="preserve">TOTAL HORAS </t>
  </si>
  <si>
    <t>Otros:</t>
  </si>
  <si>
    <t xml:space="preserve">Total </t>
  </si>
  <si>
    <t xml:space="preserve">Ingresar el resumen </t>
  </si>
  <si>
    <t>Resumen</t>
  </si>
  <si>
    <t>Valor</t>
  </si>
  <si>
    <t>Servicios de Implementación</t>
  </si>
  <si>
    <t xml:space="preserve">Otros: </t>
  </si>
  <si>
    <t>Total</t>
  </si>
  <si>
    <t xml:space="preserve">Costo </t>
  </si>
  <si>
    <t>Rentabilidad</t>
  </si>
  <si>
    <t>Margen</t>
  </si>
  <si>
    <t xml:space="preserve">Tiempo (Días) </t>
  </si>
  <si>
    <t>Costo por hora</t>
  </si>
  <si>
    <t>MARGEN</t>
  </si>
  <si>
    <t>Salario</t>
  </si>
  <si>
    <t>Costo Emp</t>
  </si>
  <si>
    <t>%Utilizable</t>
  </si>
  <si>
    <t>Horas Lab</t>
  </si>
  <si>
    <t>Costo por hora Lab</t>
  </si>
  <si>
    <t>Costo por hora no Lab 50%</t>
  </si>
  <si>
    <t>Costo por hora no Lab 100%</t>
  </si>
  <si>
    <t>PVP hora Lab</t>
  </si>
  <si>
    <t>PVP hora no Lab 50%</t>
  </si>
  <si>
    <t>PVP hora no Lab 100%</t>
  </si>
  <si>
    <t>Nivel 1 Junior</t>
  </si>
  <si>
    <t>1800 - 2400</t>
  </si>
  <si>
    <t>Nivel 2 Intermedio</t>
  </si>
  <si>
    <t>2400 - 2850</t>
  </si>
  <si>
    <t>Nivel 3 Senior</t>
  </si>
  <si>
    <t>Nivel 4 Externo 1</t>
  </si>
  <si>
    <t>Nivel 5 Externo 2</t>
  </si>
  <si>
    <t>Gestión de Proyecto 1</t>
  </si>
  <si>
    <t>Gestión de Proyecto 2</t>
  </si>
  <si>
    <t>7pm - 11:59pm</t>
  </si>
  <si>
    <t>12am - 6am</t>
  </si>
  <si>
    <t>Entregas</t>
  </si>
  <si>
    <t>Taxi</t>
  </si>
  <si>
    <t>Cam Peq</t>
  </si>
  <si>
    <t>Cam Med</t>
  </si>
  <si>
    <t>Cam Grd</t>
  </si>
  <si>
    <t>Custodia</t>
  </si>
  <si>
    <t>Costo por hora no Lab</t>
  </si>
  <si>
    <t>PVP hora no Lab</t>
  </si>
  <si>
    <t>Detalle</t>
  </si>
  <si>
    <t>N1</t>
  </si>
  <si>
    <t>N2</t>
  </si>
  <si>
    <t>N3</t>
  </si>
  <si>
    <t>E1</t>
  </si>
  <si>
    <t>E2</t>
  </si>
  <si>
    <t>Tipo</t>
  </si>
  <si>
    <t>Horas Laborables</t>
  </si>
  <si>
    <t>Horas no Laborables</t>
  </si>
  <si>
    <t xml:space="preserve">Entrega de equipos </t>
  </si>
  <si>
    <t xml:space="preserve">Movilización </t>
  </si>
  <si>
    <t>Documentación</t>
  </si>
  <si>
    <t>Levantamiento de Información, Elaboracion de diseño y plan de implementacion</t>
  </si>
  <si>
    <t>x</t>
  </si>
  <si>
    <t xml:space="preserve">Puesta En Marcha: </t>
  </si>
  <si>
    <t xml:space="preserve">CISCO UMBRELLA </t>
  </si>
  <si>
    <t>Instalcion de Umbrella virtual servers</t>
  </si>
  <si>
    <t xml:space="preserve">Startup, configuracion de parametros basicos e integracion con la red </t>
  </si>
  <si>
    <t xml:space="preserve">Crecion de cuentas y roles en portal Umbrella </t>
  </si>
  <si>
    <t xml:space="preserve">Instalacion/activacion de licenciamiento </t>
  </si>
  <si>
    <t>Configuracion Identidades Publica, Red Interna, Users Roaming</t>
  </si>
  <si>
    <t xml:space="preserve">Integracion con AD </t>
  </si>
  <si>
    <t xml:space="preserve">Configuracion de politicas DNS </t>
  </si>
  <si>
    <t xml:space="preserve">Configuracion de politicas Inspeccion de Archivos </t>
  </si>
  <si>
    <t xml:space="preserve">Configuracion de politicas Limite de Contenido </t>
  </si>
  <si>
    <t>Configuracion de politicas Control de Aplicaciones</t>
  </si>
  <si>
    <t xml:space="preserve">Configuracion White/Blacklisting para dominios </t>
  </si>
  <si>
    <t>Configuracion Intelligent Proxy</t>
  </si>
  <si>
    <t>Configuracion SSL Decryption</t>
  </si>
  <si>
    <t>Personalizacion de pagina de bloqueo y bypass</t>
  </si>
  <si>
    <t xml:space="preserve">Aplicación de politicas en Identidades </t>
  </si>
  <si>
    <t xml:space="preserve">Reporteria </t>
  </si>
  <si>
    <t xml:space="preserve">Configuracion de logs </t>
  </si>
  <si>
    <t>Acompañamiento para instalacion de cliente en PC roaming o VPN Anyconnect</t>
  </si>
  <si>
    <t xml:space="preserve">Setup escenario Testing </t>
  </si>
  <si>
    <t>SALIDA A PRODUCCION</t>
  </si>
  <si>
    <t xml:space="preserve"> - Cambio DNS Publicos en servers DNS, FIREWALLS, Routers  (actividad en ventana de mantenimiento) </t>
  </si>
  <si>
    <t xml:space="preserve"> -  Flush DNS Cache y reinicio de interfaces de red. (actividad en ventana de mantenimiento) </t>
  </si>
  <si>
    <t xml:space="preserve">Pruebas y afinamiento </t>
  </si>
  <si>
    <t>Riesgo Proyecto</t>
  </si>
  <si>
    <t>Transferencia de Conocimientos: 8h</t>
  </si>
  <si>
    <t>Noche Provincias fuera de Pichincha y Guayas</t>
  </si>
  <si>
    <t>Vuelos Nacionales Gye, Cue, Manta, Galap</t>
  </si>
  <si>
    <t>Total Puesta En Marcha (Startup)</t>
  </si>
  <si>
    <t>Mantenimiento Correctivo (Gestión Directa SONDA en Smartnet o Carepack)</t>
  </si>
  <si>
    <t>Bolsa de Horas de Soporte N1</t>
  </si>
  <si>
    <t>Bolsa de Horas de Soporte N2 y N3</t>
  </si>
  <si>
    <t xml:space="preserve">Mantenimiento Preventivo: 1 visita anual por 3 años </t>
  </si>
  <si>
    <t>Materiales Matenimiento</t>
  </si>
  <si>
    <t>Total Mantenimiento y Soporte</t>
  </si>
  <si>
    <t>Taller</t>
  </si>
  <si>
    <t>Total Capacitación</t>
  </si>
  <si>
    <t xml:space="preserve">PVP PHW </t>
  </si>
  <si>
    <t>Relacion Serv/PHW</t>
  </si>
  <si>
    <t>HH</t>
  </si>
  <si>
    <t>HE</t>
  </si>
  <si>
    <t>Servicios de Implementaciòn</t>
  </si>
  <si>
    <t>NA</t>
  </si>
  <si>
    <t>Ingresar  valor con margen al 0%</t>
  </si>
  <si>
    <t xml:space="preserve">Estimando Cantidad de recursos, Actividades en paralelo </t>
  </si>
  <si>
    <t>NOTAS:</t>
  </si>
  <si>
    <t>PVP PHW</t>
  </si>
  <si>
    <t>Valor de la HN PHW</t>
  </si>
  <si>
    <t xml:space="preserve">Implementación de toda la infraestructura en la ciudad de Quito o Guayaquil </t>
  </si>
  <si>
    <t>RelacionSer/Phw</t>
  </si>
  <si>
    <t>No debe superar 30%</t>
  </si>
  <si>
    <t>El cliente debe proporcionar el espacio físico/virtual/racks para la instalación de los equipos</t>
  </si>
  <si>
    <t>El cliente debe contar con contrato de servicios y/o garantia del fabricante durante la implementacion del proyecto.</t>
  </si>
  <si>
    <t>No incluye PDUs. El cliente debe proporcionar las tomas electricas necesarias para energizar los equipos ofertados</t>
  </si>
  <si>
    <t>No incluye trabajos eléctricos para energizar los equipos</t>
  </si>
  <si>
    <t>No incluye cableado de red cobre/fibra para la conexión de los equipos ofertados a la red del cliente</t>
  </si>
  <si>
    <t>No incluye actualizaciones de software a equipos actuales del cliente</t>
  </si>
  <si>
    <t>No incluye adecuaciones civiles</t>
  </si>
  <si>
    <t>No incluye actualizaciones ni reconfiguraciones en equipos actuales del cliente</t>
  </si>
  <si>
    <t>No incluye servicios avanzados del fabricante</t>
  </si>
  <si>
    <t>No incluye otro servicio que no se encuentre detallado en la propuesta</t>
  </si>
  <si>
    <t>HORAS LABORABLES</t>
  </si>
  <si>
    <t>HORAS NO LABORABLES - 50%</t>
  </si>
  <si>
    <t>HORAS NO LABORABLES - 100%</t>
  </si>
  <si>
    <t>Horas no Laborables 50%</t>
  </si>
  <si>
    <t>Horas no Laborables 100%</t>
  </si>
  <si>
    <t>Costo</t>
  </si>
  <si>
    <t>Costo Total</t>
  </si>
  <si>
    <t>SI($B$4="Gestión de Proyecto 1";M4;O4)</t>
  </si>
  <si>
    <t xml:space="preserve">Configuración </t>
  </si>
  <si>
    <t xml:space="preserve">Configuración de Políticas </t>
  </si>
  <si>
    <t>movilización mantenimiento correctivo horas laboradas</t>
  </si>
  <si>
    <t>Movilización Implementación horas laboradas</t>
  </si>
  <si>
    <t>movilización mantenimiento correctivo horas no  laboradas</t>
  </si>
  <si>
    <t>Movilización Implementación horas  no laboradas</t>
  </si>
  <si>
    <t>movilización mantenimiento preventivo horas laboradas</t>
  </si>
  <si>
    <t>movilización mantenimiento preventivo horas no  laboradas</t>
  </si>
  <si>
    <t>Movilización Bolsa horas de soporte horas laboradas</t>
  </si>
  <si>
    <t>Movilización Bolsa horas de soporte horas  no laboradas</t>
  </si>
  <si>
    <t>Transferencia de conocimiento (24 Horas)</t>
  </si>
  <si>
    <t>Breaks - Capacitaciones - Talleres</t>
  </si>
  <si>
    <t>Bolsa de Horas de Soporte</t>
  </si>
  <si>
    <t xml:space="preserve">Mantenimiento Preventivo: </t>
  </si>
  <si>
    <t>Materiales Mantenimiento</t>
  </si>
  <si>
    <t>PSS (Valor en dólares)</t>
  </si>
  <si>
    <t>Casos</t>
  </si>
  <si>
    <t>Transporte</t>
  </si>
  <si>
    <t>CosVac</t>
  </si>
  <si>
    <t>costo N2</t>
  </si>
  <si>
    <t>Costo Viajes fuera</t>
  </si>
  <si>
    <t>margen</t>
  </si>
  <si>
    <t>Precio MC</t>
  </si>
  <si>
    <t>Mantenimiento correctivo 7x24</t>
  </si>
  <si>
    <t>Mantenimiento correctivo 8x5</t>
  </si>
  <si>
    <t>Viaje para Tarapoa</t>
  </si>
  <si>
    <t>Vacunación personal para Tarapoa (FA + Hep A y B + DTT</t>
  </si>
  <si>
    <t>Desgloce gestión de servicio</t>
  </si>
  <si>
    <t>Apoyo Proveedor externo</t>
  </si>
  <si>
    <t>costo</t>
  </si>
  <si>
    <t>precio</t>
  </si>
  <si>
    <t>Gestión de servicio (36 meses) 8 x 5</t>
  </si>
  <si>
    <t>Implemnetacion</t>
  </si>
  <si>
    <t>Apoyo mantenimiento preventivo</t>
  </si>
  <si>
    <t>Correctivos</t>
  </si>
  <si>
    <t>Movilización correctivo</t>
  </si>
  <si>
    <t>Preventivos</t>
  </si>
  <si>
    <t>Epps</t>
  </si>
  <si>
    <t>Tornillos y binchas</t>
  </si>
  <si>
    <t>Etiquetas</t>
  </si>
  <si>
    <t>HE - 50%</t>
  </si>
  <si>
    <t>HE - 100%</t>
  </si>
  <si>
    <t>RESUMEN</t>
  </si>
  <si>
    <t>COSTO</t>
  </si>
  <si>
    <t>PRECIO</t>
  </si>
  <si>
    <t>Servicios de Implementación + Transferencia de conocimiento</t>
  </si>
  <si>
    <t>Mantenimiento preventivo anual por 5 años</t>
  </si>
  <si>
    <t>Mantenimiento correctivo x 5 años</t>
  </si>
  <si>
    <t>Bolsa horas de soporte /30)</t>
  </si>
  <si>
    <t>El cliente debe contar con contrato de servicios y/o garantía del fabricante durante la implementación del proyecto.</t>
  </si>
  <si>
    <t>Hora</t>
  </si>
  <si>
    <t>No incluye PDUs. El cliente debe proporcionar las tomas eléctricas necesarias para energizar los equipos ofertados</t>
  </si>
  <si>
    <t>blades</t>
  </si>
  <si>
    <t>chasis ucs-x</t>
  </si>
  <si>
    <t>fabric</t>
  </si>
  <si>
    <t>vmware</t>
  </si>
  <si>
    <t>intersight</t>
  </si>
  <si>
    <t>Fiebrre amarilla (lo coloca solo el MSP)</t>
  </si>
  <si>
    <t>Hepatitis a y b</t>
  </si>
  <si>
    <t>Tetanso (DTT) - Difteria, Tetanos y Tosferina</t>
  </si>
  <si>
    <t>Tifoidea</t>
  </si>
  <si>
    <t>casco</t>
  </si>
  <si>
    <t>chaleco</t>
  </si>
  <si>
    <t>botas</t>
  </si>
  <si>
    <t>TOTAL</t>
  </si>
  <si>
    <t>OTROS:</t>
  </si>
  <si>
    <t>VIATICOS</t>
  </si>
  <si>
    <t>Ciudad</t>
  </si>
  <si>
    <t>Horario (8x5 / 7x24)</t>
  </si>
  <si>
    <t>Fisico / Logico</t>
  </si>
  <si>
    <t>Precio Bus (ida y vuelta)</t>
  </si>
  <si>
    <t>Tulcan</t>
  </si>
  <si>
    <t>Nueva Loja</t>
  </si>
  <si>
    <t>Quininde</t>
  </si>
  <si>
    <t>Esmeraldas</t>
  </si>
  <si>
    <t>Orellana</t>
  </si>
  <si>
    <t>La Maná</t>
  </si>
  <si>
    <t>Baños</t>
  </si>
  <si>
    <t>Puyo</t>
  </si>
  <si>
    <t>Riobamba</t>
  </si>
  <si>
    <t>Ambato</t>
  </si>
  <si>
    <t>Latacunga</t>
  </si>
  <si>
    <t>Jipijapa</t>
  </si>
  <si>
    <t>Bahia de Caraquez</t>
  </si>
  <si>
    <t>Pedernales</t>
  </si>
  <si>
    <t>Loja</t>
  </si>
  <si>
    <t>El Carmen</t>
  </si>
  <si>
    <t>Portoviejo</t>
  </si>
  <si>
    <t>Santo Domingo</t>
  </si>
  <si>
    <t>Quevedo</t>
  </si>
  <si>
    <t>La libertad</t>
  </si>
  <si>
    <t>Chone</t>
  </si>
  <si>
    <t>Guaranda</t>
  </si>
  <si>
    <t>San Cristobal</t>
  </si>
  <si>
    <t>La Troncal</t>
  </si>
  <si>
    <t>Macas</t>
  </si>
  <si>
    <t>Cuenca</t>
  </si>
  <si>
    <t>Piñas</t>
  </si>
  <si>
    <t>Santa Rosa</t>
  </si>
  <si>
    <t>Machala</t>
  </si>
  <si>
    <t>Huaquillas</t>
  </si>
  <si>
    <t>Zamora</t>
  </si>
  <si>
    <t>Cariamanga</t>
  </si>
  <si>
    <t>Milagro</t>
  </si>
  <si>
    <t>Azoguez</t>
  </si>
  <si>
    <t>Cayambe</t>
  </si>
  <si>
    <t>Crucita</t>
  </si>
  <si>
    <t>Yantzaza</t>
  </si>
  <si>
    <t>Ibarra</t>
  </si>
  <si>
    <t>Tena</t>
  </si>
  <si>
    <t>Manta</t>
  </si>
  <si>
    <t>Babahoyo</t>
  </si>
  <si>
    <t>La Concordia</t>
  </si>
  <si>
    <t>NRO.</t>
  </si>
  <si>
    <t>LUGAR</t>
  </si>
  <si>
    <t>CIUDAD</t>
  </si>
  <si>
    <t>DIRECCIÓN</t>
  </si>
  <si>
    <t>CANT.</t>
  </si>
  <si>
    <t>TIPO</t>
  </si>
  <si>
    <t>Tulcán</t>
  </si>
  <si>
    <t>Tulcán: Av. Coral entre Panamá y Venezuela</t>
  </si>
  <si>
    <t>Tipo 3</t>
  </si>
  <si>
    <t>Nueva Loja: Eloy Alfaro 908 entre Progreso y Av. del Chofer</t>
  </si>
  <si>
    <t>Nueva Loja: Circunvalación Aguarico y Gustavo Andrade</t>
  </si>
  <si>
    <t>Quinindé</t>
  </si>
  <si>
    <t xml:space="preserve">Quinindé: Municipio de Quinindé, 24 de Mayo y Maclovio Velasco (Dpto. de Registro de la Propiedad) </t>
  </si>
  <si>
    <t>Esmeraldas: Vía al Puerto Pesquero s/n Sector las Palmas, Zona Franca Edificio del C.A.C.</t>
  </si>
  <si>
    <t>Orellana: Av. 9 de Octubre y Putumayo</t>
  </si>
  <si>
    <t>La Maná: Calle Gonzalo Albarracín y San Pablo, Junto a Comercial Adrián</t>
  </si>
  <si>
    <t>Baños: Montalvo y Eloy Alfaro</t>
  </si>
  <si>
    <t>Puyo: Ceslao Marín y 9 de Octubre (esq.)</t>
  </si>
  <si>
    <t>Riobamba: Primera Constituyente s/n y Espejo (esq.)</t>
  </si>
  <si>
    <t>Riobamba - Ag. CAT</t>
  </si>
  <si>
    <t>Riobamba: Av. Antonio Santillán y Av. Circunvalación frente a Hormigones Moreno</t>
  </si>
  <si>
    <t>Ambato - Ag. Sur</t>
  </si>
  <si>
    <t>Ambato: Av. Manuelita Sáenz y Vigo (esq.)</t>
  </si>
  <si>
    <t>Latacunga: Sánchez de Orellana y Padre Salcedo 15–68</t>
  </si>
  <si>
    <t>Jipijapa: Av. Alejo Lascano Km 1 vía Puerto Cayo, Edificio del Registro Civil.</t>
  </si>
  <si>
    <t xml:space="preserve">Bahía de Caráquez </t>
  </si>
  <si>
    <t>Bahía de Caráquez, Malecón Alberto F. Santos, barrio Astillero, junto a C.C. Paseo Shopping</t>
  </si>
  <si>
    <t>Pedernales: Terminal Terrestre (oficinas) María Luisa II Etapa, Calle E Transversal 1 y 2</t>
  </si>
  <si>
    <t>Loja - Ag. Loja Bodega</t>
  </si>
  <si>
    <t>Loja: Francisco Lecaro Y Manuel Cano Madrid, Parroquia El Valle</t>
  </si>
  <si>
    <t xml:space="preserve">El Carmen: Salustio Giler entre Carlos Alberto Aray y 4 de Diciembre, frente a Créditos Romario. </t>
  </si>
  <si>
    <t>Portoviejo - Ag. CAC</t>
  </si>
  <si>
    <t>Portoviejo: Vía Santa Ana – Av. 15 de Abril, Calle los Nardos detrás del ECU 911</t>
  </si>
  <si>
    <t>Santo Domingo: Av. Quito 1486 y Los Naranjos</t>
  </si>
  <si>
    <t>Quevedo: Calle Bolívar y Cuarta, esquina</t>
  </si>
  <si>
    <t>La Libertad</t>
  </si>
  <si>
    <t>La Libertad: Av. 9 de Octubre y J. Robles</t>
  </si>
  <si>
    <t>Chone: Calles 7 de Agosto y Colón (esq.)</t>
  </si>
  <si>
    <t>Santa Cruz</t>
  </si>
  <si>
    <t xml:space="preserve">Galápagos Santa Cruz: Puerto Ayora, Barrio las Acacias, Calle: San Cristóbal # 064 Intersección: Gral. Rodríguez Lara </t>
  </si>
  <si>
    <t>Guaranda: 7 de Mayo s/n y García Moreno (esq.)</t>
  </si>
  <si>
    <t>San Cristóbal</t>
  </si>
  <si>
    <t>Galápagos, San Cristóbal, Puerto Baquerizo Moreno. Av. Alsacia Northia y Manuel J. Cobos, entre Manuel J. Cobos y 12 de Febrero</t>
  </si>
  <si>
    <t>La Troncal: Héroes de Verdeloma y Av. 25 de Agosto</t>
  </si>
  <si>
    <t>Macas: Av. 24 de Mayo y Gabino Rivadeneira</t>
  </si>
  <si>
    <t>Cuenca - Ag. El Salado</t>
  </si>
  <si>
    <t>Cuenca: El Salado, Av. Don Bosco Ex ANT</t>
  </si>
  <si>
    <t>Piñas: Av. Independencia 3204 y Quito</t>
  </si>
  <si>
    <t>Santa Rosa: Colón entre Av. El Oro y 30 de Agosto</t>
  </si>
  <si>
    <t>Machala - Ag. Machala Bodega</t>
  </si>
  <si>
    <t>Machala: Av. 25 de Junio Km. 1.5 Vía a Pasaje, bodegas de Macrolote, junto a la Gasolinera Terpel</t>
  </si>
  <si>
    <t>Huaquillas: Av. República y Sucre – Edificio Cnel</t>
  </si>
  <si>
    <t>Zamora: Av. del Ejército y José Orellana esquina</t>
  </si>
  <si>
    <t>Cariamanga: Velazco Ibarra 01-14 y 18 de Noviembre</t>
  </si>
  <si>
    <t>Machala: Av. 25 de Junio Km. 1.5 Vía a Pasaje</t>
  </si>
  <si>
    <t>Guayaquil - Ag. Mogul</t>
  </si>
  <si>
    <t>Guayaquil</t>
  </si>
  <si>
    <t>Mogul: Av. Juan Tanca Marengo, Km 31/2 Sector 66 Manzana 118 Solar 6</t>
  </si>
  <si>
    <t>Agencia Milagro: Plataforma Zonal Milagro, Av. Cristóbal Colón y Av. 17 de Septiembre (esq. - km 26 vía Milagro)</t>
  </si>
  <si>
    <t>Guayaquil - Ag. Barrio Centenario</t>
  </si>
  <si>
    <t>Guayaquil: Agencia Sur, Barrio Centenario, Av. Rosa Borja de Icaza y Chambres</t>
  </si>
  <si>
    <t>Guayaquil - Agencia Centro</t>
  </si>
  <si>
    <t>Guayaquil: Agencia Centro, Av. 9 de Octubre y Pichincha</t>
  </si>
  <si>
    <t>Azogues</t>
  </si>
  <si>
    <t>Azogues: Serrano 7–14 entre Matovelle y Malo</t>
  </si>
  <si>
    <t>Guayaquil - Centro de Cómputo ISRA</t>
  </si>
  <si>
    <t>Guayaquil: Edif. World Trade Center Av. Francisco de Orellana y Justino Cornejo</t>
  </si>
  <si>
    <t>Tipo 1</t>
  </si>
  <si>
    <t>Guayaquil - Centro de Cómputo ISRB</t>
  </si>
  <si>
    <t>Cayambe C.C. Napoles Shooping</t>
  </si>
  <si>
    <t>Cayambe: Panamericana Norte Km 0.5 Nápoles CC Nápoles Shooping</t>
  </si>
  <si>
    <t xml:space="preserve">Quito - Ag. Tumbaco </t>
  </si>
  <si>
    <t>Quito</t>
  </si>
  <si>
    <t>Tumbaco: Av. Interoceánica y Gaspar de Carvajal</t>
  </si>
  <si>
    <t>Quito - Ag. Calderón</t>
  </si>
  <si>
    <t>Quito: Calderón</t>
  </si>
  <si>
    <t>Portoviejo: Calle Ferroviaria entre Autopista Manabí Guillen y Av. 5 de Junio, frente a Urb. Fuentes del Río</t>
  </si>
  <si>
    <t>Quito - Ag. Sangolquí</t>
  </si>
  <si>
    <t>San Rafael: Av. Gral. Rumiñahui y sexta Transversal</t>
  </si>
  <si>
    <t>Yanzatza: Av. Zamora entre Armando Arias y Primero de Mayo</t>
  </si>
  <si>
    <t>Quito - Páez ISRA</t>
  </si>
  <si>
    <t>Páez y Ramírez Dávalos</t>
  </si>
  <si>
    <t>Quito - Páez ISRB</t>
  </si>
  <si>
    <t>Quito - Agencia Norte</t>
  </si>
  <si>
    <t>Quito: 10 de Agosto y Luis Tufiño</t>
  </si>
  <si>
    <t>Quito - Agencia Amazonas</t>
  </si>
  <si>
    <t>Quito: Amazonas y Roca</t>
  </si>
  <si>
    <t>Quito - Agencia Salinas</t>
  </si>
  <si>
    <t>Quito: Salinas y Santiago</t>
  </si>
  <si>
    <t>Tipo 2</t>
  </si>
  <si>
    <t>Ibarra: Flores 659 entre Bolívar y Sucre</t>
  </si>
  <si>
    <t>Tena: Av. 15 de Noviembre y Díaz de Pineda</t>
  </si>
  <si>
    <t>Ambato: Bolívar 1560 entre Martínez y Lalama</t>
  </si>
  <si>
    <t>Cuenca: Av. Remigio Crespo 5–28 y Lorenzo Piedra</t>
  </si>
  <si>
    <t>Manta: Av. Circunvalación, tramo I y calle 22, frente al Hotel Mar Azul.</t>
  </si>
  <si>
    <t xml:space="preserve">Loja </t>
  </si>
  <si>
    <t>Loja: Bernardo Valdivieso 08–54 entre Rocafuerte y 10 de Agosto</t>
  </si>
  <si>
    <t>Babahoyo: Av. Enrique Ponce Luque y Bypass</t>
  </si>
  <si>
    <t>La Concordia: Parador Turístico Paralelo 0, en la entrada al cantón Av. E-1 Simón Plata Torres y Av. S20-Wálter Ocampo Heras, aledaña a la Gasolinera Petrocomercial</t>
  </si>
  <si>
    <t>Cantidad (Horas)</t>
  </si>
  <si>
    <t>Pool de horas de soporte especializado</t>
  </si>
  <si>
    <t>Fabricantes y tecnologías cubiertas:</t>
  </si>
  <si>
    <t>HP</t>
  </si>
  <si>
    <t>Vmware</t>
  </si>
  <si>
    <t>Cisco</t>
  </si>
  <si>
    <t>EMC</t>
  </si>
  <si>
    <t>Otros</t>
  </si>
  <si>
    <t>Servidores</t>
  </si>
  <si>
    <t>ESXi</t>
  </si>
  <si>
    <t>Routing</t>
  </si>
  <si>
    <t>VNXe</t>
  </si>
  <si>
    <t>Veeam</t>
  </si>
  <si>
    <t>Chasis</t>
  </si>
  <si>
    <t>Vcenter</t>
  </si>
  <si>
    <t>Switching</t>
  </si>
  <si>
    <t>VNX</t>
  </si>
  <si>
    <t>Microsoft</t>
  </si>
  <si>
    <t>Almacenamiento</t>
  </si>
  <si>
    <t>VDI</t>
  </si>
  <si>
    <t>Seguridad</t>
  </si>
  <si>
    <t>DataDomain</t>
  </si>
  <si>
    <t>RedHat</t>
  </si>
  <si>
    <t>Librerías</t>
  </si>
  <si>
    <t>Nexus</t>
  </si>
  <si>
    <t>Networker</t>
  </si>
  <si>
    <t>Windows Serv</t>
  </si>
  <si>
    <t>StoreOnce</t>
  </si>
  <si>
    <t>Colaboración</t>
  </si>
  <si>
    <t>Exchange</t>
  </si>
  <si>
    <t>Data Protector</t>
  </si>
  <si>
    <t>Firewalls</t>
  </si>
  <si>
    <t>Domain Ctrlr</t>
  </si>
  <si>
    <t>ISE</t>
  </si>
  <si>
    <t>ACS, NAC</t>
  </si>
  <si>
    <t>Data Center</t>
  </si>
  <si>
    <t>IPSs</t>
  </si>
  <si>
    <t>Wireless</t>
  </si>
  <si>
    <t>*Cada hora se contabiliza transcurridos 15 minutos de atención.
*Fuera de horario laborable se considera 1,5 horas por cada hora de atención.
*Para atención en sitio se considera mínimo 2 horas por cada caso.</t>
  </si>
  <si>
    <t>meses</t>
  </si>
  <si>
    <t xml:space="preserve">%Participacion </t>
  </si>
  <si>
    <t>sueldo</t>
  </si>
  <si>
    <t>costo empresa</t>
  </si>
  <si>
    <t>total en tiempo</t>
  </si>
  <si>
    <t>Ing N3</t>
  </si>
  <si>
    <t>Ing N2</t>
  </si>
  <si>
    <t>Ing N1</t>
  </si>
  <si>
    <t>PM</t>
  </si>
  <si>
    <t>Movilizacion</t>
  </si>
  <si>
    <t>Entrega</t>
  </si>
  <si>
    <t xml:space="preserve">Otros </t>
  </si>
  <si>
    <t>Total Servicios</t>
  </si>
  <si>
    <t>Mant prevent</t>
  </si>
  <si>
    <t>3x3años</t>
  </si>
  <si>
    <t xml:space="preserve">Bolsa horas </t>
  </si>
  <si>
    <t>30hx30 años</t>
  </si>
  <si>
    <t xml:space="preserve">Taller </t>
  </si>
  <si>
    <t>otros</t>
  </si>
  <si>
    <t>PVP</t>
  </si>
  <si>
    <t>CLIENTE: SANTOS CMI</t>
  </si>
  <si>
    <t>PROYECTO: Mantenimiento Preventivo</t>
  </si>
  <si>
    <t>AM: Verónica Mena</t>
  </si>
  <si>
    <t>PV: HP</t>
  </si>
  <si>
    <t>GESTION DE SERVICIO</t>
  </si>
  <si>
    <t>% ocupacion</t>
  </si>
  <si>
    <t>Implementación</t>
  </si>
  <si>
    <t>Seguridad de la Información</t>
  </si>
  <si>
    <t>Infraestructura y Redes</t>
  </si>
  <si>
    <t>Numero de Equipos</t>
  </si>
  <si>
    <t xml:space="preserve">Detalle </t>
  </si>
  <si>
    <t>Listado de Equipos</t>
  </si>
  <si>
    <t>Routers</t>
  </si>
  <si>
    <t>Switches</t>
  </si>
  <si>
    <t>Access Points</t>
  </si>
  <si>
    <t>Servidor blades</t>
  </si>
  <si>
    <t>Horas</t>
  </si>
  <si>
    <t>Meses</t>
  </si>
  <si>
    <t>IMPLEMENTACIÓN</t>
  </si>
  <si>
    <t>MANTENIMIENTO CORRECTIVO</t>
  </si>
  <si>
    <t>MANTENIMIENTO PREVENTIVO</t>
  </si>
  <si>
    <t>BOLSA DE HORAS</t>
  </si>
  <si>
    <t>RESUMEN DEL PROYECTO</t>
  </si>
  <si>
    <t>Valor Porcentual</t>
  </si>
  <si>
    <t>No seleccionado</t>
  </si>
  <si>
    <t>HORAS LABORABLES-50%</t>
  </si>
  <si>
    <t>Total 100%</t>
  </si>
  <si>
    <t>Total 50%</t>
  </si>
  <si>
    <t>Costo HH</t>
  </si>
  <si>
    <t>Costo HE 50%</t>
  </si>
  <si>
    <t>Costo HE 100%</t>
  </si>
  <si>
    <t>Adicionales</t>
  </si>
  <si>
    <t>Servicio Gestion</t>
  </si>
  <si>
    <t>Costo Adicionales</t>
  </si>
  <si>
    <t>Costo Gestion</t>
  </si>
  <si>
    <t>Adicionales (Prov Externo, EPPs, etc)</t>
  </si>
  <si>
    <t>Servicios de Implementación + Transferencia de conocimientos</t>
  </si>
  <si>
    <t>Utilidad</t>
  </si>
  <si>
    <t>Margen real</t>
  </si>
  <si>
    <t>Precio Final</t>
  </si>
  <si>
    <t>TOTAL APOYO PROVEEDOR EXTERNO</t>
  </si>
  <si>
    <t>Vacunas</t>
  </si>
  <si>
    <t>TOTAL IMPLEMENTACIÓN</t>
  </si>
  <si>
    <t>RESUMEN IMPLEMENTACIÓN</t>
  </si>
  <si>
    <t>EPPs</t>
  </si>
  <si>
    <t>por cada paquete de 12</t>
  </si>
  <si>
    <t>por cada cinta</t>
  </si>
  <si>
    <t>por cada persona</t>
  </si>
  <si>
    <t>NO aplica</t>
  </si>
  <si>
    <t>Movilización Extra Depende Proyecto</t>
  </si>
  <si>
    <t># Viajes</t>
  </si>
  <si>
    <t>Costo /precio Unitario</t>
  </si>
  <si>
    <t>Costos /precio Total</t>
  </si>
  <si>
    <t>Movilización Extra</t>
  </si>
  <si>
    <t>Servicios de Implementación, Transferencia de conocimientos y Apoyo Externo</t>
  </si>
  <si>
    <t>Movilización correctivo 8x5xNBD</t>
  </si>
  <si>
    <t>% daño</t>
  </si>
  <si>
    <t>Años de Contrato</t>
  </si>
  <si>
    <t>Horas / soporte</t>
  </si>
  <si>
    <t>Movilización 24/7</t>
  </si>
  <si>
    <t>Movilización 8/5</t>
  </si>
  <si>
    <t># Viaje / Año</t>
  </si>
  <si>
    <t>Costo Precio Unitario</t>
  </si>
  <si>
    <t>Costo Mov</t>
  </si>
  <si>
    <t>Precio Mov</t>
  </si>
  <si>
    <t xml:space="preserve">OPCIO 1 - CÁLCULO POR HORAS </t>
  </si>
  <si>
    <t xml:space="preserve">OPC 2 - CÁLCULO POR NIVEL DE CASOS DE ATENCIÓN </t>
  </si>
  <si>
    <t>Precio Unitario</t>
  </si>
  <si>
    <t>CLIENTE</t>
  </si>
  <si>
    <t>CLIENTE:</t>
  </si>
  <si>
    <t>AL  50%</t>
  </si>
  <si>
    <t>AL 100%</t>
  </si>
  <si>
    <t>Listado de equipos</t>
  </si>
  <si>
    <t>Ventanas</t>
  </si>
  <si>
    <t>Mantenimiento preventivo</t>
  </si>
  <si>
    <t>Total Laborable</t>
  </si>
  <si>
    <t>RESUMEN PREVENTIVOS</t>
  </si>
  <si>
    <t>LISTADO DE EQUIPOS</t>
  </si>
  <si>
    <t>RESUMEN CORRECTIVOS</t>
  </si>
  <si>
    <t>OPCION 1</t>
  </si>
  <si>
    <t>OPCION 2</t>
  </si>
  <si>
    <t>Adicional Movilización</t>
  </si>
  <si>
    <t>Transferencia de conocimiento (40 Horas)</t>
  </si>
  <si>
    <t>Se puede agregar servicios externos u otros servicios/productos</t>
  </si>
  <si>
    <t>Corresponde a la gestio del SM</t>
  </si>
  <si>
    <t xml:space="preserve">El servicio de Gestión se divide en 50% implementación </t>
  </si>
  <si>
    <t>25% preventivos y 25% correctivos</t>
  </si>
  <si>
    <t>GESTION BOC</t>
  </si>
  <si>
    <t>coordinacion Mantenimiento preventivo</t>
  </si>
  <si>
    <t>coordinacion soportes y correctivos</t>
  </si>
  <si>
    <t>Facturación / mes</t>
  </si>
  <si>
    <t>Gestion BOC 2/mes</t>
  </si>
  <si>
    <t>Apoyo Proveedor Externo Site Principal</t>
  </si>
  <si>
    <t>Apoyo Proveedor Externo Site Secundario</t>
  </si>
  <si>
    <t>Apoyo Proveedor Externo Garzota</t>
  </si>
  <si>
    <t xml:space="preserve">Equipo </t>
  </si>
  <si>
    <t>Numero</t>
  </si>
  <si>
    <t>SITE PRINCIPAL</t>
  </si>
  <si>
    <t>800 - 1300</t>
  </si>
  <si>
    <t>Gestión BOC post Implemnetación por X meses</t>
  </si>
  <si>
    <t>Fecha fin: 11 sep 2027</t>
  </si>
  <si>
    <t>Revisión y actualización del Collector</t>
  </si>
  <si>
    <t>Revisión de CX Cloud / cx.cisco.com</t>
  </si>
  <si>
    <t>Análisis de vulnerabilidades y recomendaciones</t>
  </si>
  <si>
    <t>Reunion presentación</t>
  </si>
  <si>
    <t>Elaboración de informe Trimestral</t>
  </si>
  <si>
    <t>UDLA</t>
  </si>
  <si>
    <r>
      <t>a.</t>
    </r>
    <r>
      <rPr>
        <sz val="7"/>
        <rFont val="Times New Roman"/>
        <family val="1"/>
      </rPr>
      <t xml:space="preserve">      </t>
    </r>
    <r>
      <rPr>
        <sz val="11"/>
        <color rgb="FF000000"/>
        <rFont val="Calibri"/>
        <family val="2"/>
      </rPr>
      <t>El proveedor debe enviar un informe mensual de las horas soporte usadas y disponibles con sus informes técnicos de ejecución.</t>
    </r>
  </si>
  <si>
    <r>
      <t>b.</t>
    </r>
    <r>
      <rPr>
        <sz val="7"/>
        <rFont val="Times New Roman"/>
        <family val="1"/>
      </rPr>
      <t xml:space="preserve">      </t>
    </r>
    <r>
      <rPr>
        <sz val="11"/>
        <color rgb="FF000000"/>
        <rFont val="Calibri"/>
        <family val="2"/>
      </rPr>
      <t>El proveedor debe enviar un informe mensual del estado de salud del equipamiento de Datacenter por su criticidad.</t>
    </r>
  </si>
  <si>
    <r>
      <t>c.</t>
    </r>
    <r>
      <rPr>
        <sz val="7"/>
        <rFont val="Times New Roman"/>
        <family val="1"/>
      </rPr>
      <t xml:space="preserve">      </t>
    </r>
    <r>
      <rPr>
        <sz val="11"/>
        <color rgb="FF000000"/>
        <rFont val="Calibri"/>
        <family val="2"/>
      </rPr>
      <t>El proveedor debe enviar un informe mensual de recomendaciones tecnológicas que se podrían aplicar en los equipos administrados por contrato como parte de su asesoramiento.</t>
    </r>
  </si>
  <si>
    <t>Informe de horas usadas</t>
  </si>
  <si>
    <t>Meses contrato</t>
  </si>
  <si>
    <t>Elaboración mensual de informes técnicos</t>
  </si>
  <si>
    <t>Total equipos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</si>
</sst>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1">
    <numFmt numFmtId="43" formatCode="_ * #,##0.00_ ;_ * \-#,##0.00_ ;_ * &quot;-&quot;??_ ;_ @_ "/>
    <numFmt numFmtId="164" formatCode="&quot;$ &quot;#,##0"/>
    <numFmt numFmtId="165" formatCode="0.00\ %"/>
    <numFmt numFmtId="166" formatCode="_-* #,##0.00&quot; pta&quot;_-;\-* #,##0.00&quot; pta&quot;_-;_-* \-??&quot; pta&quot;_-;_-@_-"/>
    <numFmt numFmtId="167" formatCode="&quot;_(&quot;[$$-300A]\ * #,##0.00&quot; _)&quot;;&quot;_(&quot;[$$-300A]\ * \(#,##0.00\);&quot;_(&quot;[$$-300A]\ * \-??&quot; _)&quot;;_(@_)"/>
    <numFmt numFmtId="168" formatCode="_-* #,##0.00\ _p_t_a_-;\-* #,##0.00\ _p_t_a_-;_-* \-??\ _p_t_a_-;_-@_-"/>
    <numFmt numFmtId="169" formatCode="_-* #,##0\ _p_t_a_-;\-* #,##0\ _p_t_a_-;_-* \-??\ _p_t_a_-;_-@_-"/>
    <numFmt numFmtId="170" formatCode="0\ %"/>
    <numFmt numFmtId="171" formatCode="_(\$* #,##0.00_);_(\$* \(#,##0.00\);_(\$* \-??_);_(@_)"/>
    <numFmt numFmtId="172" formatCode="&quot;$ &quot;#,##0.00"/>
    <numFmt numFmtId="173" formatCode="&quot;_ &quot;[$$-300A]* #,##0.00&quot; _ &quot;;&quot;_ &quot;[$$-300A]* \-#,##0.00&quot; _ &quot;;&quot;_ &quot;[$$-300A]* \-??&quot; _ &quot;;_ @_ "/>
    <numFmt numFmtId="174" formatCode="_ * #,##0_ ;_ * \-#,##0_ ;_ * \-??_ ;_ @_ "/>
    <numFmt numFmtId="175" formatCode="[$$-300A]#,##0.00;[Red][$$-300A]\-#,##0.00"/>
    <numFmt numFmtId="176" formatCode="[$$-300A]#,##0.00;[$$-300A]\-#,##0.00"/>
    <numFmt numFmtId="177" formatCode="dd/mm/yyyy"/>
    <numFmt numFmtId="178" formatCode="&quot;_ &quot;[$$-300A]* #,##0&quot; _ &quot;;&quot;_ &quot;[$$-300A]* \-#,##0&quot; _ &quot;;&quot;_ &quot;[$$-300A]* \-??&quot; _ &quot;;_ @_ "/>
    <numFmt numFmtId="179" formatCode="_ [$$-300A]* #,##0.00_ ;_ [$$-300A]* \-#,##0.00_ ;_ [$$-300A]* &quot;-&quot;??_ ;_ @_ "/>
    <numFmt numFmtId="180" formatCode="&quot;$&quot;\ #,##0.00"/>
    <numFmt numFmtId="181" formatCode="_([$$-300A]\ * #,##0.00_);_([$$-300A]\ * \(#,##0.00\);_([$$-300A]\ * &quot;-&quot;??_);_(@_)"/>
    <numFmt numFmtId="182" formatCode="_-* #,##0.00\ &quot;pta&quot;_-;\-* #,##0.00\ &quot;pta&quot;_-;_-* &quot;-&quot;??\ &quot;pta&quot;_-;_-@_-"/>
    <numFmt numFmtId="183" formatCode="&quot;$&quot;\ #,##0"/>
  </numFmts>
  <fonts count="56" x14ac:knownFonts="1">
    <font>
      <sz val="10"/>
      <name val="Arial"/>
      <charset val="1"/>
    </font>
    <font>
      <sz val="10"/>
      <name val="Arial"/>
      <family val="2"/>
      <charset val="1"/>
    </font>
    <font>
      <b/>
      <sz val="10"/>
      <name val="Arial"/>
      <family val="2"/>
      <charset val="1"/>
    </font>
    <font>
      <b/>
      <sz val="10"/>
      <color rgb="FFFFFFFF"/>
      <name val="Arial"/>
      <family val="2"/>
      <charset val="1"/>
    </font>
    <font>
      <b/>
      <sz val="10"/>
      <color theme="0"/>
      <name val="Arial"/>
      <family val="2"/>
      <charset val="1"/>
    </font>
    <font>
      <b/>
      <sz val="11"/>
      <color theme="1" tint="4.9897762993255407E-2"/>
      <name val="Arial"/>
      <family val="2"/>
      <charset val="1"/>
    </font>
    <font>
      <b/>
      <sz val="11"/>
      <name val="Arial"/>
      <family val="2"/>
      <charset val="1"/>
    </font>
    <font>
      <sz val="11"/>
      <color theme="1" tint="4.9897762993255407E-2"/>
      <name val="Arial"/>
      <family val="2"/>
      <charset val="1"/>
    </font>
    <font>
      <sz val="11"/>
      <name val="Arial"/>
      <family val="2"/>
      <charset val="1"/>
    </font>
    <font>
      <sz val="11"/>
      <color rgb="FF1F497D"/>
      <name val="Calibri"/>
      <family val="2"/>
      <charset val="1"/>
    </font>
    <font>
      <sz val="10"/>
      <name val="Arial"/>
      <family val="2"/>
    </font>
    <font>
      <sz val="9"/>
      <color rgb="FF000000"/>
      <name val="Tahoma"/>
      <family val="2"/>
      <charset val="1"/>
    </font>
    <font>
      <b/>
      <sz val="9"/>
      <color rgb="FF000000"/>
      <name val="Tahoma"/>
      <family val="2"/>
      <charset val="1"/>
    </font>
    <font>
      <sz val="10"/>
      <color theme="9" tint="0.79989013336588644"/>
      <name val="Arial"/>
      <family val="2"/>
      <charset val="1"/>
    </font>
    <font>
      <b/>
      <sz val="10"/>
      <color theme="9" tint="0.79989013336588644"/>
      <name val="Arial"/>
      <family val="2"/>
      <charset val="1"/>
    </font>
    <font>
      <sz val="13"/>
      <name val="Arial"/>
      <family val="2"/>
    </font>
    <font>
      <sz val="13"/>
      <name val="Arial"/>
      <family val="2"/>
    </font>
    <font>
      <sz val="10"/>
      <name val="Times New Roman"/>
      <family val="1"/>
      <charset val="1"/>
    </font>
    <font>
      <b/>
      <sz val="10"/>
      <name val="Calibri"/>
      <family val="2"/>
      <charset val="1"/>
    </font>
    <font>
      <sz val="10"/>
      <name val="Calibri"/>
      <family val="2"/>
      <charset val="1"/>
    </font>
    <font>
      <sz val="9"/>
      <name val="Calibri"/>
      <family val="2"/>
      <charset val="1"/>
    </font>
    <font>
      <b/>
      <sz val="8"/>
      <name val="Arial"/>
      <family val="2"/>
      <charset val="1"/>
    </font>
    <font>
      <sz val="9"/>
      <name val="Arial"/>
      <family val="2"/>
      <charset val="1"/>
    </font>
    <font>
      <sz val="8"/>
      <name val="Arial"/>
      <family val="2"/>
      <charset val="1"/>
    </font>
    <font>
      <sz val="9.5"/>
      <name val="Arial"/>
      <family val="2"/>
      <charset val="1"/>
    </font>
    <font>
      <sz val="7.5"/>
      <name val="Arial"/>
      <family val="2"/>
      <charset val="1"/>
    </font>
    <font>
      <sz val="10"/>
      <color rgb="FF000000"/>
      <name val="Calibri"/>
      <family val="2"/>
      <charset val="1"/>
    </font>
    <font>
      <b/>
      <sz val="9"/>
      <color rgb="FF000000"/>
      <name val="Times New Roman"/>
      <family val="1"/>
      <charset val="1"/>
    </font>
    <font>
      <sz val="9"/>
      <color rgb="FF000000"/>
      <name val="Times New Roman"/>
      <family val="1"/>
      <charset val="1"/>
    </font>
    <font>
      <b/>
      <sz val="12"/>
      <name val="Arial"/>
      <family val="2"/>
      <charset val="1"/>
    </font>
    <font>
      <sz val="10"/>
      <name val="Arial"/>
      <family val="2"/>
    </font>
    <font>
      <sz val="14"/>
      <name val="Arial"/>
      <family val="2"/>
    </font>
    <font>
      <b/>
      <sz val="10"/>
      <name val="Arial"/>
      <family val="2"/>
    </font>
    <font>
      <b/>
      <sz val="10"/>
      <color rgb="FFFFFFFF"/>
      <name val="Arial"/>
      <family val="2"/>
    </font>
    <font>
      <b/>
      <sz val="10"/>
      <color theme="0"/>
      <name val="Arial"/>
      <family val="2"/>
    </font>
    <font>
      <sz val="10"/>
      <color theme="9" tint="0.79989013336588644"/>
      <name val="Arial"/>
      <family val="2"/>
    </font>
    <font>
      <u/>
      <sz val="10"/>
      <color theme="10"/>
      <name val="Arial"/>
      <family val="2"/>
    </font>
    <font>
      <u/>
      <sz val="13"/>
      <name val="Arial"/>
      <family val="2"/>
    </font>
    <font>
      <sz val="10"/>
      <name val="Arial"/>
      <family val="2"/>
      <scheme val="major"/>
    </font>
    <font>
      <b/>
      <sz val="10"/>
      <color theme="1" tint="4.9897762993255407E-2"/>
      <name val="Arial"/>
      <family val="2"/>
    </font>
    <font>
      <sz val="10"/>
      <color theme="1" tint="4.9897762993255407E-2"/>
      <name val="Arial"/>
      <family val="2"/>
    </font>
    <font>
      <b/>
      <sz val="10"/>
      <color theme="1"/>
      <name val="Arial"/>
      <family val="2"/>
    </font>
    <font>
      <b/>
      <sz val="13"/>
      <name val="Arial"/>
      <family val="2"/>
    </font>
    <font>
      <b/>
      <sz val="13"/>
      <color theme="0"/>
      <name val="Arial"/>
      <family val="2"/>
    </font>
    <font>
      <sz val="12"/>
      <name val="Arial"/>
      <family val="2"/>
    </font>
    <font>
      <b/>
      <sz val="12"/>
      <name val="Arial"/>
      <family val="2"/>
    </font>
    <font>
      <b/>
      <sz val="14"/>
      <name val="Arial"/>
      <family val="2"/>
    </font>
    <font>
      <sz val="10"/>
      <color theme="0"/>
      <name val="Arial"/>
      <family val="2"/>
    </font>
    <font>
      <b/>
      <sz val="10"/>
      <color theme="1"/>
      <name val="Arial"/>
      <family val="2"/>
      <charset val="1"/>
    </font>
    <font>
      <b/>
      <sz val="12"/>
      <color theme="0"/>
      <name val="Arial"/>
      <family val="2"/>
    </font>
    <font>
      <sz val="11"/>
      <name val="Arial"/>
      <family val="2"/>
    </font>
    <font>
      <sz val="11"/>
      <color rgb="FF000000"/>
      <name val="Aptos"/>
      <family val="2"/>
    </font>
    <font>
      <b/>
      <sz val="11"/>
      <color rgb="FF000000"/>
      <name val="Aptos"/>
      <family val="2"/>
    </font>
    <font>
      <sz val="11"/>
      <name val="Calibri"/>
      <family val="2"/>
    </font>
    <font>
      <sz val="7"/>
      <name val="Times New Roman"/>
      <family val="1"/>
    </font>
    <font>
      <sz val="11"/>
      <color rgb="FF000000"/>
      <name val="Calibri"/>
      <family val="2"/>
    </font>
  </fonts>
  <fills count="48">
    <fill>
      <patternFill patternType="none"/>
    </fill>
    <fill>
      <patternFill patternType="gray125"/>
    </fill>
    <fill>
      <patternFill patternType="solid">
        <fgColor theme="4" tint="0.79989013336588644"/>
        <bgColor rgb="FFDCE6F1"/>
      </patternFill>
    </fill>
    <fill>
      <patternFill patternType="solid">
        <fgColor rgb="FF003366"/>
        <bgColor rgb="FF1F497D"/>
      </patternFill>
    </fill>
    <fill>
      <patternFill patternType="solid">
        <fgColor theme="0"/>
        <bgColor rgb="FFFFFFCC"/>
      </patternFill>
    </fill>
    <fill>
      <patternFill patternType="solid">
        <fgColor rgb="FF00B0F0"/>
        <bgColor rgb="FF33CCCC"/>
      </patternFill>
    </fill>
    <fill>
      <patternFill patternType="solid">
        <fgColor rgb="FF0070C0"/>
        <bgColor rgb="FF008080"/>
      </patternFill>
    </fill>
    <fill>
      <patternFill patternType="solid">
        <fgColor theme="6" tint="0.39988402966399123"/>
        <bgColor rgb="FFDDD9C3"/>
      </patternFill>
    </fill>
    <fill>
      <patternFill patternType="solid">
        <fgColor theme="6" tint="0.79989013336588644"/>
        <bgColor rgb="FFFDEADA"/>
      </patternFill>
    </fill>
    <fill>
      <patternFill patternType="solid">
        <fgColor rgb="FFFFFF00"/>
        <bgColor rgb="FFFFFF00"/>
      </patternFill>
    </fill>
    <fill>
      <patternFill patternType="solid">
        <fgColor theme="2" tint="-9.9978637043366805E-2"/>
        <bgColor rgb="FFDCE6F1"/>
      </patternFill>
    </fill>
    <fill>
      <patternFill patternType="solid">
        <fgColor theme="3" tint="0.79989013336588644"/>
        <bgColor rgb="FFB9CDE5"/>
      </patternFill>
    </fill>
    <fill>
      <patternFill patternType="solid">
        <fgColor theme="4" tint="0.59987182226020086"/>
        <bgColor rgb="FFC6D9F1"/>
      </patternFill>
    </fill>
    <fill>
      <patternFill patternType="solid">
        <fgColor rgb="FFFFFFCC"/>
        <bgColor rgb="FFEBF1DE"/>
      </patternFill>
    </fill>
    <fill>
      <patternFill patternType="solid">
        <fgColor theme="9" tint="0.79989013336588644"/>
        <bgColor rgb="FFEBF1DE"/>
      </patternFill>
    </fill>
    <fill>
      <patternFill patternType="solid">
        <fgColor rgb="FF808080"/>
        <bgColor rgb="FF969696"/>
      </patternFill>
    </fill>
    <fill>
      <patternFill patternType="solid">
        <fgColor theme="3"/>
        <bgColor rgb="FF003366"/>
      </patternFill>
    </fill>
    <fill>
      <patternFill patternType="solid">
        <fgColor rgb="FFDCE6F1"/>
        <bgColor rgb="FFDCE6F2"/>
      </patternFill>
    </fill>
    <fill>
      <patternFill patternType="solid">
        <fgColor rgb="FF92D050"/>
        <bgColor rgb="FFC3D69B"/>
      </patternFill>
    </fill>
    <fill>
      <patternFill patternType="solid">
        <fgColor rgb="FFFF972F"/>
        <bgColor rgb="FFFF8080"/>
      </patternFill>
    </fill>
    <fill>
      <patternFill patternType="solid">
        <fgColor rgb="FF729FCF"/>
        <bgColor rgb="FF8EB4E3"/>
      </patternFill>
    </fill>
    <fill>
      <patternFill patternType="solid">
        <fgColor rgb="FFFFD428"/>
        <bgColor rgb="FFFFFF00"/>
      </patternFill>
    </fill>
    <fill>
      <patternFill patternType="solid">
        <fgColor theme="3" tint="0.59987182226020086"/>
        <bgColor rgb="FF729FCF"/>
      </patternFill>
    </fill>
    <fill>
      <patternFill patternType="solid">
        <fgColor rgb="FF969696"/>
        <bgColor rgb="FF808080"/>
      </patternFill>
    </fill>
    <fill>
      <patternFill patternType="solid">
        <fgColor theme="8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darkUp">
        <bgColor theme="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FFFF00"/>
        <bgColor rgb="FFDCE6F1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205DF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59999389629810485"/>
        <bgColor rgb="FFEBF1DE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8" tint="0.59999389629810485"/>
        <bgColor rgb="FF1F497D"/>
      </patternFill>
    </fill>
    <fill>
      <patternFill patternType="solid">
        <fgColor theme="3" tint="0.39997558519241921"/>
        <bgColor rgb="FFEBF1DE"/>
      </patternFill>
    </fill>
    <fill>
      <patternFill patternType="solid">
        <fgColor theme="4" tint="0.39997558519241921"/>
        <bgColor indexed="64"/>
      </patternFill>
    </fill>
  </fills>
  <borders count="61">
    <border>
      <left/>
      <right/>
      <top/>
      <bottom/>
      <diagonal/>
    </border>
    <border>
      <left style="medium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/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 style="medium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/>
      <bottom style="thin">
        <color auto="1"/>
      </bottom>
      <diagonal/>
    </border>
  </borders>
  <cellStyleXfs count="8">
    <xf numFmtId="0" fontId="0" fillId="0" borderId="0"/>
    <xf numFmtId="168" fontId="30" fillId="0" borderId="0" applyBorder="0" applyProtection="0"/>
    <xf numFmtId="166" fontId="30" fillId="0" borderId="0" applyBorder="0" applyProtection="0"/>
    <xf numFmtId="170" fontId="30" fillId="0" borderId="0" applyBorder="0" applyProtection="0"/>
    <xf numFmtId="0" fontId="1" fillId="0" borderId="0"/>
    <xf numFmtId="0" fontId="10" fillId="0" borderId="0"/>
    <xf numFmtId="182" fontId="10" fillId="0" borderId="0" applyFont="0" applyFill="0" applyBorder="0" applyAlignment="0" applyProtection="0"/>
    <xf numFmtId="0" fontId="36" fillId="0" borderId="0" applyNumberFormat="0" applyFill="0" applyBorder="0" applyAlignment="0" applyProtection="0"/>
  </cellStyleXfs>
  <cellXfs count="876">
    <xf numFmtId="0" fontId="0" fillId="0" borderId="0" xfId="0"/>
    <xf numFmtId="165" fontId="1" fillId="2" borderId="8" xfId="0" applyNumberFormat="1" applyFont="1" applyFill="1" applyBorder="1"/>
    <xf numFmtId="0" fontId="0" fillId="0" borderId="0" xfId="0" applyAlignment="1">
      <alignment horizontal="center"/>
    </xf>
    <xf numFmtId="0" fontId="2" fillId="2" borderId="0" xfId="0" applyFont="1" applyFill="1"/>
    <xf numFmtId="0" fontId="0" fillId="2" borderId="0" xfId="0" applyFill="1"/>
    <xf numFmtId="164" fontId="3" fillId="3" borderId="1" xfId="0" applyNumberFormat="1" applyFont="1" applyFill="1" applyBorder="1" applyAlignment="1">
      <alignment horizontal="center" vertical="center" wrapText="1"/>
    </xf>
    <xf numFmtId="164" fontId="3" fillId="3" borderId="2" xfId="0" applyNumberFormat="1" applyFont="1" applyFill="1" applyBorder="1" applyAlignment="1">
      <alignment horizontal="center" vertical="center" wrapText="1"/>
    </xf>
    <xf numFmtId="164" fontId="3" fillId="3" borderId="3" xfId="0" applyNumberFormat="1" applyFont="1" applyFill="1" applyBorder="1" applyAlignment="1">
      <alignment horizontal="center" vertical="center" wrapText="1"/>
    </xf>
    <xf numFmtId="165" fontId="2" fillId="0" borderId="4" xfId="0" applyNumberFormat="1" applyFont="1" applyBorder="1" applyAlignment="1">
      <alignment horizontal="left" vertical="center" wrapText="1"/>
    </xf>
    <xf numFmtId="165" fontId="2" fillId="0" borderId="5" xfId="0" applyNumberFormat="1" applyFont="1" applyBorder="1" applyAlignment="1">
      <alignment horizontal="left" vertical="center"/>
    </xf>
    <xf numFmtId="165" fontId="2" fillId="0" borderId="6" xfId="0" applyNumberFormat="1" applyFont="1" applyBorder="1" applyAlignment="1">
      <alignment horizontal="left" vertical="center"/>
    </xf>
    <xf numFmtId="165" fontId="1" fillId="0" borderId="8" xfId="0" applyNumberFormat="1" applyFont="1" applyBorder="1" applyAlignment="1">
      <alignment horizontal="left" vertical="center" wrapText="1"/>
    </xf>
    <xf numFmtId="165" fontId="1" fillId="0" borderId="9" xfId="0" applyNumberFormat="1" applyFont="1" applyBorder="1" applyAlignment="1">
      <alignment horizontal="left" vertical="center"/>
    </xf>
    <xf numFmtId="165" fontId="1" fillId="0" borderId="10" xfId="0" applyNumberFormat="1" applyFont="1" applyBorder="1" applyAlignment="1">
      <alignment horizontal="left" vertical="center"/>
    </xf>
    <xf numFmtId="165" fontId="2" fillId="0" borderId="8" xfId="0" applyNumberFormat="1" applyFont="1" applyBorder="1" applyAlignment="1">
      <alignment horizontal="left" vertical="center"/>
    </xf>
    <xf numFmtId="169" fontId="1" fillId="0" borderId="9" xfId="1" applyNumberFormat="1" applyFont="1" applyBorder="1" applyAlignment="1" applyProtection="1">
      <alignment horizontal="left" vertical="center"/>
    </xf>
    <xf numFmtId="165" fontId="1" fillId="2" borderId="8" xfId="0" applyNumberFormat="1" applyFont="1" applyFill="1" applyBorder="1" applyAlignment="1">
      <alignment horizontal="left" vertical="center"/>
    </xf>
    <xf numFmtId="169" fontId="1" fillId="2" borderId="9" xfId="1" applyNumberFormat="1" applyFont="1" applyFill="1" applyBorder="1" applyAlignment="1" applyProtection="1">
      <alignment horizontal="left" vertical="center"/>
    </xf>
    <xf numFmtId="169" fontId="1" fillId="2" borderId="10" xfId="1" applyNumberFormat="1" applyFont="1" applyFill="1" applyBorder="1" applyAlignment="1" applyProtection="1">
      <alignment horizontal="left" vertical="center"/>
    </xf>
    <xf numFmtId="165" fontId="2" fillId="2" borderId="8" xfId="0" applyNumberFormat="1" applyFont="1" applyFill="1" applyBorder="1" applyAlignment="1">
      <alignment horizontal="left" vertical="center"/>
    </xf>
    <xf numFmtId="165" fontId="4" fillId="5" borderId="8" xfId="0" applyNumberFormat="1" applyFont="1" applyFill="1" applyBorder="1" applyAlignment="1">
      <alignment horizontal="left" vertical="center"/>
    </xf>
    <xf numFmtId="0" fontId="1" fillId="0" borderId="0" xfId="0" applyFont="1"/>
    <xf numFmtId="165" fontId="1" fillId="2" borderId="11" xfId="0" applyNumberFormat="1" applyFont="1" applyFill="1" applyBorder="1" applyAlignment="1">
      <alignment horizontal="left" vertical="center"/>
    </xf>
    <xf numFmtId="169" fontId="1" fillId="2" borderId="12" xfId="0" applyNumberFormat="1" applyFont="1" applyFill="1" applyBorder="1" applyAlignment="1">
      <alignment horizontal="left" vertical="center"/>
    </xf>
    <xf numFmtId="169" fontId="1" fillId="2" borderId="13" xfId="1" applyNumberFormat="1" applyFont="1" applyFill="1" applyBorder="1" applyAlignment="1" applyProtection="1">
      <alignment horizontal="left" vertical="center"/>
    </xf>
    <xf numFmtId="165" fontId="2" fillId="0" borderId="14" xfId="0" applyNumberFormat="1" applyFont="1" applyBorder="1" applyAlignment="1">
      <alignment horizontal="left" vertical="center" wrapText="1"/>
    </xf>
    <xf numFmtId="169" fontId="2" fillId="0" borderId="15" xfId="1" applyNumberFormat="1" applyFont="1" applyBorder="1" applyAlignment="1" applyProtection="1">
      <alignment horizontal="left" vertical="center"/>
    </xf>
    <xf numFmtId="169" fontId="2" fillId="0" borderId="16" xfId="1" applyNumberFormat="1" applyFont="1" applyBorder="1" applyAlignment="1" applyProtection="1">
      <alignment horizontal="left" vertical="center"/>
    </xf>
    <xf numFmtId="165" fontId="2" fillId="0" borderId="17" xfId="0" applyNumberFormat="1" applyFont="1" applyBorder="1" applyAlignment="1">
      <alignment horizontal="left" vertical="center" wrapText="1"/>
    </xf>
    <xf numFmtId="165" fontId="2" fillId="0" borderId="18" xfId="0" applyNumberFormat="1" applyFont="1" applyBorder="1" applyAlignment="1">
      <alignment horizontal="left" vertical="center"/>
    </xf>
    <xf numFmtId="167" fontId="1" fillId="4" borderId="19" xfId="2" applyNumberFormat="1" applyFont="1" applyFill="1" applyBorder="1" applyAlignment="1" applyProtection="1">
      <alignment vertical="center"/>
    </xf>
    <xf numFmtId="165" fontId="1" fillId="2" borderId="20" xfId="0" applyNumberFormat="1" applyFont="1" applyFill="1" applyBorder="1" applyAlignment="1">
      <alignment horizontal="left" vertical="center"/>
    </xf>
    <xf numFmtId="165" fontId="1" fillId="2" borderId="21" xfId="0" applyNumberFormat="1" applyFont="1" applyFill="1" applyBorder="1" applyAlignment="1">
      <alignment horizontal="left" vertical="center"/>
    </xf>
    <xf numFmtId="167" fontId="1" fillId="4" borderId="22" xfId="2" applyNumberFormat="1" applyFont="1" applyFill="1" applyBorder="1" applyAlignment="1" applyProtection="1">
      <alignment vertical="center"/>
    </xf>
    <xf numFmtId="165" fontId="1" fillId="2" borderId="23" xfId="0" applyNumberFormat="1" applyFont="1" applyFill="1" applyBorder="1" applyAlignment="1">
      <alignment horizontal="left" vertical="center"/>
    </xf>
    <xf numFmtId="165" fontId="1" fillId="2" borderId="24" xfId="0" applyNumberFormat="1" applyFont="1" applyFill="1" applyBorder="1" applyAlignment="1">
      <alignment horizontal="left" vertical="center"/>
    </xf>
    <xf numFmtId="167" fontId="1" fillId="4" borderId="25" xfId="2" applyNumberFormat="1" applyFont="1" applyFill="1" applyBorder="1" applyAlignment="1" applyProtection="1">
      <alignment vertical="center"/>
    </xf>
    <xf numFmtId="164" fontId="3" fillId="3" borderId="7" xfId="0" applyNumberFormat="1" applyFont="1" applyFill="1" applyBorder="1" applyAlignment="1">
      <alignment horizontal="center" vertical="center" wrapText="1"/>
    </xf>
    <xf numFmtId="167" fontId="4" fillId="6" borderId="27" xfId="0" applyNumberFormat="1" applyFont="1" applyFill="1" applyBorder="1"/>
    <xf numFmtId="167" fontId="1" fillId="2" borderId="28" xfId="0" applyNumberFormat="1" applyFont="1" applyFill="1" applyBorder="1"/>
    <xf numFmtId="167" fontId="2" fillId="2" borderId="27" xfId="0" applyNumberFormat="1" applyFont="1" applyFill="1" applyBorder="1"/>
    <xf numFmtId="167" fontId="1" fillId="0" borderId="28" xfId="0" applyNumberFormat="1" applyFont="1" applyBorder="1"/>
    <xf numFmtId="0" fontId="1" fillId="2" borderId="21" xfId="0" applyFont="1" applyFill="1" applyBorder="1"/>
    <xf numFmtId="167" fontId="1" fillId="2" borderId="30" xfId="0" applyNumberFormat="1" applyFont="1" applyFill="1" applyBorder="1"/>
    <xf numFmtId="0" fontId="2" fillId="4" borderId="0" xfId="0" applyFont="1" applyFill="1"/>
    <xf numFmtId="0" fontId="2" fillId="4" borderId="0" xfId="0" applyFont="1" applyFill="1" applyAlignment="1">
      <alignment horizontal="center"/>
    </xf>
    <xf numFmtId="0" fontId="5" fillId="7" borderId="31" xfId="0" applyFont="1" applyFill="1" applyBorder="1" applyAlignment="1">
      <alignment horizontal="left"/>
    </xf>
    <xf numFmtId="167" fontId="6" fillId="7" borderId="32" xfId="0" applyNumberFormat="1" applyFont="1" applyFill="1" applyBorder="1"/>
    <xf numFmtId="167" fontId="2" fillId="0" borderId="0" xfId="0" applyNumberFormat="1" applyFont="1"/>
    <xf numFmtId="0" fontId="7" fillId="8" borderId="8" xfId="0" applyFont="1" applyFill="1" applyBorder="1" applyAlignment="1">
      <alignment horizontal="left"/>
    </xf>
    <xf numFmtId="167" fontId="8" fillId="8" borderId="28" xfId="0" applyNumberFormat="1" applyFont="1" applyFill="1" applyBorder="1"/>
    <xf numFmtId="170" fontId="8" fillId="8" borderId="28" xfId="3" applyFont="1" applyFill="1" applyBorder="1" applyProtection="1"/>
    <xf numFmtId="0" fontId="9" fillId="0" borderId="0" xfId="0" applyFont="1" applyAlignment="1">
      <alignment vertical="center"/>
    </xf>
    <xf numFmtId="0" fontId="7" fillId="8" borderId="29" xfId="0" applyFont="1" applyFill="1" applyBorder="1" applyAlignment="1">
      <alignment horizontal="left"/>
    </xf>
    <xf numFmtId="169" fontId="8" fillId="8" borderId="30" xfId="1" applyNumberFormat="1" applyFont="1" applyFill="1" applyBorder="1" applyAlignment="1" applyProtection="1">
      <alignment horizontal="right"/>
    </xf>
    <xf numFmtId="0" fontId="0" fillId="0" borderId="9" xfId="0" applyBorder="1"/>
    <xf numFmtId="0" fontId="2" fillId="9" borderId="9" xfId="0" applyFont="1" applyFill="1" applyBorder="1"/>
    <xf numFmtId="170" fontId="2" fillId="9" borderId="9" xfId="0" applyNumberFormat="1" applyFont="1" applyFill="1" applyBorder="1"/>
    <xf numFmtId="170" fontId="0" fillId="0" borderId="9" xfId="0" applyNumberFormat="1" applyBorder="1"/>
    <xf numFmtId="0" fontId="0" fillId="10" borderId="9" xfId="0" applyFill="1" applyBorder="1"/>
    <xf numFmtId="0" fontId="1" fillId="10" borderId="9" xfId="0" applyFont="1" applyFill="1" applyBorder="1"/>
    <xf numFmtId="0" fontId="0" fillId="11" borderId="9" xfId="0" applyFill="1" applyBorder="1"/>
    <xf numFmtId="0" fontId="1" fillId="11" borderId="9" xfId="0" applyFont="1" applyFill="1" applyBorder="1"/>
    <xf numFmtId="171" fontId="0" fillId="10" borderId="9" xfId="0" applyNumberFormat="1" applyFill="1" applyBorder="1"/>
    <xf numFmtId="171" fontId="0" fillId="11" borderId="9" xfId="0" applyNumberFormat="1" applyFill="1" applyBorder="1"/>
    <xf numFmtId="1" fontId="0" fillId="11" borderId="9" xfId="0" applyNumberFormat="1" applyFill="1" applyBorder="1"/>
    <xf numFmtId="170" fontId="0" fillId="9" borderId="9" xfId="0" applyNumberFormat="1" applyFill="1" applyBorder="1"/>
    <xf numFmtId="0" fontId="1" fillId="0" borderId="9" xfId="0" applyFont="1" applyBorder="1"/>
    <xf numFmtId="171" fontId="1" fillId="10" borderId="9" xfId="2" applyNumberFormat="1" applyFont="1" applyFill="1" applyBorder="1" applyProtection="1"/>
    <xf numFmtId="171" fontId="1" fillId="11" borderId="9" xfId="2" applyNumberFormat="1" applyFont="1" applyFill="1" applyBorder="1" applyProtection="1"/>
    <xf numFmtId="171" fontId="30" fillId="0" borderId="9" xfId="2" applyNumberFormat="1" applyBorder="1" applyProtection="1"/>
    <xf numFmtId="172" fontId="30" fillId="0" borderId="0" xfId="2" applyNumberFormat="1" applyBorder="1" applyProtection="1"/>
    <xf numFmtId="173" fontId="0" fillId="10" borderId="9" xfId="0" applyNumberFormat="1" applyFill="1" applyBorder="1"/>
    <xf numFmtId="173" fontId="0" fillId="11" borderId="9" xfId="0" applyNumberFormat="1" applyFill="1" applyBorder="1"/>
    <xf numFmtId="1" fontId="0" fillId="10" borderId="9" xfId="0" applyNumberFormat="1" applyFill="1" applyBorder="1"/>
    <xf numFmtId="173" fontId="1" fillId="10" borderId="9" xfId="2" applyNumberFormat="1" applyFont="1" applyFill="1" applyBorder="1" applyProtection="1"/>
    <xf numFmtId="173" fontId="1" fillId="11" borderId="9" xfId="2" applyNumberFormat="1" applyFont="1" applyFill="1" applyBorder="1" applyProtection="1"/>
    <xf numFmtId="164" fontId="30" fillId="0" borderId="9" xfId="2" applyNumberFormat="1" applyBorder="1" applyProtection="1"/>
    <xf numFmtId="0" fontId="2" fillId="0" borderId="12" xfId="0" applyFont="1" applyBorder="1" applyAlignment="1">
      <alignment horizontal="center" wrapText="1"/>
    </xf>
    <xf numFmtId="165" fontId="1" fillId="2" borderId="20" xfId="0" applyNumberFormat="1" applyFont="1" applyFill="1" applyBorder="1" applyAlignment="1" applyProtection="1">
      <alignment horizontal="left"/>
      <protection locked="0"/>
    </xf>
    <xf numFmtId="0" fontId="1" fillId="0" borderId="33" xfId="0" applyFont="1" applyBorder="1" applyAlignment="1">
      <alignment horizontal="center"/>
    </xf>
    <xf numFmtId="0" fontId="0" fillId="0" borderId="34" xfId="0" applyBorder="1"/>
    <xf numFmtId="172" fontId="1" fillId="0" borderId="33" xfId="2" applyNumberFormat="1" applyFont="1" applyBorder="1" applyAlignment="1" applyProtection="1">
      <alignment horizontal="center"/>
    </xf>
    <xf numFmtId="172" fontId="1" fillId="0" borderId="19" xfId="0" applyNumberFormat="1" applyFont="1" applyBorder="1" applyAlignment="1">
      <alignment horizontal="center"/>
    </xf>
    <xf numFmtId="165" fontId="1" fillId="0" borderId="20" xfId="0" applyNumberFormat="1" applyFont="1" applyBorder="1" applyAlignment="1">
      <alignment horizontal="left"/>
    </xf>
    <xf numFmtId="2" fontId="1" fillId="0" borderId="9" xfId="0" applyNumberFormat="1" applyFont="1" applyBorder="1" applyAlignment="1">
      <alignment horizontal="left"/>
    </xf>
    <xf numFmtId="2" fontId="1" fillId="2" borderId="9" xfId="0" applyNumberFormat="1" applyFont="1" applyFill="1" applyBorder="1" applyAlignment="1" applyProtection="1">
      <alignment horizontal="left"/>
      <protection locked="0"/>
    </xf>
    <xf numFmtId="0" fontId="1" fillId="0" borderId="9" xfId="0" applyFont="1" applyBorder="1" applyAlignment="1">
      <alignment horizontal="center"/>
    </xf>
    <xf numFmtId="167" fontId="1" fillId="0" borderId="9" xfId="0" applyNumberFormat="1" applyFont="1" applyBorder="1" applyAlignment="1">
      <alignment horizontal="center"/>
    </xf>
    <xf numFmtId="167" fontId="1" fillId="0" borderId="22" xfId="0" applyNumberFormat="1" applyFont="1" applyBorder="1" applyAlignment="1">
      <alignment horizontal="right"/>
    </xf>
    <xf numFmtId="2" fontId="1" fillId="0" borderId="9" xfId="0" applyNumberFormat="1" applyFont="1" applyBorder="1" applyAlignment="1">
      <alignment horizontal="center"/>
    </xf>
    <xf numFmtId="165" fontId="1" fillId="0" borderId="23" xfId="0" applyNumberFormat="1" applyFont="1" applyBorder="1" applyAlignment="1">
      <alignment horizontal="left"/>
    </xf>
    <xf numFmtId="2" fontId="1" fillId="0" borderId="35" xfId="0" applyNumberFormat="1" applyFont="1" applyBorder="1" applyAlignment="1">
      <alignment horizontal="left"/>
    </xf>
    <xf numFmtId="0" fontId="0" fillId="0" borderId="36" xfId="0" applyBorder="1"/>
    <xf numFmtId="0" fontId="1" fillId="0" borderId="35" xfId="0" applyFont="1" applyBorder="1" applyAlignment="1">
      <alignment horizontal="center"/>
    </xf>
    <xf numFmtId="2" fontId="1" fillId="0" borderId="35" xfId="0" applyNumberFormat="1" applyFont="1" applyBorder="1" applyAlignment="1">
      <alignment horizontal="center"/>
    </xf>
    <xf numFmtId="1" fontId="1" fillId="0" borderId="35" xfId="0" applyNumberFormat="1" applyFont="1" applyBorder="1" applyAlignment="1">
      <alignment horizontal="center"/>
    </xf>
    <xf numFmtId="167" fontId="1" fillId="0" borderId="25" xfId="0" applyNumberFormat="1" applyFont="1" applyBorder="1" applyAlignment="1">
      <alignment horizontal="right"/>
    </xf>
    <xf numFmtId="165" fontId="1" fillId="0" borderId="37" xfId="0" applyNumberFormat="1" applyFont="1" applyBorder="1" applyAlignment="1">
      <alignment horizontal="left"/>
    </xf>
    <xf numFmtId="2" fontId="1" fillId="0" borderId="38" xfId="0" applyNumberFormat="1" applyFont="1" applyBorder="1" applyAlignment="1">
      <alignment horizontal="left"/>
    </xf>
    <xf numFmtId="1" fontId="1" fillId="0" borderId="38" xfId="0" applyNumberFormat="1" applyFont="1" applyBorder="1" applyAlignment="1">
      <alignment horizontal="center"/>
    </xf>
    <xf numFmtId="0" fontId="1" fillId="0" borderId="38" xfId="0" applyFont="1" applyBorder="1" applyAlignment="1">
      <alignment horizontal="center"/>
    </xf>
    <xf numFmtId="2" fontId="1" fillId="0" borderId="38" xfId="0" applyNumberFormat="1" applyFont="1" applyBorder="1" applyAlignment="1">
      <alignment horizontal="center"/>
    </xf>
    <xf numFmtId="167" fontId="1" fillId="0" borderId="38" xfId="0" applyNumberFormat="1" applyFont="1" applyBorder="1" applyAlignment="1">
      <alignment horizontal="center"/>
    </xf>
    <xf numFmtId="167" fontId="1" fillId="0" borderId="39" xfId="0" applyNumberFormat="1" applyFont="1" applyBorder="1" applyAlignment="1">
      <alignment horizontal="right"/>
    </xf>
    <xf numFmtId="165" fontId="1" fillId="2" borderId="17" xfId="0" applyNumberFormat="1" applyFont="1" applyFill="1" applyBorder="1" applyAlignment="1" applyProtection="1">
      <alignment horizontal="left" wrapText="1"/>
      <protection locked="0"/>
    </xf>
    <xf numFmtId="2" fontId="1" fillId="2" borderId="33" xfId="0" applyNumberFormat="1" applyFont="1" applyFill="1" applyBorder="1" applyAlignment="1" applyProtection="1">
      <alignment horizontal="left"/>
      <protection locked="0"/>
    </xf>
    <xf numFmtId="2" fontId="1" fillId="0" borderId="33" xfId="0" applyNumberFormat="1" applyFont="1" applyBorder="1" applyAlignment="1">
      <alignment horizontal="left"/>
    </xf>
    <xf numFmtId="0" fontId="1" fillId="2" borderId="33" xfId="0" applyFont="1" applyFill="1" applyBorder="1" applyAlignment="1" applyProtection="1">
      <alignment horizontal="center"/>
      <protection locked="0"/>
    </xf>
    <xf numFmtId="167" fontId="1" fillId="0" borderId="33" xfId="0" applyNumberFormat="1" applyFont="1" applyBorder="1" applyAlignment="1">
      <alignment horizontal="center"/>
    </xf>
    <xf numFmtId="167" fontId="1" fillId="0" borderId="19" xfId="0" applyNumberFormat="1" applyFont="1" applyBorder="1" applyAlignment="1">
      <alignment horizontal="right"/>
    </xf>
    <xf numFmtId="0" fontId="1" fillId="2" borderId="9" xfId="0" applyFont="1" applyFill="1" applyBorder="1" applyAlignment="1" applyProtection="1">
      <alignment horizontal="center"/>
      <protection locked="0"/>
    </xf>
    <xf numFmtId="165" fontId="2" fillId="2" borderId="8" xfId="0" applyNumberFormat="1" applyFont="1" applyFill="1" applyBorder="1" applyAlignment="1">
      <alignment horizontal="left" vertical="center" wrapText="1"/>
    </xf>
    <xf numFmtId="165" fontId="4" fillId="5" borderId="8" xfId="0" applyNumberFormat="1" applyFont="1" applyFill="1" applyBorder="1" applyAlignment="1">
      <alignment horizontal="left" vertical="center" wrapText="1"/>
    </xf>
    <xf numFmtId="165" fontId="1" fillId="2" borderId="8" xfId="0" applyNumberFormat="1" applyFont="1" applyFill="1" applyBorder="1" applyAlignment="1">
      <alignment horizontal="left" vertical="center" wrapText="1"/>
    </xf>
    <xf numFmtId="165" fontId="1" fillId="2" borderId="28" xfId="0" applyNumberFormat="1" applyFont="1" applyFill="1" applyBorder="1" applyAlignment="1">
      <alignment horizontal="left" vertical="center" wrapText="1"/>
    </xf>
    <xf numFmtId="165" fontId="2" fillId="2" borderId="28" xfId="0" applyNumberFormat="1" applyFont="1" applyFill="1" applyBorder="1" applyAlignment="1">
      <alignment horizontal="left" vertical="center" wrapText="1"/>
    </xf>
    <xf numFmtId="2" fontId="1" fillId="2" borderId="12" xfId="0" applyNumberFormat="1" applyFont="1" applyFill="1" applyBorder="1" applyAlignment="1" applyProtection="1">
      <alignment horizontal="left"/>
      <protection locked="0"/>
    </xf>
    <xf numFmtId="2" fontId="1" fillId="0" borderId="12" xfId="0" applyNumberFormat="1" applyFont="1" applyBorder="1" applyAlignment="1">
      <alignment horizontal="left"/>
    </xf>
    <xf numFmtId="1" fontId="1" fillId="2" borderId="9" xfId="0" applyNumberFormat="1" applyFont="1" applyFill="1" applyBorder="1" applyAlignment="1" applyProtection="1">
      <alignment horizontal="center"/>
      <protection locked="0"/>
    </xf>
    <xf numFmtId="167" fontId="1" fillId="0" borderId="35" xfId="0" applyNumberFormat="1" applyFont="1" applyBorder="1" applyAlignment="1">
      <alignment horizontal="center"/>
    </xf>
    <xf numFmtId="165" fontId="2" fillId="12" borderId="14" xfId="0" applyNumberFormat="1" applyFont="1" applyFill="1" applyBorder="1" applyAlignment="1">
      <alignment horizontal="left"/>
    </xf>
    <xf numFmtId="2" fontId="2" fillId="12" borderId="15" xfId="0" applyNumberFormat="1" applyFont="1" applyFill="1" applyBorder="1" applyAlignment="1">
      <alignment horizontal="left"/>
    </xf>
    <xf numFmtId="1" fontId="2" fillId="12" borderId="15" xfId="0" applyNumberFormat="1" applyFont="1" applyFill="1" applyBorder="1" applyAlignment="1">
      <alignment horizontal="center"/>
    </xf>
    <xf numFmtId="167" fontId="2" fillId="12" borderId="15" xfId="0" applyNumberFormat="1" applyFont="1" applyFill="1" applyBorder="1" applyAlignment="1">
      <alignment horizontal="center"/>
    </xf>
    <xf numFmtId="167" fontId="2" fillId="12" borderId="40" xfId="0" applyNumberFormat="1" applyFont="1" applyFill="1" applyBorder="1" applyAlignment="1">
      <alignment horizontal="right"/>
    </xf>
    <xf numFmtId="172" fontId="0" fillId="0" borderId="0" xfId="0" applyNumberFormat="1"/>
    <xf numFmtId="2" fontId="1" fillId="2" borderId="35" xfId="0" applyNumberFormat="1" applyFont="1" applyFill="1" applyBorder="1" applyAlignment="1" applyProtection="1">
      <alignment horizontal="left"/>
      <protection locked="0"/>
    </xf>
    <xf numFmtId="0" fontId="2" fillId="0" borderId="0" xfId="0" applyFont="1"/>
    <xf numFmtId="165" fontId="1" fillId="0" borderId="41" xfId="0" applyNumberFormat="1" applyFont="1" applyBorder="1" applyAlignment="1">
      <alignment horizontal="left"/>
    </xf>
    <xf numFmtId="2" fontId="1" fillId="0" borderId="42" xfId="0" applyNumberFormat="1" applyFont="1" applyBorder="1" applyAlignment="1">
      <alignment horizontal="left"/>
    </xf>
    <xf numFmtId="2" fontId="1" fillId="0" borderId="42" xfId="0" applyNumberFormat="1" applyFont="1" applyBorder="1" applyAlignment="1" applyProtection="1">
      <alignment horizontal="left"/>
      <protection locked="0"/>
    </xf>
    <xf numFmtId="0" fontId="1" fillId="0" borderId="42" xfId="0" applyFont="1" applyBorder="1" applyAlignment="1">
      <alignment horizontal="center"/>
    </xf>
    <xf numFmtId="167" fontId="1" fillId="0" borderId="42" xfId="0" applyNumberFormat="1" applyFont="1" applyBorder="1" applyAlignment="1">
      <alignment horizontal="center"/>
    </xf>
    <xf numFmtId="167" fontId="1" fillId="0" borderId="43" xfId="0" applyNumberFormat="1" applyFont="1" applyBorder="1" applyAlignment="1">
      <alignment horizontal="right"/>
    </xf>
    <xf numFmtId="172" fontId="2" fillId="0" borderId="0" xfId="0" applyNumberFormat="1" applyFont="1"/>
    <xf numFmtId="165" fontId="1" fillId="0" borderId="17" xfId="0" applyNumberFormat="1" applyFont="1" applyBorder="1" applyAlignment="1">
      <alignment horizontal="left"/>
    </xf>
    <xf numFmtId="165" fontId="1" fillId="0" borderId="44" xfId="0" applyNumberFormat="1" applyFont="1" applyBorder="1" applyAlignment="1">
      <alignment horizontal="left"/>
    </xf>
    <xf numFmtId="0" fontId="1" fillId="0" borderId="12" xfId="0" applyFont="1" applyBorder="1" applyAlignment="1">
      <alignment horizontal="center"/>
    </xf>
    <xf numFmtId="167" fontId="1" fillId="0" borderId="12" xfId="0" applyNumberFormat="1" applyFont="1" applyBorder="1" applyAlignment="1">
      <alignment horizontal="center"/>
    </xf>
    <xf numFmtId="167" fontId="1" fillId="0" borderId="45" xfId="0" applyNumberFormat="1" applyFont="1" applyBorder="1" applyAlignment="1">
      <alignment horizontal="right"/>
    </xf>
    <xf numFmtId="165" fontId="1" fillId="0" borderId="1" xfId="0" applyNumberFormat="1" applyFont="1" applyBorder="1" applyAlignment="1">
      <alignment horizontal="left"/>
    </xf>
    <xf numFmtId="2" fontId="1" fillId="0" borderId="46" xfId="0" applyNumberFormat="1" applyFont="1" applyBorder="1" applyAlignment="1">
      <alignment horizontal="left"/>
    </xf>
    <xf numFmtId="2" fontId="1" fillId="2" borderId="46" xfId="0" applyNumberFormat="1" applyFont="1" applyFill="1" applyBorder="1" applyAlignment="1" applyProtection="1">
      <alignment horizontal="left"/>
      <protection locked="0"/>
    </xf>
    <xf numFmtId="0" fontId="0" fillId="0" borderId="47" xfId="0" applyBorder="1"/>
    <xf numFmtId="0" fontId="1" fillId="0" borderId="46" xfId="0" applyFont="1" applyBorder="1" applyAlignment="1">
      <alignment horizontal="center"/>
    </xf>
    <xf numFmtId="173" fontId="1" fillId="0" borderId="46" xfId="2" applyNumberFormat="1" applyFont="1" applyBorder="1" applyAlignment="1" applyProtection="1">
      <alignment horizontal="left"/>
    </xf>
    <xf numFmtId="167" fontId="1" fillId="0" borderId="46" xfId="0" applyNumberFormat="1" applyFont="1" applyBorder="1" applyAlignment="1">
      <alignment horizontal="center"/>
    </xf>
    <xf numFmtId="167" fontId="1" fillId="0" borderId="3" xfId="0" applyNumberFormat="1" applyFont="1" applyBorder="1" applyAlignment="1">
      <alignment horizontal="right"/>
    </xf>
    <xf numFmtId="0" fontId="1" fillId="0" borderId="26" xfId="0" applyFont="1" applyBorder="1"/>
    <xf numFmtId="0" fontId="1" fillId="0" borderId="47" xfId="0" applyFont="1" applyBorder="1"/>
    <xf numFmtId="0" fontId="1" fillId="0" borderId="48" xfId="0" applyFont="1" applyBorder="1"/>
    <xf numFmtId="0" fontId="2" fillId="0" borderId="0" xfId="0" applyFont="1" applyAlignment="1">
      <alignment horizontal="center"/>
    </xf>
    <xf numFmtId="167" fontId="0" fillId="0" borderId="0" xfId="0" applyNumberFormat="1"/>
    <xf numFmtId="170" fontId="30" fillId="0" borderId="0" xfId="3" applyBorder="1" applyProtection="1"/>
    <xf numFmtId="0" fontId="4" fillId="6" borderId="33" xfId="0" applyFont="1" applyFill="1" applyBorder="1" applyAlignment="1">
      <alignment horizontal="center"/>
    </xf>
    <xf numFmtId="167" fontId="4" fillId="6" borderId="33" xfId="0" applyNumberFormat="1" applyFont="1" applyFill="1" applyBorder="1"/>
    <xf numFmtId="167" fontId="4" fillId="6" borderId="19" xfId="0" applyNumberFormat="1" applyFont="1" applyFill="1" applyBorder="1" applyAlignment="1">
      <alignment horizontal="center"/>
    </xf>
    <xf numFmtId="1" fontId="2" fillId="2" borderId="9" xfId="0" applyNumberFormat="1" applyFont="1" applyFill="1" applyBorder="1" applyAlignment="1">
      <alignment horizontal="center"/>
    </xf>
    <xf numFmtId="167" fontId="2" fillId="2" borderId="9" xfId="0" applyNumberFormat="1" applyFont="1" applyFill="1" applyBorder="1"/>
    <xf numFmtId="167" fontId="2" fillId="2" borderId="22" xfId="0" applyNumberFormat="1" applyFont="1" applyFill="1" applyBorder="1"/>
    <xf numFmtId="0" fontId="1" fillId="0" borderId="8" xfId="0" applyFont="1" applyBorder="1" applyAlignment="1">
      <alignment horizontal="left"/>
    </xf>
    <xf numFmtId="0" fontId="1" fillId="0" borderId="21" xfId="0" applyFont="1" applyBorder="1" applyAlignment="1">
      <alignment horizontal="left"/>
    </xf>
    <xf numFmtId="0" fontId="1" fillId="0" borderId="27" xfId="0" applyFont="1" applyBorder="1" applyAlignment="1">
      <alignment horizontal="left"/>
    </xf>
    <xf numFmtId="1" fontId="2" fillId="0" borderId="9" xfId="0" applyNumberFormat="1" applyFont="1" applyBorder="1" applyAlignment="1">
      <alignment horizontal="center"/>
    </xf>
    <xf numFmtId="0" fontId="2" fillId="0" borderId="9" xfId="0" applyFont="1" applyBorder="1" applyAlignment="1">
      <alignment horizontal="center"/>
    </xf>
    <xf numFmtId="167" fontId="2" fillId="0" borderId="9" xfId="0" applyNumberFormat="1" applyFont="1" applyBorder="1"/>
    <xf numFmtId="167" fontId="2" fillId="0" borderId="22" xfId="0" applyNumberFormat="1" applyFont="1" applyBorder="1"/>
    <xf numFmtId="165" fontId="1" fillId="2" borderId="8" xfId="0" applyNumberFormat="1" applyFont="1" applyFill="1" applyBorder="1" applyAlignment="1">
      <alignment horizontal="left"/>
    </xf>
    <xf numFmtId="0" fontId="1" fillId="2" borderId="21" xfId="0" applyFont="1" applyFill="1" applyBorder="1" applyAlignment="1">
      <alignment horizontal="left"/>
    </xf>
    <xf numFmtId="0" fontId="1" fillId="2" borderId="27" xfId="0" applyFont="1" applyFill="1" applyBorder="1" applyAlignment="1">
      <alignment horizontal="left"/>
    </xf>
    <xf numFmtId="0" fontId="2" fillId="2" borderId="9" xfId="0" applyFont="1" applyFill="1" applyBorder="1" applyAlignment="1">
      <alignment horizontal="center"/>
    </xf>
    <xf numFmtId="1" fontId="2" fillId="2" borderId="35" xfId="0" applyNumberFormat="1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167" fontId="2" fillId="2" borderId="12" xfId="0" applyNumberFormat="1" applyFont="1" applyFill="1" applyBorder="1"/>
    <xf numFmtId="167" fontId="2" fillId="2" borderId="45" xfId="0" applyNumberFormat="1" applyFont="1" applyFill="1" applyBorder="1"/>
    <xf numFmtId="0" fontId="5" fillId="7" borderId="17" xfId="0" applyFont="1" applyFill="1" applyBorder="1" applyAlignment="1">
      <alignment horizontal="left"/>
    </xf>
    <xf numFmtId="167" fontId="6" fillId="7" borderId="33" xfId="0" applyNumberFormat="1" applyFont="1" applyFill="1" applyBorder="1"/>
    <xf numFmtId="167" fontId="2" fillId="0" borderId="33" xfId="0" applyNumberFormat="1" applyFont="1" applyBorder="1"/>
    <xf numFmtId="173" fontId="5" fillId="7" borderId="19" xfId="0" applyNumberFormat="1" applyFont="1" applyFill="1" applyBorder="1" applyAlignment="1">
      <alignment horizontal="left"/>
    </xf>
    <xf numFmtId="0" fontId="5" fillId="7" borderId="20" xfId="0" applyFont="1" applyFill="1" applyBorder="1" applyAlignment="1">
      <alignment horizontal="left"/>
    </xf>
    <xf numFmtId="167" fontId="6" fillId="7" borderId="9" xfId="0" applyNumberFormat="1" applyFont="1" applyFill="1" applyBorder="1"/>
    <xf numFmtId="173" fontId="5" fillId="7" borderId="22" xfId="0" applyNumberFormat="1" applyFont="1" applyFill="1" applyBorder="1" applyAlignment="1">
      <alignment horizontal="left"/>
    </xf>
    <xf numFmtId="173" fontId="5" fillId="7" borderId="22" xfId="2" applyNumberFormat="1" applyFont="1" applyFill="1" applyBorder="1" applyAlignment="1" applyProtection="1">
      <alignment horizontal="left"/>
    </xf>
    <xf numFmtId="170" fontId="6" fillId="7" borderId="9" xfId="3" applyFont="1" applyFill="1" applyBorder="1" applyProtection="1"/>
    <xf numFmtId="170" fontId="5" fillId="7" borderId="22" xfId="3" applyFont="1" applyFill="1" applyBorder="1" applyAlignment="1" applyProtection="1">
      <alignment horizontal="right"/>
    </xf>
    <xf numFmtId="174" fontId="6" fillId="7" borderId="9" xfId="0" applyNumberFormat="1" applyFont="1" applyFill="1" applyBorder="1"/>
    <xf numFmtId="0" fontId="5" fillId="7" borderId="22" xfId="0" applyFont="1" applyFill="1" applyBorder="1" applyAlignment="1">
      <alignment horizontal="right"/>
    </xf>
    <xf numFmtId="173" fontId="5" fillId="7" borderId="22" xfId="2" applyNumberFormat="1" applyFont="1" applyFill="1" applyBorder="1" applyAlignment="1" applyProtection="1">
      <alignment horizontal="right"/>
    </xf>
    <xf numFmtId="0" fontId="1" fillId="0" borderId="0" xfId="0" applyFont="1" applyAlignment="1">
      <alignment wrapText="1"/>
    </xf>
    <xf numFmtId="0" fontId="5" fillId="7" borderId="23" xfId="0" applyFont="1" applyFill="1" applyBorder="1" applyAlignment="1">
      <alignment horizontal="left"/>
    </xf>
    <xf numFmtId="0" fontId="0" fillId="0" borderId="35" xfId="0" applyBorder="1"/>
    <xf numFmtId="170" fontId="5" fillId="7" borderId="25" xfId="3" applyFont="1" applyFill="1" applyBorder="1" applyAlignment="1" applyProtection="1">
      <alignment horizontal="right"/>
    </xf>
    <xf numFmtId="0" fontId="0" fillId="0" borderId="0" xfId="0" applyAlignment="1">
      <alignment wrapText="1"/>
    </xf>
    <xf numFmtId="0" fontId="0" fillId="13" borderId="0" xfId="0" applyFill="1"/>
    <xf numFmtId="0" fontId="2" fillId="0" borderId="10" xfId="0" applyFont="1" applyBorder="1"/>
    <xf numFmtId="0" fontId="2" fillId="0" borderId="21" xfId="0" applyFont="1" applyBorder="1"/>
    <xf numFmtId="0" fontId="0" fillId="14" borderId="0" xfId="0" applyFill="1"/>
    <xf numFmtId="0" fontId="2" fillId="13" borderId="12" xfId="0" applyFont="1" applyFill="1" applyBorder="1" applyAlignment="1">
      <alignment horizontal="center" wrapText="1"/>
    </xf>
    <xf numFmtId="170" fontId="0" fillId="0" borderId="0" xfId="0" applyNumberFormat="1"/>
    <xf numFmtId="172" fontId="1" fillId="13" borderId="33" xfId="2" applyNumberFormat="1" applyFont="1" applyFill="1" applyBorder="1" applyAlignment="1" applyProtection="1">
      <alignment horizontal="center"/>
    </xf>
    <xf numFmtId="0" fontId="1" fillId="13" borderId="33" xfId="0" applyFont="1" applyFill="1" applyBorder="1" applyAlignment="1">
      <alignment horizontal="center"/>
    </xf>
    <xf numFmtId="171" fontId="1" fillId="13" borderId="19" xfId="0" applyNumberFormat="1" applyFont="1" applyFill="1" applyBorder="1" applyAlignment="1">
      <alignment horizontal="center"/>
    </xf>
    <xf numFmtId="171" fontId="1" fillId="0" borderId="19" xfId="0" applyNumberFormat="1" applyFont="1" applyBorder="1" applyAlignment="1">
      <alignment horizontal="center"/>
    </xf>
    <xf numFmtId="172" fontId="1" fillId="15" borderId="0" xfId="2" applyNumberFormat="1" applyFont="1" applyFill="1" applyBorder="1" applyAlignment="1" applyProtection="1">
      <alignment horizontal="center"/>
    </xf>
    <xf numFmtId="0" fontId="1" fillId="15" borderId="0" xfId="0" applyFont="1" applyFill="1" applyAlignment="1">
      <alignment horizontal="center"/>
    </xf>
    <xf numFmtId="172" fontId="1" fillId="15" borderId="0" xfId="0" applyNumberFormat="1" applyFont="1" applyFill="1" applyAlignment="1">
      <alignment horizontal="center"/>
    </xf>
    <xf numFmtId="172" fontId="2" fillId="15" borderId="0" xfId="2" applyNumberFormat="1" applyFont="1" applyFill="1" applyBorder="1" applyAlignment="1" applyProtection="1">
      <alignment horizontal="center"/>
    </xf>
    <xf numFmtId="2" fontId="1" fillId="13" borderId="9" xfId="0" applyNumberFormat="1" applyFont="1" applyFill="1" applyBorder="1" applyAlignment="1">
      <alignment horizontal="center"/>
    </xf>
    <xf numFmtId="167" fontId="1" fillId="13" borderId="9" xfId="0" applyNumberFormat="1" applyFont="1" applyFill="1" applyBorder="1" applyAlignment="1">
      <alignment horizontal="center"/>
    </xf>
    <xf numFmtId="171" fontId="1" fillId="13" borderId="22" xfId="0" applyNumberFormat="1" applyFont="1" applyFill="1" applyBorder="1" applyAlignment="1">
      <alignment horizontal="right"/>
    </xf>
    <xf numFmtId="171" fontId="1" fillId="0" borderId="22" xfId="0" applyNumberFormat="1" applyFont="1" applyBorder="1" applyAlignment="1">
      <alignment horizontal="right"/>
    </xf>
    <xf numFmtId="2" fontId="1" fillId="15" borderId="0" xfId="0" applyNumberFormat="1" applyFont="1" applyFill="1" applyAlignment="1">
      <alignment horizontal="center"/>
    </xf>
    <xf numFmtId="167" fontId="1" fillId="15" borderId="0" xfId="0" applyNumberFormat="1" applyFont="1" applyFill="1" applyAlignment="1">
      <alignment horizontal="center"/>
    </xf>
    <xf numFmtId="167" fontId="1" fillId="15" borderId="0" xfId="0" applyNumberFormat="1" applyFont="1" applyFill="1" applyAlignment="1">
      <alignment horizontal="right"/>
    </xf>
    <xf numFmtId="2" fontId="2" fillId="15" borderId="0" xfId="0" applyNumberFormat="1" applyFont="1" applyFill="1" applyAlignment="1">
      <alignment horizontal="center"/>
    </xf>
    <xf numFmtId="171" fontId="0" fillId="0" borderId="0" xfId="0" applyNumberFormat="1"/>
    <xf numFmtId="2" fontId="1" fillId="13" borderId="35" xfId="0" applyNumberFormat="1" applyFont="1" applyFill="1" applyBorder="1" applyAlignment="1">
      <alignment horizontal="center"/>
    </xf>
    <xf numFmtId="1" fontId="1" fillId="13" borderId="35" xfId="0" applyNumberFormat="1" applyFont="1" applyFill="1" applyBorder="1" applyAlignment="1">
      <alignment horizontal="center"/>
    </xf>
    <xf numFmtId="171" fontId="1" fillId="13" borderId="25" xfId="0" applyNumberFormat="1" applyFont="1" applyFill="1" applyBorder="1" applyAlignment="1">
      <alignment horizontal="right"/>
    </xf>
    <xf numFmtId="171" fontId="1" fillId="0" borderId="25" xfId="0" applyNumberFormat="1" applyFont="1" applyBorder="1" applyAlignment="1">
      <alignment horizontal="right"/>
    </xf>
    <xf numFmtId="1" fontId="1" fillId="15" borderId="0" xfId="0" applyNumberFormat="1" applyFont="1" applyFill="1" applyAlignment="1">
      <alignment horizontal="center"/>
    </xf>
    <xf numFmtId="173" fontId="0" fillId="0" borderId="0" xfId="0" applyNumberFormat="1"/>
    <xf numFmtId="2" fontId="1" fillId="13" borderId="38" xfId="0" applyNumberFormat="1" applyFont="1" applyFill="1" applyBorder="1" applyAlignment="1">
      <alignment horizontal="center"/>
    </xf>
    <xf numFmtId="167" fontId="1" fillId="13" borderId="38" xfId="0" applyNumberFormat="1" applyFont="1" applyFill="1" applyBorder="1" applyAlignment="1">
      <alignment horizontal="center"/>
    </xf>
    <xf numFmtId="167" fontId="1" fillId="13" borderId="39" xfId="0" applyNumberFormat="1" applyFont="1" applyFill="1" applyBorder="1" applyAlignment="1">
      <alignment horizontal="right"/>
    </xf>
    <xf numFmtId="2" fontId="2" fillId="0" borderId="38" xfId="0" applyNumberFormat="1" applyFont="1" applyBorder="1" applyAlignment="1">
      <alignment horizontal="center"/>
    </xf>
    <xf numFmtId="171" fontId="1" fillId="0" borderId="33" xfId="0" applyNumberFormat="1" applyFont="1" applyBorder="1" applyAlignment="1">
      <alignment horizontal="center"/>
    </xf>
    <xf numFmtId="171" fontId="1" fillId="13" borderId="33" xfId="0" applyNumberFormat="1" applyFont="1" applyFill="1" applyBorder="1" applyAlignment="1">
      <alignment horizontal="center"/>
    </xf>
    <xf numFmtId="171" fontId="1" fillId="13" borderId="19" xfId="0" applyNumberFormat="1" applyFont="1" applyFill="1" applyBorder="1" applyAlignment="1">
      <alignment horizontal="right"/>
    </xf>
    <xf numFmtId="171" fontId="2" fillId="0" borderId="33" xfId="0" applyNumberFormat="1" applyFont="1" applyBorder="1" applyAlignment="1">
      <alignment horizontal="center"/>
    </xf>
    <xf numFmtId="165" fontId="4" fillId="16" borderId="8" xfId="0" applyNumberFormat="1" applyFont="1" applyFill="1" applyBorder="1" applyAlignment="1">
      <alignment horizontal="left" vertical="center"/>
    </xf>
    <xf numFmtId="0" fontId="1" fillId="2" borderId="5" xfId="0" applyFont="1" applyFill="1" applyBorder="1" applyAlignment="1" applyProtection="1">
      <alignment horizontal="center"/>
      <protection locked="0"/>
    </xf>
    <xf numFmtId="0" fontId="1" fillId="17" borderId="8" xfId="0" applyFont="1" applyFill="1" applyBorder="1" applyAlignment="1">
      <alignment horizontal="left" vertical="center"/>
    </xf>
    <xf numFmtId="0" fontId="0" fillId="18" borderId="0" xfId="0" applyFill="1"/>
    <xf numFmtId="0" fontId="0" fillId="19" borderId="0" xfId="0" applyFill="1"/>
    <xf numFmtId="0" fontId="0" fillId="20" borderId="0" xfId="0" applyFill="1"/>
    <xf numFmtId="175" fontId="0" fillId="19" borderId="0" xfId="0" applyNumberFormat="1" applyFill="1"/>
    <xf numFmtId="175" fontId="1" fillId="19" borderId="0" xfId="0" applyNumberFormat="1" applyFont="1" applyFill="1"/>
    <xf numFmtId="175" fontId="1" fillId="20" borderId="0" xfId="0" applyNumberFormat="1" applyFont="1" applyFill="1"/>
    <xf numFmtId="0" fontId="0" fillId="21" borderId="0" xfId="0" applyFill="1"/>
    <xf numFmtId="175" fontId="1" fillId="21" borderId="0" xfId="0" applyNumberFormat="1" applyFont="1" applyFill="1"/>
    <xf numFmtId="2" fontId="1" fillId="21" borderId="0" xfId="0" applyNumberFormat="1" applyFont="1" applyFill="1"/>
    <xf numFmtId="0" fontId="0" fillId="9" borderId="0" xfId="0" applyFill="1"/>
    <xf numFmtId="175" fontId="1" fillId="9" borderId="0" xfId="0" applyNumberFormat="1" applyFont="1" applyFill="1"/>
    <xf numFmtId="0" fontId="3" fillId="5" borderId="8" xfId="0" applyFont="1" applyFill="1" applyBorder="1" applyAlignment="1">
      <alignment horizontal="left" vertical="center"/>
    </xf>
    <xf numFmtId="0" fontId="1" fillId="17" borderId="9" xfId="0" applyFont="1" applyFill="1" applyBorder="1" applyAlignment="1">
      <alignment horizontal="left"/>
    </xf>
    <xf numFmtId="0" fontId="3" fillId="16" borderId="8" xfId="0" applyFont="1" applyFill="1" applyBorder="1" applyAlignment="1">
      <alignment horizontal="left" vertical="center"/>
    </xf>
    <xf numFmtId="0" fontId="1" fillId="17" borderId="20" xfId="0" applyFont="1" applyFill="1" applyBorder="1" applyAlignment="1">
      <alignment horizontal="left"/>
    </xf>
    <xf numFmtId="165" fontId="2" fillId="2" borderId="20" xfId="0" applyNumberFormat="1" applyFont="1" applyFill="1" applyBorder="1" applyAlignment="1" applyProtection="1">
      <alignment horizontal="left"/>
      <protection locked="0"/>
    </xf>
    <xf numFmtId="165" fontId="1" fillId="2" borderId="1" xfId="0" applyNumberFormat="1" applyFont="1" applyFill="1" applyBorder="1" applyAlignment="1" applyProtection="1">
      <alignment horizontal="left"/>
      <protection locked="0"/>
    </xf>
    <xf numFmtId="0" fontId="1" fillId="2" borderId="46" xfId="0" applyFont="1" applyFill="1" applyBorder="1" applyAlignment="1" applyProtection="1">
      <alignment horizontal="center"/>
      <protection locked="0"/>
    </xf>
    <xf numFmtId="1" fontId="1" fillId="2" borderId="46" xfId="0" applyNumberFormat="1" applyFont="1" applyFill="1" applyBorder="1" applyAlignment="1" applyProtection="1">
      <alignment horizontal="center"/>
      <protection locked="0"/>
    </xf>
    <xf numFmtId="165" fontId="2" fillId="22" borderId="1" xfId="0" applyNumberFormat="1" applyFont="1" applyFill="1" applyBorder="1" applyAlignment="1" applyProtection="1">
      <alignment horizontal="left"/>
      <protection locked="0"/>
    </xf>
    <xf numFmtId="2" fontId="2" fillId="22" borderId="46" xfId="0" applyNumberFormat="1" applyFont="1" applyFill="1" applyBorder="1" applyAlignment="1" applyProtection="1">
      <alignment horizontal="left"/>
      <protection locked="0"/>
    </xf>
    <xf numFmtId="2" fontId="2" fillId="22" borderId="46" xfId="0" applyNumberFormat="1" applyFont="1" applyFill="1" applyBorder="1" applyAlignment="1">
      <alignment horizontal="left"/>
    </xf>
    <xf numFmtId="1" fontId="2" fillId="22" borderId="46" xfId="0" applyNumberFormat="1" applyFont="1" applyFill="1" applyBorder="1" applyAlignment="1" applyProtection="1">
      <alignment horizontal="center"/>
      <protection locked="0"/>
    </xf>
    <xf numFmtId="171" fontId="2" fillId="22" borderId="46" xfId="0" applyNumberFormat="1" applyFont="1" applyFill="1" applyBorder="1" applyAlignment="1">
      <alignment horizontal="center"/>
    </xf>
    <xf numFmtId="171" fontId="2" fillId="22" borderId="3" xfId="0" applyNumberFormat="1" applyFont="1" applyFill="1" applyBorder="1" applyAlignment="1">
      <alignment horizontal="right"/>
    </xf>
    <xf numFmtId="165" fontId="1" fillId="2" borderId="49" xfId="0" applyNumberFormat="1" applyFont="1" applyFill="1" applyBorder="1" applyAlignment="1" applyProtection="1">
      <alignment horizontal="left"/>
      <protection locked="0"/>
    </xf>
    <xf numFmtId="2" fontId="1" fillId="2" borderId="5" xfId="0" applyNumberFormat="1" applyFont="1" applyFill="1" applyBorder="1" applyAlignment="1" applyProtection="1">
      <alignment horizontal="left"/>
      <protection locked="0"/>
    </xf>
    <xf numFmtId="2" fontId="1" fillId="0" borderId="5" xfId="0" applyNumberFormat="1" applyFont="1" applyBorder="1" applyAlignment="1">
      <alignment horizontal="left"/>
    </xf>
    <xf numFmtId="171" fontId="1" fillId="0" borderId="5" xfId="0" applyNumberFormat="1" applyFont="1" applyBorder="1" applyAlignment="1">
      <alignment horizontal="center"/>
    </xf>
    <xf numFmtId="171" fontId="1" fillId="13" borderId="5" xfId="0" applyNumberFormat="1" applyFont="1" applyFill="1" applyBorder="1" applyAlignment="1">
      <alignment horizontal="center"/>
    </xf>
    <xf numFmtId="171" fontId="1" fillId="13" borderId="50" xfId="0" applyNumberFormat="1" applyFont="1" applyFill="1" applyBorder="1" applyAlignment="1">
      <alignment horizontal="right"/>
    </xf>
    <xf numFmtId="171" fontId="1" fillId="0" borderId="50" xfId="0" applyNumberFormat="1" applyFont="1" applyBorder="1" applyAlignment="1">
      <alignment horizontal="right"/>
    </xf>
    <xf numFmtId="171" fontId="2" fillId="0" borderId="5" xfId="0" applyNumberFormat="1" applyFont="1" applyBorder="1" applyAlignment="1">
      <alignment horizontal="center"/>
    </xf>
    <xf numFmtId="171" fontId="2" fillId="12" borderId="15" xfId="0" applyNumberFormat="1" applyFont="1" applyFill="1" applyBorder="1" applyAlignment="1">
      <alignment horizontal="center"/>
    </xf>
    <xf numFmtId="171" fontId="2" fillId="13" borderId="15" xfId="0" applyNumberFormat="1" applyFont="1" applyFill="1" applyBorder="1" applyAlignment="1">
      <alignment horizontal="center"/>
    </xf>
    <xf numFmtId="171" fontId="2" fillId="13" borderId="40" xfId="0" applyNumberFormat="1" applyFont="1" applyFill="1" applyBorder="1" applyAlignment="1">
      <alignment horizontal="right"/>
    </xf>
    <xf numFmtId="171" fontId="2" fillId="12" borderId="40" xfId="0" applyNumberFormat="1" applyFont="1" applyFill="1" applyBorder="1" applyAlignment="1">
      <alignment horizontal="right"/>
    </xf>
    <xf numFmtId="172" fontId="0" fillId="14" borderId="0" xfId="0" applyNumberFormat="1" applyFill="1"/>
    <xf numFmtId="171" fontId="1" fillId="0" borderId="9" xfId="0" applyNumberFormat="1" applyFont="1" applyBorder="1" applyAlignment="1">
      <alignment horizontal="center"/>
    </xf>
    <xf numFmtId="171" fontId="1" fillId="13" borderId="9" xfId="0" applyNumberFormat="1" applyFont="1" applyFill="1" applyBorder="1" applyAlignment="1">
      <alignment horizontal="center"/>
    </xf>
    <xf numFmtId="171" fontId="2" fillId="0" borderId="9" xfId="0" applyNumberFormat="1" applyFont="1" applyBorder="1" applyAlignment="1">
      <alignment horizontal="center"/>
    </xf>
    <xf numFmtId="171" fontId="1" fillId="0" borderId="35" xfId="0" applyNumberFormat="1" applyFont="1" applyBorder="1" applyAlignment="1">
      <alignment horizontal="center"/>
    </xf>
    <xf numFmtId="171" fontId="1" fillId="13" borderId="35" xfId="0" applyNumberFormat="1" applyFont="1" applyFill="1" applyBorder="1" applyAlignment="1">
      <alignment horizontal="center"/>
    </xf>
    <xf numFmtId="171" fontId="2" fillId="0" borderId="35" xfId="0" applyNumberFormat="1" applyFont="1" applyBorder="1" applyAlignment="1">
      <alignment horizontal="center"/>
    </xf>
    <xf numFmtId="2" fontId="1" fillId="15" borderId="35" xfId="0" applyNumberFormat="1" applyFont="1" applyFill="1" applyBorder="1" applyAlignment="1">
      <alignment horizontal="left"/>
    </xf>
    <xf numFmtId="2" fontId="1" fillId="15" borderId="12" xfId="0" applyNumberFormat="1" applyFont="1" applyFill="1" applyBorder="1" applyAlignment="1">
      <alignment horizontal="left"/>
    </xf>
    <xf numFmtId="0" fontId="1" fillId="2" borderId="12" xfId="0" applyFont="1" applyFill="1" applyBorder="1" applyAlignment="1" applyProtection="1">
      <alignment horizontal="center"/>
      <protection locked="0"/>
    </xf>
    <xf numFmtId="0" fontId="1" fillId="2" borderId="38" xfId="0" applyFont="1" applyFill="1" applyBorder="1" applyAlignment="1" applyProtection="1">
      <alignment horizontal="center"/>
      <protection locked="0"/>
    </xf>
    <xf numFmtId="172" fontId="2" fillId="4" borderId="0" xfId="0" applyNumberFormat="1" applyFont="1" applyFill="1"/>
    <xf numFmtId="0" fontId="13" fillId="14" borderId="0" xfId="0" applyFont="1" applyFill="1"/>
    <xf numFmtId="171" fontId="1" fillId="0" borderId="12" xfId="0" applyNumberFormat="1" applyFont="1" applyBorder="1" applyAlignment="1">
      <alignment horizontal="center"/>
    </xf>
    <xf numFmtId="171" fontId="1" fillId="13" borderId="12" xfId="0" applyNumberFormat="1" applyFont="1" applyFill="1" applyBorder="1" applyAlignment="1">
      <alignment horizontal="center"/>
    </xf>
    <xf numFmtId="171" fontId="1" fillId="13" borderId="45" xfId="0" applyNumberFormat="1" applyFont="1" applyFill="1" applyBorder="1" applyAlignment="1">
      <alignment horizontal="right"/>
    </xf>
    <xf numFmtId="171" fontId="1" fillId="0" borderId="45" xfId="0" applyNumberFormat="1" applyFont="1" applyBorder="1" applyAlignment="1">
      <alignment horizontal="right"/>
    </xf>
    <xf numFmtId="2" fontId="1" fillId="2" borderId="46" xfId="0" applyNumberFormat="1" applyFont="1" applyFill="1" applyBorder="1" applyAlignment="1">
      <alignment horizontal="left"/>
    </xf>
    <xf numFmtId="171" fontId="1" fillId="0" borderId="46" xfId="2" applyNumberFormat="1" applyFont="1" applyBorder="1" applyAlignment="1" applyProtection="1">
      <alignment horizontal="left"/>
    </xf>
    <xf numFmtId="171" fontId="1" fillId="13" borderId="46" xfId="2" applyNumberFormat="1" applyFont="1" applyFill="1" applyBorder="1" applyAlignment="1" applyProtection="1">
      <alignment horizontal="left"/>
    </xf>
    <xf numFmtId="171" fontId="1" fillId="0" borderId="46" xfId="0" applyNumberFormat="1" applyFont="1" applyBorder="1" applyAlignment="1">
      <alignment horizontal="center"/>
    </xf>
    <xf numFmtId="171" fontId="1" fillId="13" borderId="46" xfId="0" applyNumberFormat="1" applyFont="1" applyFill="1" applyBorder="1" applyAlignment="1">
      <alignment horizontal="center"/>
    </xf>
    <xf numFmtId="171" fontId="1" fillId="13" borderId="3" xfId="0" applyNumberFormat="1" applyFont="1" applyFill="1" applyBorder="1" applyAlignment="1">
      <alignment horizontal="right"/>
    </xf>
    <xf numFmtId="171" fontId="1" fillId="0" borderId="3" xfId="0" applyNumberFormat="1" applyFont="1" applyBorder="1" applyAlignment="1">
      <alignment horizontal="right"/>
    </xf>
    <xf numFmtId="173" fontId="14" fillId="14" borderId="0" xfId="0" applyNumberFormat="1" applyFont="1" applyFill="1"/>
    <xf numFmtId="171" fontId="2" fillId="0" borderId="46" xfId="2" applyNumberFormat="1" applyFont="1" applyBorder="1" applyAlignment="1" applyProtection="1">
      <alignment horizontal="left"/>
    </xf>
    <xf numFmtId="171" fontId="1" fillId="0" borderId="33" xfId="1" applyNumberFormat="1" applyFont="1" applyBorder="1" applyAlignment="1" applyProtection="1">
      <alignment horizontal="center"/>
    </xf>
    <xf numFmtId="171" fontId="1" fillId="0" borderId="19" xfId="0" applyNumberFormat="1" applyFont="1" applyBorder="1" applyAlignment="1">
      <alignment horizontal="right"/>
    </xf>
    <xf numFmtId="171" fontId="1" fillId="0" borderId="47" xfId="0" applyNumberFormat="1" applyFont="1" applyBorder="1"/>
    <xf numFmtId="171" fontId="1" fillId="13" borderId="47" xfId="0" applyNumberFormat="1" applyFont="1" applyFill="1" applyBorder="1"/>
    <xf numFmtId="171" fontId="1" fillId="13" borderId="48" xfId="0" applyNumberFormat="1" applyFont="1" applyFill="1" applyBorder="1"/>
    <xf numFmtId="171" fontId="1" fillId="0" borderId="48" xfId="0" applyNumberFormat="1" applyFont="1" applyBorder="1"/>
    <xf numFmtId="167" fontId="14" fillId="14" borderId="0" xfId="0" applyNumberFormat="1" applyFont="1" applyFill="1"/>
    <xf numFmtId="171" fontId="2" fillId="0" borderId="47" xfId="0" applyNumberFormat="1" applyFont="1" applyBorder="1"/>
    <xf numFmtId="167" fontId="2" fillId="13" borderId="0" xfId="0" applyNumberFormat="1" applyFont="1" applyFill="1"/>
    <xf numFmtId="167" fontId="13" fillId="0" borderId="0" xfId="0" applyNumberFormat="1" applyFont="1"/>
    <xf numFmtId="171" fontId="2" fillId="0" borderId="0" xfId="0" applyNumberFormat="1" applyFont="1"/>
    <xf numFmtId="171" fontId="2" fillId="0" borderId="0" xfId="2" applyNumberFormat="1" applyFont="1" applyBorder="1" applyProtection="1"/>
    <xf numFmtId="171" fontId="2" fillId="0" borderId="0" xfId="0" applyNumberFormat="1" applyFont="1" applyAlignment="1">
      <alignment horizontal="center"/>
    </xf>
    <xf numFmtId="170" fontId="2" fillId="0" borderId="0" xfId="0" applyNumberFormat="1" applyFont="1" applyAlignment="1">
      <alignment horizontal="center"/>
    </xf>
    <xf numFmtId="171" fontId="2" fillId="0" borderId="0" xfId="3" applyNumberFormat="1" applyFont="1" applyBorder="1" applyAlignment="1" applyProtection="1">
      <alignment horizontal="center"/>
    </xf>
    <xf numFmtId="173" fontId="2" fillId="0" borderId="0" xfId="0" applyNumberFormat="1" applyFont="1"/>
    <xf numFmtId="0" fontId="2" fillId="13" borderId="0" xfId="0" applyFont="1" applyFill="1"/>
    <xf numFmtId="171" fontId="30" fillId="0" borderId="0" xfId="2" applyNumberFormat="1" applyBorder="1" applyProtection="1"/>
    <xf numFmtId="0" fontId="1" fillId="13" borderId="0" xfId="0" applyFont="1" applyFill="1"/>
    <xf numFmtId="176" fontId="0" fillId="0" borderId="0" xfId="0" applyNumberFormat="1" applyAlignment="1">
      <alignment horizontal="right"/>
    </xf>
    <xf numFmtId="171" fontId="4" fillId="6" borderId="33" xfId="0" applyNumberFormat="1" applyFont="1" applyFill="1" applyBorder="1" applyAlignment="1">
      <alignment horizontal="center"/>
    </xf>
    <xf numFmtId="171" fontId="4" fillId="6" borderId="33" xfId="0" applyNumberFormat="1" applyFont="1" applyFill="1" applyBorder="1"/>
    <xf numFmtId="171" fontId="4" fillId="13" borderId="33" xfId="0" applyNumberFormat="1" applyFont="1" applyFill="1" applyBorder="1"/>
    <xf numFmtId="171" fontId="4" fillId="13" borderId="19" xfId="0" applyNumberFormat="1" applyFont="1" applyFill="1" applyBorder="1" applyAlignment="1">
      <alignment horizontal="center"/>
    </xf>
    <xf numFmtId="171" fontId="4" fillId="6" borderId="19" xfId="0" applyNumberFormat="1" applyFont="1" applyFill="1" applyBorder="1" applyAlignment="1">
      <alignment horizontal="center"/>
    </xf>
    <xf numFmtId="171" fontId="2" fillId="2" borderId="9" xfId="2" applyNumberFormat="1" applyFont="1" applyFill="1" applyBorder="1" applyProtection="1"/>
    <xf numFmtId="171" fontId="2" fillId="2" borderId="9" xfId="0" applyNumberFormat="1" applyFont="1" applyFill="1" applyBorder="1"/>
    <xf numFmtId="171" fontId="2" fillId="13" borderId="9" xfId="0" applyNumberFormat="1" applyFont="1" applyFill="1" applyBorder="1"/>
    <xf numFmtId="171" fontId="2" fillId="13" borderId="22" xfId="0" applyNumberFormat="1" applyFont="1" applyFill="1" applyBorder="1"/>
    <xf numFmtId="171" fontId="2" fillId="2" borderId="22" xfId="0" applyNumberFormat="1" applyFont="1" applyFill="1" applyBorder="1"/>
    <xf numFmtId="173" fontId="30" fillId="0" borderId="0" xfId="2" applyNumberFormat="1" applyBorder="1" applyProtection="1"/>
    <xf numFmtId="171" fontId="2" fillId="2" borderId="9" xfId="0" applyNumberFormat="1" applyFont="1" applyFill="1" applyBorder="1" applyAlignment="1">
      <alignment horizontal="center"/>
    </xf>
    <xf numFmtId="171" fontId="2" fillId="2" borderId="12" xfId="0" applyNumberFormat="1" applyFont="1" applyFill="1" applyBorder="1"/>
    <xf numFmtId="171" fontId="2" fillId="13" borderId="12" xfId="0" applyNumberFormat="1" applyFont="1" applyFill="1" applyBorder="1"/>
    <xf numFmtId="171" fontId="2" fillId="13" borderId="45" xfId="0" applyNumberFormat="1" applyFont="1" applyFill="1" applyBorder="1"/>
    <xf numFmtId="0" fontId="5" fillId="7" borderId="51" xfId="0" applyFont="1" applyFill="1" applyBorder="1" applyAlignment="1">
      <alignment horizontal="left"/>
    </xf>
    <xf numFmtId="167" fontId="6" fillId="13" borderId="33" xfId="0" applyNumberFormat="1" applyFont="1" applyFill="1" applyBorder="1"/>
    <xf numFmtId="167" fontId="2" fillId="13" borderId="33" xfId="0" applyNumberFormat="1" applyFont="1" applyFill="1" applyBorder="1"/>
    <xf numFmtId="171" fontId="5" fillId="13" borderId="19" xfId="0" applyNumberFormat="1" applyFont="1" applyFill="1" applyBorder="1" applyAlignment="1">
      <alignment horizontal="left"/>
    </xf>
    <xf numFmtId="171" fontId="5" fillId="7" borderId="19" xfId="0" applyNumberFormat="1" applyFont="1" applyFill="1" applyBorder="1" applyAlignment="1">
      <alignment horizontal="left"/>
    </xf>
    <xf numFmtId="171" fontId="2" fillId="18" borderId="0" xfId="0" applyNumberFormat="1" applyFont="1" applyFill="1"/>
    <xf numFmtId="0" fontId="7" fillId="8" borderId="20" xfId="0" applyFont="1" applyFill="1" applyBorder="1" applyAlignment="1">
      <alignment horizontal="left"/>
    </xf>
    <xf numFmtId="0" fontId="7" fillId="8" borderId="27" xfId="0" applyFont="1" applyFill="1" applyBorder="1" applyAlignment="1">
      <alignment horizontal="left"/>
    </xf>
    <xf numFmtId="167" fontId="8" fillId="8" borderId="9" xfId="0" applyNumberFormat="1" applyFont="1" applyFill="1" applyBorder="1"/>
    <xf numFmtId="167" fontId="1" fillId="8" borderId="9" xfId="0" applyNumberFormat="1" applyFont="1" applyFill="1" applyBorder="1"/>
    <xf numFmtId="171" fontId="7" fillId="8" borderId="22" xfId="0" applyNumberFormat="1" applyFont="1" applyFill="1" applyBorder="1" applyAlignment="1">
      <alignment horizontal="left"/>
    </xf>
    <xf numFmtId="171" fontId="7" fillId="8" borderId="22" xfId="2" applyNumberFormat="1" applyFont="1" applyFill="1" applyBorder="1" applyAlignment="1" applyProtection="1">
      <alignment horizontal="left"/>
    </xf>
    <xf numFmtId="170" fontId="8" fillId="8" borderId="9" xfId="3" applyFont="1" applyFill="1" applyBorder="1" applyProtection="1"/>
    <xf numFmtId="0" fontId="1" fillId="8" borderId="9" xfId="0" applyFont="1" applyFill="1" applyBorder="1"/>
    <xf numFmtId="171" fontId="7" fillId="8" borderId="22" xfId="3" applyNumberFormat="1" applyFont="1" applyFill="1" applyBorder="1" applyAlignment="1" applyProtection="1">
      <alignment horizontal="right"/>
    </xf>
    <xf numFmtId="170" fontId="2" fillId="9" borderId="0" xfId="3" applyFont="1" applyFill="1" applyBorder="1" applyProtection="1"/>
    <xf numFmtId="171" fontId="30" fillId="0" borderId="0" xfId="3" applyNumberFormat="1" applyBorder="1" applyProtection="1"/>
    <xf numFmtId="174" fontId="8" fillId="8" borderId="9" xfId="0" applyNumberFormat="1" applyFont="1" applyFill="1" applyBorder="1"/>
    <xf numFmtId="171" fontId="7" fillId="8" borderId="22" xfId="0" applyNumberFormat="1" applyFont="1" applyFill="1" applyBorder="1" applyAlignment="1">
      <alignment horizontal="right"/>
    </xf>
    <xf numFmtId="171" fontId="7" fillId="8" borderId="22" xfId="2" applyNumberFormat="1" applyFont="1" applyFill="1" applyBorder="1" applyAlignment="1" applyProtection="1">
      <alignment horizontal="right"/>
    </xf>
    <xf numFmtId="0" fontId="7" fillId="8" borderId="23" xfId="0" applyFont="1" applyFill="1" applyBorder="1" applyAlignment="1">
      <alignment horizontal="left"/>
    </xf>
    <xf numFmtId="0" fontId="7" fillId="8" borderId="52" xfId="0" applyFont="1" applyFill="1" applyBorder="1" applyAlignment="1">
      <alignment horizontal="left"/>
    </xf>
    <xf numFmtId="0" fontId="1" fillId="8" borderId="35" xfId="0" applyFont="1" applyFill="1" applyBorder="1"/>
    <xf numFmtId="171" fontId="7" fillId="8" borderId="25" xfId="3" applyNumberFormat="1" applyFont="1" applyFill="1" applyBorder="1" applyAlignment="1" applyProtection="1">
      <alignment horizontal="right"/>
    </xf>
    <xf numFmtId="0" fontId="15" fillId="0" borderId="0" xfId="0" applyFont="1"/>
    <xf numFmtId="171" fontId="15" fillId="0" borderId="0" xfId="0" applyNumberFormat="1" applyFont="1"/>
    <xf numFmtId="0" fontId="17" fillId="0" borderId="0" xfId="0" applyFont="1"/>
    <xf numFmtId="0" fontId="18" fillId="0" borderId="0" xfId="0" applyFont="1" applyAlignment="1">
      <alignment horizontal="center" vertical="center"/>
    </xf>
    <xf numFmtId="0" fontId="19" fillId="0" borderId="0" xfId="0" applyFont="1" applyAlignment="1">
      <alignment horizontal="center" vertical="center"/>
    </xf>
    <xf numFmtId="0" fontId="19" fillId="0" borderId="0" xfId="0" applyFont="1" applyAlignment="1">
      <alignment vertical="center"/>
    </xf>
    <xf numFmtId="177" fontId="19" fillId="0" borderId="0" xfId="0" applyNumberFormat="1" applyFont="1" applyAlignment="1">
      <alignment horizontal="center" vertical="center"/>
    </xf>
    <xf numFmtId="0" fontId="20" fillId="0" borderId="0" xfId="0" applyFont="1" applyAlignment="1">
      <alignment horizontal="center" vertical="center"/>
    </xf>
    <xf numFmtId="0" fontId="1" fillId="2" borderId="0" xfId="0" applyFont="1" applyFill="1"/>
    <xf numFmtId="0" fontId="21" fillId="0" borderId="0" xfId="0" applyFont="1" applyAlignment="1">
      <alignment vertical="center"/>
    </xf>
    <xf numFmtId="0" fontId="22" fillId="0" borderId="0" xfId="0" applyFont="1" applyAlignment="1">
      <alignment vertical="center"/>
    </xf>
    <xf numFmtId="0" fontId="23" fillId="0" borderId="0" xfId="0" applyFont="1" applyAlignment="1">
      <alignment vertical="center"/>
    </xf>
    <xf numFmtId="0" fontId="24" fillId="0" borderId="0" xfId="0" applyFont="1" applyAlignment="1">
      <alignment vertical="center"/>
    </xf>
    <xf numFmtId="0" fontId="0" fillId="0" borderId="0" xfId="0" applyAlignment="1">
      <alignment vertical="top"/>
    </xf>
    <xf numFmtId="0" fontId="23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3" fillId="0" borderId="0" xfId="0" applyFont="1" applyAlignment="1">
      <alignment horizontal="left" vertical="center" indent="2"/>
    </xf>
    <xf numFmtId="0" fontId="26" fillId="0" borderId="0" xfId="0" applyFont="1" applyAlignment="1">
      <alignment horizontal="center" vertical="center"/>
    </xf>
    <xf numFmtId="0" fontId="26" fillId="0" borderId="0" xfId="0" applyFont="1" applyAlignment="1">
      <alignment vertical="center"/>
    </xf>
    <xf numFmtId="0" fontId="27" fillId="4" borderId="7" xfId="0" applyFont="1" applyFill="1" applyBorder="1" applyAlignment="1">
      <alignment vertical="center"/>
    </xf>
    <xf numFmtId="0" fontId="27" fillId="4" borderId="48" xfId="0" applyFont="1" applyFill="1" applyBorder="1" applyAlignment="1">
      <alignment vertical="center"/>
    </xf>
    <xf numFmtId="0" fontId="27" fillId="4" borderId="48" xfId="0" applyFont="1" applyFill="1" applyBorder="1" applyAlignment="1">
      <alignment horizontal="justify" vertical="center"/>
    </xf>
    <xf numFmtId="0" fontId="28" fillId="4" borderId="53" xfId="0" applyFont="1" applyFill="1" applyBorder="1" applyAlignment="1">
      <alignment horizontal="justify" vertical="center"/>
    </xf>
    <xf numFmtId="0" fontId="28" fillId="4" borderId="54" xfId="0" applyFont="1" applyFill="1" applyBorder="1" applyAlignment="1">
      <alignment horizontal="justify" vertical="center"/>
    </xf>
    <xf numFmtId="0" fontId="28" fillId="4" borderId="54" xfId="0" applyFont="1" applyFill="1" applyBorder="1" applyAlignment="1">
      <alignment vertical="center"/>
    </xf>
    <xf numFmtId="0" fontId="0" fillId="0" borderId="55" xfId="0" applyBorder="1"/>
    <xf numFmtId="0" fontId="1" fillId="0" borderId="17" xfId="0" applyFont="1" applyBorder="1" applyAlignment="1">
      <alignment horizontal="center"/>
    </xf>
    <xf numFmtId="0" fontId="0" fillId="0" borderId="19" xfId="0" applyBorder="1" applyAlignment="1">
      <alignment horizontal="center"/>
    </xf>
    <xf numFmtId="173" fontId="2" fillId="0" borderId="22" xfId="2" applyNumberFormat="1" applyFont="1" applyBorder="1" applyProtection="1"/>
    <xf numFmtId="0" fontId="0" fillId="0" borderId="23" xfId="0" applyBorder="1"/>
    <xf numFmtId="0" fontId="0" fillId="0" borderId="25" xfId="0" applyBorder="1"/>
    <xf numFmtId="0" fontId="0" fillId="0" borderId="56" xfId="0" applyBorder="1"/>
    <xf numFmtId="0" fontId="0" fillId="0" borderId="57" xfId="0" applyBorder="1"/>
    <xf numFmtId="0" fontId="2" fillId="0" borderId="7" xfId="0" applyFont="1" applyBorder="1"/>
    <xf numFmtId="0" fontId="0" fillId="0" borderId="58" xfId="0" applyBorder="1"/>
    <xf numFmtId="0" fontId="0" fillId="0" borderId="28" xfId="0" applyBorder="1"/>
    <xf numFmtId="0" fontId="1" fillId="0" borderId="28" xfId="0" applyFont="1" applyBorder="1"/>
    <xf numFmtId="0" fontId="0" fillId="0" borderId="30" xfId="0" applyBorder="1"/>
    <xf numFmtId="167" fontId="0" fillId="4" borderId="9" xfId="0" applyNumberFormat="1" applyFill="1" applyBorder="1"/>
    <xf numFmtId="0" fontId="0" fillId="4" borderId="9" xfId="0" applyFill="1" applyBorder="1"/>
    <xf numFmtId="173" fontId="1" fillId="4" borderId="9" xfId="2" applyNumberFormat="1" applyFont="1" applyFill="1" applyBorder="1" applyProtection="1"/>
    <xf numFmtId="170" fontId="0" fillId="4" borderId="9" xfId="0" applyNumberFormat="1" applyFill="1" applyBorder="1"/>
    <xf numFmtId="17" fontId="0" fillId="4" borderId="9" xfId="0" applyNumberFormat="1" applyFill="1" applyBorder="1"/>
    <xf numFmtId="173" fontId="0" fillId="0" borderId="9" xfId="0" applyNumberFormat="1" applyBorder="1"/>
    <xf numFmtId="173" fontId="0" fillId="4" borderId="9" xfId="0" applyNumberFormat="1" applyFill="1" applyBorder="1"/>
    <xf numFmtId="178" fontId="0" fillId="0" borderId="9" xfId="0" applyNumberFormat="1" applyBorder="1"/>
    <xf numFmtId="164" fontId="3" fillId="3" borderId="12" xfId="0" applyNumberFormat="1" applyFont="1" applyFill="1" applyBorder="1" applyAlignment="1">
      <alignment horizontal="center" vertical="center" wrapText="1"/>
    </xf>
    <xf numFmtId="164" fontId="3" fillId="3" borderId="13" xfId="0" applyNumberFormat="1" applyFont="1" applyFill="1" applyBorder="1" applyAlignment="1">
      <alignment horizontal="center" vertical="center" wrapText="1"/>
    </xf>
    <xf numFmtId="165" fontId="1" fillId="0" borderId="38" xfId="0" applyNumberFormat="1" applyFont="1" applyBorder="1" applyAlignment="1">
      <alignment horizontal="left" vertical="center"/>
    </xf>
    <xf numFmtId="167" fontId="1" fillId="4" borderId="38" xfId="2" applyNumberFormat="1" applyFont="1" applyFill="1" applyBorder="1" applyAlignment="1" applyProtection="1">
      <alignment vertical="center"/>
    </xf>
    <xf numFmtId="165" fontId="1" fillId="0" borderId="5" xfId="0" applyNumberFormat="1" applyFont="1" applyBorder="1" applyAlignment="1">
      <alignment horizontal="left" vertical="center"/>
    </xf>
    <xf numFmtId="167" fontId="1" fillId="4" borderId="5" xfId="2" applyNumberFormat="1" applyFont="1" applyFill="1" applyBorder="1" applyAlignment="1" applyProtection="1">
      <alignment vertical="center"/>
    </xf>
    <xf numFmtId="167" fontId="1" fillId="4" borderId="9" xfId="2" applyNumberFormat="1" applyFont="1" applyFill="1" applyBorder="1" applyAlignment="1" applyProtection="1">
      <alignment vertical="center"/>
    </xf>
    <xf numFmtId="0" fontId="1" fillId="0" borderId="9" xfId="0" applyFont="1" applyBorder="1" applyAlignment="1">
      <alignment horizontal="left" vertical="center"/>
    </xf>
    <xf numFmtId="167" fontId="1" fillId="4" borderId="9" xfId="2" applyNumberFormat="1" applyFont="1" applyFill="1" applyBorder="1" applyAlignment="1" applyProtection="1">
      <alignment horizontal="right"/>
    </xf>
    <xf numFmtId="0" fontId="29" fillId="23" borderId="9" xfId="0" applyFont="1" applyFill="1" applyBorder="1" applyAlignment="1">
      <alignment horizontal="right"/>
    </xf>
    <xf numFmtId="167" fontId="29" fillId="23" borderId="9" xfId="2" applyNumberFormat="1" applyFont="1" applyFill="1" applyBorder="1" applyAlignment="1" applyProtection="1">
      <alignment horizontal="right"/>
    </xf>
    <xf numFmtId="0" fontId="16" fillId="0" borderId="0" xfId="0" applyFont="1"/>
    <xf numFmtId="43" fontId="15" fillId="0" borderId="0" xfId="0" applyNumberFormat="1" applyFont="1"/>
    <xf numFmtId="0" fontId="15" fillId="0" borderId="0" xfId="0" applyFont="1" applyAlignment="1">
      <alignment horizontal="left" vertical="center"/>
    </xf>
    <xf numFmtId="180" fontId="10" fillId="28" borderId="55" xfId="0" applyNumberFormat="1" applyFont="1" applyFill="1" applyBorder="1" applyAlignment="1">
      <alignment horizontal="center" wrapText="1"/>
    </xf>
    <xf numFmtId="180" fontId="32" fillId="28" borderId="34" xfId="2" applyNumberFormat="1" applyFont="1" applyFill="1" applyBorder="1" applyAlignment="1" applyProtection="1">
      <alignment horizontal="center" wrapText="1"/>
    </xf>
    <xf numFmtId="180" fontId="10" fillId="28" borderId="34" xfId="2" applyNumberFormat="1" applyFont="1" applyFill="1" applyBorder="1" applyAlignment="1" applyProtection="1">
      <alignment horizontal="center" wrapText="1"/>
    </xf>
    <xf numFmtId="0" fontId="10" fillId="28" borderId="34" xfId="0" applyFont="1" applyFill="1" applyBorder="1" applyAlignment="1">
      <alignment horizontal="center" wrapText="1"/>
    </xf>
    <xf numFmtId="180" fontId="10" fillId="28" borderId="34" xfId="0" applyNumberFormat="1" applyFont="1" applyFill="1" applyBorder="1" applyAlignment="1">
      <alignment horizontal="center" wrapText="1"/>
    </xf>
    <xf numFmtId="180" fontId="10" fillId="28" borderId="59" xfId="0" applyNumberFormat="1" applyFont="1" applyFill="1" applyBorder="1" applyAlignment="1">
      <alignment horizontal="center" wrapText="1"/>
    </xf>
    <xf numFmtId="0" fontId="10" fillId="0" borderId="0" xfId="0" applyFont="1"/>
    <xf numFmtId="0" fontId="10" fillId="0" borderId="9" xfId="5" applyBorder="1"/>
    <xf numFmtId="0" fontId="32" fillId="26" borderId="9" xfId="5" applyFont="1" applyFill="1" applyBorder="1"/>
    <xf numFmtId="9" fontId="32" fillId="26" borderId="9" xfId="5" applyNumberFormat="1" applyFont="1" applyFill="1" applyBorder="1"/>
    <xf numFmtId="9" fontId="10" fillId="0" borderId="9" xfId="5" applyNumberFormat="1" applyBorder="1"/>
    <xf numFmtId="0" fontId="10" fillId="0" borderId="0" xfId="5"/>
    <xf numFmtId="0" fontId="10" fillId="30" borderId="9" xfId="5" applyFill="1" applyBorder="1"/>
    <xf numFmtId="0" fontId="10" fillId="31" borderId="9" xfId="5" applyFill="1" applyBorder="1"/>
    <xf numFmtId="179" fontId="10" fillId="30" borderId="9" xfId="5" applyNumberFormat="1" applyFill="1" applyBorder="1"/>
    <xf numFmtId="179" fontId="10" fillId="31" borderId="9" xfId="5" applyNumberFormat="1" applyFill="1" applyBorder="1"/>
    <xf numFmtId="1" fontId="10" fillId="30" borderId="9" xfId="5" applyNumberFormat="1" applyFill="1" applyBorder="1"/>
    <xf numFmtId="1" fontId="10" fillId="31" borderId="9" xfId="5" applyNumberFormat="1" applyFill="1" applyBorder="1"/>
    <xf numFmtId="9" fontId="10" fillId="26" borderId="9" xfId="5" applyNumberFormat="1" applyFill="1" applyBorder="1"/>
    <xf numFmtId="179" fontId="10" fillId="30" borderId="9" xfId="6" applyNumberFormat="1" applyFont="1" applyFill="1" applyBorder="1"/>
    <xf numFmtId="179" fontId="10" fillId="31" borderId="9" xfId="6" applyNumberFormat="1" applyFont="1" applyFill="1" applyBorder="1"/>
    <xf numFmtId="183" fontId="0" fillId="0" borderId="9" xfId="6" applyNumberFormat="1" applyFont="1" applyBorder="1"/>
    <xf numFmtId="180" fontId="0" fillId="0" borderId="0" xfId="6" applyNumberFormat="1" applyFont="1"/>
    <xf numFmtId="0" fontId="0" fillId="26" borderId="0" xfId="0" applyFill="1"/>
    <xf numFmtId="171" fontId="0" fillId="32" borderId="9" xfId="0" applyNumberFormat="1" applyFill="1" applyBorder="1"/>
    <xf numFmtId="9" fontId="0" fillId="0" borderId="0" xfId="0" applyNumberFormat="1"/>
    <xf numFmtId="170" fontId="30" fillId="0" borderId="0" xfId="3"/>
    <xf numFmtId="10" fontId="30" fillId="0" borderId="0" xfId="3" applyNumberFormat="1"/>
    <xf numFmtId="170" fontId="10" fillId="0" borderId="0" xfId="3" applyFont="1"/>
    <xf numFmtId="0" fontId="31" fillId="0" borderId="0" xfId="0" applyFont="1"/>
    <xf numFmtId="0" fontId="32" fillId="0" borderId="10" xfId="0" applyFont="1" applyBorder="1"/>
    <xf numFmtId="0" fontId="32" fillId="0" borderId="21" xfId="0" applyFont="1" applyBorder="1"/>
    <xf numFmtId="0" fontId="10" fillId="14" borderId="0" xfId="0" applyFont="1" applyFill="1"/>
    <xf numFmtId="0" fontId="32" fillId="0" borderId="12" xfId="0" applyFont="1" applyBorder="1" applyAlignment="1">
      <alignment horizontal="center" wrapText="1"/>
    </xf>
    <xf numFmtId="0" fontId="32" fillId="13" borderId="12" xfId="0" applyFont="1" applyFill="1" applyBorder="1" applyAlignment="1">
      <alignment horizontal="center" wrapText="1"/>
    </xf>
    <xf numFmtId="0" fontId="10" fillId="0" borderId="12" xfId="0" applyFont="1" applyBorder="1" applyAlignment="1">
      <alignment horizontal="center"/>
    </xf>
    <xf numFmtId="171" fontId="10" fillId="0" borderId="9" xfId="0" applyNumberFormat="1" applyFont="1" applyBorder="1"/>
    <xf numFmtId="0" fontId="10" fillId="0" borderId="33" xfId="0" applyFont="1" applyBorder="1" applyAlignment="1">
      <alignment horizontal="center"/>
    </xf>
    <xf numFmtId="172" fontId="10" fillId="0" borderId="33" xfId="2" applyNumberFormat="1" applyFont="1" applyBorder="1" applyAlignment="1" applyProtection="1">
      <alignment horizontal="center"/>
    </xf>
    <xf numFmtId="172" fontId="10" fillId="13" borderId="33" xfId="2" applyNumberFormat="1" applyFont="1" applyFill="1" applyBorder="1" applyAlignment="1" applyProtection="1">
      <alignment horizontal="center"/>
    </xf>
    <xf numFmtId="0" fontId="10" fillId="13" borderId="33" xfId="0" applyFont="1" applyFill="1" applyBorder="1" applyAlignment="1">
      <alignment horizontal="center"/>
    </xf>
    <xf numFmtId="171" fontId="10" fillId="13" borderId="19" xfId="0" applyNumberFormat="1" applyFont="1" applyFill="1" applyBorder="1" applyAlignment="1">
      <alignment horizontal="center"/>
    </xf>
    <xf numFmtId="0" fontId="10" fillId="29" borderId="34" xfId="0" applyFont="1" applyFill="1" applyBorder="1"/>
    <xf numFmtId="165" fontId="10" fillId="0" borderId="20" xfId="0" applyNumberFormat="1" applyFont="1" applyBorder="1" applyAlignment="1">
      <alignment horizontal="left"/>
    </xf>
    <xf numFmtId="2" fontId="10" fillId="0" borderId="9" xfId="0" applyNumberFormat="1" applyFont="1" applyBorder="1" applyAlignment="1">
      <alignment horizontal="left"/>
    </xf>
    <xf numFmtId="0" fontId="10" fillId="0" borderId="9" xfId="0" applyFont="1" applyBorder="1" applyAlignment="1">
      <alignment horizontal="center"/>
    </xf>
    <xf numFmtId="2" fontId="10" fillId="0" borderId="9" xfId="0" applyNumberFormat="1" applyFont="1" applyBorder="1" applyAlignment="1">
      <alignment horizontal="center"/>
    </xf>
    <xf numFmtId="2" fontId="10" fillId="13" borderId="9" xfId="0" applyNumberFormat="1" applyFont="1" applyFill="1" applyBorder="1" applyAlignment="1">
      <alignment horizontal="center"/>
    </xf>
    <xf numFmtId="167" fontId="10" fillId="0" borderId="9" xfId="0" applyNumberFormat="1" applyFont="1" applyBorder="1" applyAlignment="1">
      <alignment horizontal="center"/>
    </xf>
    <xf numFmtId="167" fontId="10" fillId="13" borderId="9" xfId="0" applyNumberFormat="1" applyFont="1" applyFill="1" applyBorder="1" applyAlignment="1">
      <alignment horizontal="center"/>
    </xf>
    <xf numFmtId="171" fontId="10" fillId="13" borderId="22" xfId="0" applyNumberFormat="1" applyFont="1" applyFill="1" applyBorder="1" applyAlignment="1">
      <alignment horizontal="right"/>
    </xf>
    <xf numFmtId="171" fontId="10" fillId="0" borderId="22" xfId="0" applyNumberFormat="1" applyFont="1" applyBorder="1" applyAlignment="1">
      <alignment horizontal="right"/>
    </xf>
    <xf numFmtId="2" fontId="10" fillId="15" borderId="0" xfId="0" applyNumberFormat="1" applyFont="1" applyFill="1" applyAlignment="1">
      <alignment horizontal="center"/>
    </xf>
    <xf numFmtId="167" fontId="10" fillId="15" borderId="0" xfId="0" applyNumberFormat="1" applyFont="1" applyFill="1" applyAlignment="1">
      <alignment horizontal="center"/>
    </xf>
    <xf numFmtId="167" fontId="10" fillId="15" borderId="0" xfId="0" applyNumberFormat="1" applyFont="1" applyFill="1" applyAlignment="1">
      <alignment horizontal="right"/>
    </xf>
    <xf numFmtId="2" fontId="10" fillId="0" borderId="35" xfId="0" applyNumberFormat="1" applyFont="1" applyBorder="1" applyAlignment="1">
      <alignment horizontal="left"/>
    </xf>
    <xf numFmtId="0" fontId="10" fillId="0" borderId="35" xfId="0" applyFont="1" applyBorder="1" applyAlignment="1">
      <alignment horizontal="center"/>
    </xf>
    <xf numFmtId="2" fontId="10" fillId="0" borderId="35" xfId="0" applyNumberFormat="1" applyFont="1" applyBorder="1" applyAlignment="1">
      <alignment horizontal="center"/>
    </xf>
    <xf numFmtId="2" fontId="10" fillId="13" borderId="35" xfId="0" applyNumberFormat="1" applyFont="1" applyFill="1" applyBorder="1" applyAlignment="1">
      <alignment horizontal="center"/>
    </xf>
    <xf numFmtId="1" fontId="10" fillId="0" borderId="35" xfId="0" applyNumberFormat="1" applyFont="1" applyBorder="1" applyAlignment="1">
      <alignment horizontal="center"/>
    </xf>
    <xf numFmtId="1" fontId="10" fillId="13" borderId="35" xfId="0" applyNumberFormat="1" applyFont="1" applyFill="1" applyBorder="1" applyAlignment="1">
      <alignment horizontal="center"/>
    </xf>
    <xf numFmtId="171" fontId="10" fillId="13" borderId="25" xfId="0" applyNumberFormat="1" applyFont="1" applyFill="1" applyBorder="1" applyAlignment="1">
      <alignment horizontal="right"/>
    </xf>
    <xf numFmtId="171" fontId="10" fillId="0" borderId="25" xfId="0" applyNumberFormat="1" applyFont="1" applyBorder="1" applyAlignment="1">
      <alignment horizontal="right"/>
    </xf>
    <xf numFmtId="2" fontId="10" fillId="0" borderId="38" xfId="0" applyNumberFormat="1" applyFont="1" applyBorder="1" applyAlignment="1">
      <alignment horizontal="left" vertical="center"/>
    </xf>
    <xf numFmtId="2" fontId="10" fillId="13" borderId="38" xfId="0" applyNumberFormat="1" applyFont="1" applyFill="1" applyBorder="1" applyAlignment="1">
      <alignment horizontal="left" vertical="center"/>
    </xf>
    <xf numFmtId="167" fontId="10" fillId="0" borderId="38" xfId="0" applyNumberFormat="1" applyFont="1" applyBorder="1" applyAlignment="1">
      <alignment horizontal="left" vertical="center"/>
    </xf>
    <xf numFmtId="167" fontId="10" fillId="13" borderId="38" xfId="0" applyNumberFormat="1" applyFont="1" applyFill="1" applyBorder="1" applyAlignment="1">
      <alignment horizontal="left" vertical="center"/>
    </xf>
    <xf numFmtId="173" fontId="10" fillId="13" borderId="39" xfId="0" applyNumberFormat="1" applyFont="1" applyFill="1" applyBorder="1" applyAlignment="1">
      <alignment horizontal="left" vertical="center"/>
    </xf>
    <xf numFmtId="165" fontId="10" fillId="2" borderId="17" xfId="0" applyNumberFormat="1" applyFont="1" applyFill="1" applyBorder="1" applyAlignment="1" applyProtection="1">
      <alignment horizontal="left" wrapText="1"/>
      <protection locked="0"/>
    </xf>
    <xf numFmtId="2" fontId="10" fillId="2" borderId="33" xfId="0" applyNumberFormat="1" applyFont="1" applyFill="1" applyBorder="1" applyAlignment="1" applyProtection="1">
      <alignment horizontal="left"/>
      <protection locked="0"/>
    </xf>
    <xf numFmtId="2" fontId="10" fillId="0" borderId="33" xfId="0" applyNumberFormat="1" applyFont="1" applyBorder="1" applyAlignment="1">
      <alignment horizontal="left"/>
    </xf>
    <xf numFmtId="171" fontId="10" fillId="0" borderId="33" xfId="0" applyNumberFormat="1" applyFont="1" applyBorder="1" applyAlignment="1">
      <alignment horizontal="center"/>
    </xf>
    <xf numFmtId="171" fontId="10" fillId="13" borderId="33" xfId="0" applyNumberFormat="1" applyFont="1" applyFill="1" applyBorder="1" applyAlignment="1">
      <alignment horizontal="center"/>
    </xf>
    <xf numFmtId="171" fontId="10" fillId="13" borderId="19" xfId="0" applyNumberFormat="1" applyFont="1" applyFill="1" applyBorder="1" applyAlignment="1">
      <alignment horizontal="right"/>
    </xf>
    <xf numFmtId="171" fontId="10" fillId="14" borderId="0" xfId="0" applyNumberFormat="1" applyFont="1" applyFill="1"/>
    <xf numFmtId="165" fontId="10" fillId="2" borderId="8" xfId="0" applyNumberFormat="1" applyFont="1" applyFill="1" applyBorder="1" applyAlignment="1">
      <alignment horizontal="left" vertical="center" wrapText="1"/>
    </xf>
    <xf numFmtId="2" fontId="10" fillId="2" borderId="9" xfId="0" applyNumberFormat="1" applyFont="1" applyFill="1" applyBorder="1" applyAlignment="1" applyProtection="1">
      <alignment horizontal="left"/>
      <protection locked="0"/>
    </xf>
    <xf numFmtId="2" fontId="10" fillId="0" borderId="46" xfId="0" applyNumberFormat="1" applyFont="1" applyBorder="1" applyAlignment="1">
      <alignment horizontal="left"/>
    </xf>
    <xf numFmtId="2" fontId="32" fillId="22" borderId="46" xfId="0" applyNumberFormat="1" applyFont="1" applyFill="1" applyBorder="1" applyAlignment="1">
      <alignment horizontal="left"/>
    </xf>
    <xf numFmtId="171" fontId="32" fillId="22" borderId="46" xfId="0" applyNumberFormat="1" applyFont="1" applyFill="1" applyBorder="1" applyAlignment="1">
      <alignment horizontal="center"/>
    </xf>
    <xf numFmtId="171" fontId="10" fillId="22" borderId="33" xfId="0" applyNumberFormat="1" applyFont="1" applyFill="1" applyBorder="1" applyAlignment="1">
      <alignment horizontal="center"/>
    </xf>
    <xf numFmtId="171" fontId="10" fillId="22" borderId="19" xfId="0" applyNumberFormat="1" applyFont="1" applyFill="1" applyBorder="1" applyAlignment="1">
      <alignment horizontal="right"/>
    </xf>
    <xf numFmtId="2" fontId="10" fillId="2" borderId="5" xfId="0" applyNumberFormat="1" applyFont="1" applyFill="1" applyBorder="1" applyAlignment="1" applyProtection="1">
      <alignment horizontal="left"/>
      <protection locked="0"/>
    </xf>
    <xf numFmtId="2" fontId="10" fillId="0" borderId="5" xfId="0" applyNumberFormat="1" applyFont="1" applyBorder="1" applyAlignment="1">
      <alignment horizontal="left"/>
    </xf>
    <xf numFmtId="167" fontId="10" fillId="0" borderId="5" xfId="0" applyNumberFormat="1" applyFont="1" applyBorder="1" applyAlignment="1">
      <alignment horizontal="center"/>
    </xf>
    <xf numFmtId="167" fontId="10" fillId="13" borderId="5" xfId="0" applyNumberFormat="1" applyFont="1" applyFill="1" applyBorder="1" applyAlignment="1">
      <alignment horizontal="center"/>
    </xf>
    <xf numFmtId="167" fontId="10" fillId="13" borderId="50" xfId="0" applyNumberFormat="1" applyFont="1" applyFill="1" applyBorder="1" applyAlignment="1">
      <alignment horizontal="right"/>
    </xf>
    <xf numFmtId="167" fontId="10" fillId="0" borderId="50" xfId="0" applyNumberFormat="1" applyFont="1" applyBorder="1" applyAlignment="1">
      <alignment horizontal="right"/>
    </xf>
    <xf numFmtId="2" fontId="32" fillId="12" borderId="15" xfId="0" applyNumberFormat="1" applyFont="1" applyFill="1" applyBorder="1" applyAlignment="1">
      <alignment horizontal="left"/>
    </xf>
    <xf numFmtId="167" fontId="32" fillId="13" borderId="15" xfId="0" applyNumberFormat="1" applyFont="1" applyFill="1" applyBorder="1" applyAlignment="1">
      <alignment horizontal="center"/>
    </xf>
    <xf numFmtId="167" fontId="32" fillId="13" borderId="40" xfId="0" applyNumberFormat="1" applyFont="1" applyFill="1" applyBorder="1" applyAlignment="1">
      <alignment horizontal="right"/>
    </xf>
    <xf numFmtId="165" fontId="10" fillId="0" borderId="20" xfId="0" applyNumberFormat="1" applyFont="1" applyBorder="1" applyAlignment="1">
      <alignment horizontal="left" wrapText="1"/>
    </xf>
    <xf numFmtId="165" fontId="10" fillId="0" borderId="23" xfId="0" applyNumberFormat="1" applyFont="1" applyBorder="1" applyAlignment="1">
      <alignment horizontal="left" wrapText="1"/>
    </xf>
    <xf numFmtId="2" fontId="10" fillId="2" borderId="35" xfId="0" applyNumberFormat="1" applyFont="1" applyFill="1" applyBorder="1" applyAlignment="1" applyProtection="1">
      <alignment horizontal="left"/>
      <protection locked="0"/>
    </xf>
    <xf numFmtId="167" fontId="10" fillId="0" borderId="35" xfId="0" applyNumberFormat="1" applyFont="1" applyBorder="1" applyAlignment="1">
      <alignment horizontal="center"/>
    </xf>
    <xf numFmtId="167" fontId="10" fillId="13" borderId="35" xfId="0" applyNumberFormat="1" applyFont="1" applyFill="1" applyBorder="1" applyAlignment="1">
      <alignment horizontal="center"/>
    </xf>
    <xf numFmtId="2" fontId="10" fillId="15" borderId="12" xfId="0" applyNumberFormat="1" applyFont="1" applyFill="1" applyBorder="1" applyAlignment="1">
      <alignment horizontal="left"/>
    </xf>
    <xf numFmtId="167" fontId="10" fillId="0" borderId="33" xfId="0" applyNumberFormat="1" applyFont="1" applyBorder="1" applyAlignment="1">
      <alignment horizontal="center"/>
    </xf>
    <xf numFmtId="167" fontId="10" fillId="13" borderId="33" xfId="0" applyNumberFormat="1" applyFont="1" applyFill="1" applyBorder="1" applyAlignment="1">
      <alignment horizontal="center"/>
    </xf>
    <xf numFmtId="165" fontId="10" fillId="0" borderId="17" xfId="0" applyNumberFormat="1" applyFont="1" applyBorder="1" applyAlignment="1">
      <alignment horizontal="left"/>
    </xf>
    <xf numFmtId="168" fontId="10" fillId="0" borderId="33" xfId="1" applyFont="1" applyBorder="1" applyAlignment="1" applyProtection="1">
      <alignment horizontal="center"/>
    </xf>
    <xf numFmtId="167" fontId="10" fillId="0" borderId="19" xfId="0" applyNumberFormat="1" applyFont="1" applyBorder="1" applyAlignment="1">
      <alignment horizontal="right"/>
    </xf>
    <xf numFmtId="0" fontId="35" fillId="14" borderId="0" xfId="0" applyFont="1" applyFill="1"/>
    <xf numFmtId="0" fontId="10" fillId="0" borderId="9" xfId="0" applyFont="1" applyBorder="1"/>
    <xf numFmtId="0" fontId="10" fillId="0" borderId="9" xfId="0" applyFont="1" applyBorder="1" applyAlignment="1">
      <alignment wrapText="1"/>
    </xf>
    <xf numFmtId="171" fontId="10" fillId="0" borderId="9" xfId="2" applyNumberFormat="1" applyFont="1" applyBorder="1" applyProtection="1"/>
    <xf numFmtId="170" fontId="10" fillId="0" borderId="9" xfId="0" applyNumberFormat="1" applyFont="1" applyBorder="1" applyAlignment="1">
      <alignment horizontal="center"/>
    </xf>
    <xf numFmtId="0" fontId="32" fillId="0" borderId="1" xfId="0" applyFont="1" applyBorder="1" applyAlignment="1">
      <alignment horizontal="center"/>
    </xf>
    <xf numFmtId="0" fontId="32" fillId="0" borderId="46" xfId="0" applyFont="1" applyBorder="1" applyAlignment="1">
      <alignment horizontal="center"/>
    </xf>
    <xf numFmtId="0" fontId="32" fillId="0" borderId="3" xfId="0" applyFont="1" applyBorder="1" applyAlignment="1">
      <alignment horizontal="center"/>
    </xf>
    <xf numFmtId="2" fontId="10" fillId="0" borderId="0" xfId="0" applyNumberFormat="1" applyFont="1"/>
    <xf numFmtId="171" fontId="10" fillId="0" borderId="0" xfId="0" applyNumberFormat="1" applyFont="1"/>
    <xf numFmtId="0" fontId="31" fillId="0" borderId="0" xfId="0" applyFont="1" applyAlignment="1">
      <alignment wrapText="1"/>
    </xf>
    <xf numFmtId="165" fontId="10" fillId="2" borderId="20" xfId="0" applyNumberFormat="1" applyFont="1" applyFill="1" applyBorder="1" applyAlignment="1" applyProtection="1">
      <alignment horizontal="left" wrapText="1"/>
      <protection locked="0"/>
    </xf>
    <xf numFmtId="165" fontId="10" fillId="0" borderId="37" xfId="0" applyNumberFormat="1" applyFont="1" applyBorder="1" applyAlignment="1">
      <alignment horizontal="left" vertical="center" wrapText="1"/>
    </xf>
    <xf numFmtId="165" fontId="32" fillId="2" borderId="20" xfId="0" applyNumberFormat="1" applyFont="1" applyFill="1" applyBorder="1" applyAlignment="1" applyProtection="1">
      <alignment horizontal="left" wrapText="1"/>
      <protection locked="0"/>
    </xf>
    <xf numFmtId="165" fontId="10" fillId="2" borderId="1" xfId="0" applyNumberFormat="1" applyFont="1" applyFill="1" applyBorder="1" applyAlignment="1" applyProtection="1">
      <alignment horizontal="left" wrapText="1"/>
      <protection locked="0"/>
    </xf>
    <xf numFmtId="165" fontId="32" fillId="22" borderId="1" xfId="0" applyNumberFormat="1" applyFont="1" applyFill="1" applyBorder="1" applyAlignment="1" applyProtection="1">
      <alignment horizontal="left" wrapText="1"/>
      <protection locked="0"/>
    </xf>
    <xf numFmtId="165" fontId="10" fillId="2" borderId="49" xfId="0" applyNumberFormat="1" applyFont="1" applyFill="1" applyBorder="1" applyAlignment="1" applyProtection="1">
      <alignment horizontal="left" wrapText="1"/>
      <protection locked="0"/>
    </xf>
    <xf numFmtId="165" fontId="32" fillId="12" borderId="14" xfId="0" applyNumberFormat="1" applyFont="1" applyFill="1" applyBorder="1" applyAlignment="1">
      <alignment horizontal="left" wrapText="1"/>
    </xf>
    <xf numFmtId="165" fontId="10" fillId="0" borderId="17" xfId="0" applyNumberFormat="1" applyFont="1" applyBorder="1" applyAlignment="1">
      <alignment horizontal="left" wrapText="1"/>
    </xf>
    <xf numFmtId="0" fontId="10" fillId="0" borderId="0" xfId="0" applyFont="1" applyAlignment="1">
      <alignment wrapText="1"/>
    </xf>
    <xf numFmtId="0" fontId="32" fillId="0" borderId="1" xfId="0" applyFont="1" applyBorder="1" applyAlignment="1">
      <alignment horizontal="center" wrapText="1"/>
    </xf>
    <xf numFmtId="9" fontId="10" fillId="0" borderId="5" xfId="0" applyNumberFormat="1" applyFont="1" applyBorder="1" applyAlignment="1">
      <alignment horizontal="center" wrapText="1"/>
    </xf>
    <xf numFmtId="0" fontId="15" fillId="0" borderId="0" xfId="0" applyFont="1" applyAlignment="1">
      <alignment wrapText="1"/>
    </xf>
    <xf numFmtId="0" fontId="10" fillId="0" borderId="33" xfId="0" applyFont="1" applyBorder="1" applyAlignment="1">
      <alignment horizontal="center" wrapText="1"/>
    </xf>
    <xf numFmtId="2" fontId="10" fillId="0" borderId="9" xfId="0" applyNumberFormat="1" applyFont="1" applyBorder="1" applyAlignment="1">
      <alignment horizontal="left" wrapText="1"/>
    </xf>
    <xf numFmtId="2" fontId="10" fillId="0" borderId="35" xfId="0" applyNumberFormat="1" applyFont="1" applyBorder="1" applyAlignment="1">
      <alignment horizontal="left" wrapText="1"/>
    </xf>
    <xf numFmtId="2" fontId="10" fillId="0" borderId="38" xfId="0" applyNumberFormat="1" applyFont="1" applyBorder="1" applyAlignment="1">
      <alignment horizontal="left" vertical="center" wrapText="1"/>
    </xf>
    <xf numFmtId="2" fontId="10" fillId="2" borderId="33" xfId="0" applyNumberFormat="1" applyFont="1" applyFill="1" applyBorder="1" applyAlignment="1" applyProtection="1">
      <alignment horizontal="left" wrapText="1"/>
      <protection locked="0"/>
    </xf>
    <xf numFmtId="2" fontId="10" fillId="2" borderId="9" xfId="0" applyNumberFormat="1" applyFont="1" applyFill="1" applyBorder="1" applyAlignment="1" applyProtection="1">
      <alignment horizontal="left" wrapText="1"/>
      <protection locked="0"/>
    </xf>
    <xf numFmtId="2" fontId="10" fillId="2" borderId="46" xfId="0" applyNumberFormat="1" applyFont="1" applyFill="1" applyBorder="1" applyAlignment="1" applyProtection="1">
      <alignment horizontal="left" wrapText="1"/>
      <protection locked="0"/>
    </xf>
    <xf numFmtId="2" fontId="32" fillId="22" borderId="46" xfId="0" applyNumberFormat="1" applyFont="1" applyFill="1" applyBorder="1" applyAlignment="1" applyProtection="1">
      <alignment horizontal="left" wrapText="1"/>
      <protection locked="0"/>
    </xf>
    <xf numFmtId="2" fontId="10" fillId="2" borderId="5" xfId="0" applyNumberFormat="1" applyFont="1" applyFill="1" applyBorder="1" applyAlignment="1" applyProtection="1">
      <alignment horizontal="left" wrapText="1"/>
      <protection locked="0"/>
    </xf>
    <xf numFmtId="2" fontId="32" fillId="12" borderId="15" xfId="0" applyNumberFormat="1" applyFont="1" applyFill="1" applyBorder="1" applyAlignment="1">
      <alignment horizontal="left" wrapText="1"/>
    </xf>
    <xf numFmtId="2" fontId="10" fillId="15" borderId="35" xfId="0" applyNumberFormat="1" applyFont="1" applyFill="1" applyBorder="1" applyAlignment="1">
      <alignment horizontal="left" wrapText="1"/>
    </xf>
    <xf numFmtId="2" fontId="10" fillId="0" borderId="33" xfId="0" applyNumberFormat="1" applyFont="1" applyBorder="1" applyAlignment="1">
      <alignment horizontal="left" wrapText="1"/>
    </xf>
    <xf numFmtId="171" fontId="10" fillId="0" borderId="9" xfId="0" applyNumberFormat="1" applyFont="1" applyBorder="1" applyAlignment="1">
      <alignment wrapText="1"/>
    </xf>
    <xf numFmtId="171" fontId="10" fillId="0" borderId="9" xfId="2" applyNumberFormat="1" applyFont="1" applyBorder="1" applyAlignment="1" applyProtection="1">
      <alignment wrapText="1"/>
    </xf>
    <xf numFmtId="0" fontId="32" fillId="0" borderId="46" xfId="0" applyFont="1" applyBorder="1" applyAlignment="1">
      <alignment horizontal="center" wrapText="1"/>
    </xf>
    <xf numFmtId="0" fontId="32" fillId="0" borderId="3" xfId="0" applyFont="1" applyBorder="1" applyAlignment="1">
      <alignment horizontal="center" wrapText="1"/>
    </xf>
    <xf numFmtId="179" fontId="10" fillId="0" borderId="5" xfId="0" applyNumberFormat="1" applyFont="1" applyBorder="1" applyAlignment="1">
      <alignment wrapText="1"/>
    </xf>
    <xf numFmtId="179" fontId="10" fillId="25" borderId="5" xfId="0" applyNumberFormat="1" applyFont="1" applyFill="1" applyBorder="1" applyAlignment="1">
      <alignment wrapText="1"/>
    </xf>
    <xf numFmtId="0" fontId="10" fillId="0" borderId="34" xfId="0" applyFont="1" applyBorder="1" applyAlignment="1">
      <alignment wrapText="1"/>
    </xf>
    <xf numFmtId="0" fontId="10" fillId="0" borderId="9" xfId="0" applyFont="1" applyBorder="1" applyAlignment="1">
      <alignment horizontal="center" wrapText="1"/>
    </xf>
    <xf numFmtId="0" fontId="10" fillId="0" borderId="36" xfId="0" applyFont="1" applyBorder="1" applyAlignment="1">
      <alignment wrapText="1"/>
    </xf>
    <xf numFmtId="0" fontId="10" fillId="0" borderId="35" xfId="0" applyFont="1" applyBorder="1" applyAlignment="1">
      <alignment horizontal="center" wrapText="1"/>
    </xf>
    <xf numFmtId="1" fontId="10" fillId="0" borderId="38" xfId="0" applyNumberFormat="1" applyFont="1" applyBorder="1" applyAlignment="1">
      <alignment horizontal="left" vertical="center" wrapText="1"/>
    </xf>
    <xf numFmtId="0" fontId="10" fillId="0" borderId="38" xfId="0" applyFont="1" applyBorder="1" applyAlignment="1">
      <alignment horizontal="left" vertical="center" wrapText="1"/>
    </xf>
    <xf numFmtId="0" fontId="10" fillId="2" borderId="33" xfId="0" applyFont="1" applyFill="1" applyBorder="1" applyAlignment="1" applyProtection="1">
      <alignment horizontal="center" wrapText="1"/>
      <protection locked="0"/>
    </xf>
    <xf numFmtId="0" fontId="10" fillId="2" borderId="9" xfId="0" applyFont="1" applyFill="1" applyBorder="1" applyAlignment="1" applyProtection="1">
      <alignment horizontal="center" wrapText="1"/>
      <protection locked="0"/>
    </xf>
    <xf numFmtId="0" fontId="10" fillId="2" borderId="5" xfId="0" applyFont="1" applyFill="1" applyBorder="1" applyAlignment="1" applyProtection="1">
      <alignment horizontal="center" wrapText="1"/>
      <protection locked="0"/>
    </xf>
    <xf numFmtId="0" fontId="10" fillId="2" borderId="46" xfId="0" applyFont="1" applyFill="1" applyBorder="1" applyAlignment="1" applyProtection="1">
      <alignment horizontal="center" wrapText="1"/>
      <protection locked="0"/>
    </xf>
    <xf numFmtId="1" fontId="10" fillId="2" borderId="46" xfId="0" applyNumberFormat="1" applyFont="1" applyFill="1" applyBorder="1" applyAlignment="1" applyProtection="1">
      <alignment horizontal="center" wrapText="1"/>
      <protection locked="0"/>
    </xf>
    <xf numFmtId="1" fontId="32" fillId="22" borderId="46" xfId="0" applyNumberFormat="1" applyFont="1" applyFill="1" applyBorder="1" applyAlignment="1" applyProtection="1">
      <alignment horizontal="center" wrapText="1"/>
      <protection locked="0"/>
    </xf>
    <xf numFmtId="1" fontId="32" fillId="12" borderId="15" xfId="0" applyNumberFormat="1" applyFont="1" applyFill="1" applyBorder="1" applyAlignment="1">
      <alignment horizontal="center" wrapText="1"/>
    </xf>
    <xf numFmtId="0" fontId="10" fillId="2" borderId="12" xfId="0" applyFont="1" applyFill="1" applyBorder="1" applyAlignment="1" applyProtection="1">
      <alignment horizontal="center" wrapText="1"/>
      <protection locked="0"/>
    </xf>
    <xf numFmtId="0" fontId="10" fillId="2" borderId="38" xfId="0" applyFont="1" applyFill="1" applyBorder="1" applyAlignment="1" applyProtection="1">
      <alignment horizontal="center" wrapText="1"/>
      <protection locked="0"/>
    </xf>
    <xf numFmtId="170" fontId="10" fillId="0" borderId="9" xfId="0" applyNumberFormat="1" applyFont="1" applyBorder="1" applyAlignment="1">
      <alignment horizontal="center" wrapText="1"/>
    </xf>
    <xf numFmtId="2" fontId="10" fillId="0" borderId="0" xfId="0" applyNumberFormat="1" applyFont="1" applyAlignment="1">
      <alignment wrapText="1"/>
    </xf>
    <xf numFmtId="171" fontId="10" fillId="0" borderId="0" xfId="0" applyNumberFormat="1" applyFont="1" applyAlignment="1">
      <alignment wrapText="1"/>
    </xf>
    <xf numFmtId="0" fontId="10" fillId="14" borderId="0" xfId="0" applyFont="1" applyFill="1" applyAlignment="1">
      <alignment wrapText="1"/>
    </xf>
    <xf numFmtId="0" fontId="10" fillId="0" borderId="12" xfId="0" applyFont="1" applyBorder="1" applyAlignment="1">
      <alignment horizontal="center" wrapText="1"/>
    </xf>
    <xf numFmtId="167" fontId="10" fillId="0" borderId="39" xfId="0" applyNumberFormat="1" applyFont="1" applyBorder="1" applyAlignment="1">
      <alignment horizontal="left" vertical="center" wrapText="1"/>
    </xf>
    <xf numFmtId="0" fontId="10" fillId="14" borderId="0" xfId="0" applyFont="1" applyFill="1" applyAlignment="1">
      <alignment horizontal="left" vertical="center" wrapText="1"/>
    </xf>
    <xf numFmtId="2" fontId="10" fillId="13" borderId="38" xfId="0" applyNumberFormat="1" applyFont="1" applyFill="1" applyBorder="1" applyAlignment="1">
      <alignment horizontal="left" vertical="center" wrapText="1"/>
    </xf>
    <xf numFmtId="167" fontId="10" fillId="0" borderId="38" xfId="0" applyNumberFormat="1" applyFont="1" applyBorder="1" applyAlignment="1">
      <alignment horizontal="left" vertical="center" wrapText="1"/>
    </xf>
    <xf numFmtId="167" fontId="10" fillId="13" borderId="38" xfId="0" applyNumberFormat="1" applyFont="1" applyFill="1" applyBorder="1" applyAlignment="1">
      <alignment horizontal="left" vertical="center" wrapText="1"/>
    </xf>
    <xf numFmtId="167" fontId="10" fillId="13" borderId="39" xfId="0" applyNumberFormat="1" applyFont="1" applyFill="1" applyBorder="1" applyAlignment="1">
      <alignment horizontal="left" vertical="center" wrapText="1"/>
    </xf>
    <xf numFmtId="0" fontId="10" fillId="0" borderId="0" xfId="0" applyFont="1" applyAlignment="1">
      <alignment horizontal="left" vertical="center" wrapText="1"/>
    </xf>
    <xf numFmtId="171" fontId="10" fillId="14" borderId="0" xfId="0" applyNumberFormat="1" applyFont="1" applyFill="1" applyAlignment="1">
      <alignment wrapText="1"/>
    </xf>
    <xf numFmtId="171" fontId="10" fillId="0" borderId="33" xfId="0" applyNumberFormat="1" applyFont="1" applyBorder="1" applyAlignment="1">
      <alignment horizontal="center" wrapText="1"/>
    </xf>
    <xf numFmtId="171" fontId="10" fillId="13" borderId="33" xfId="0" applyNumberFormat="1" applyFont="1" applyFill="1" applyBorder="1" applyAlignment="1">
      <alignment horizontal="center" wrapText="1"/>
    </xf>
    <xf numFmtId="171" fontId="10" fillId="13" borderId="19" xfId="0" applyNumberFormat="1" applyFont="1" applyFill="1" applyBorder="1" applyAlignment="1">
      <alignment horizontal="right" wrapText="1"/>
    </xf>
    <xf numFmtId="172" fontId="32" fillId="4" borderId="0" xfId="0" applyNumberFormat="1" applyFont="1" applyFill="1" applyAlignment="1">
      <alignment wrapText="1"/>
    </xf>
    <xf numFmtId="167" fontId="10" fillId="0" borderId="33" xfId="0" applyNumberFormat="1" applyFont="1" applyBorder="1" applyAlignment="1">
      <alignment horizontal="center" wrapText="1"/>
    </xf>
    <xf numFmtId="167" fontId="10" fillId="13" borderId="33" xfId="0" applyNumberFormat="1" applyFont="1" applyFill="1" applyBorder="1" applyAlignment="1">
      <alignment horizontal="center" wrapText="1"/>
    </xf>
    <xf numFmtId="167" fontId="10" fillId="0" borderId="19" xfId="0" applyNumberFormat="1" applyFont="1" applyBorder="1" applyAlignment="1">
      <alignment horizontal="right" wrapText="1"/>
    </xf>
    <xf numFmtId="0" fontId="35" fillId="14" borderId="0" xfId="0" applyFont="1" applyFill="1" applyAlignment="1">
      <alignment wrapText="1"/>
    </xf>
    <xf numFmtId="168" fontId="10" fillId="0" borderId="33" xfId="1" applyFont="1" applyBorder="1" applyAlignment="1" applyProtection="1">
      <alignment horizontal="center" wrapText="1"/>
    </xf>
    <xf numFmtId="9" fontId="10" fillId="0" borderId="5" xfId="0" applyNumberFormat="1" applyFont="1" applyBorder="1" applyAlignment="1">
      <alignment wrapText="1"/>
    </xf>
    <xf numFmtId="0" fontId="32" fillId="0" borderId="21" xfId="0" applyFont="1" applyBorder="1" applyAlignment="1">
      <alignment horizontal="center"/>
    </xf>
    <xf numFmtId="0" fontId="0" fillId="35" borderId="0" xfId="0" applyFill="1"/>
    <xf numFmtId="165" fontId="10" fillId="0" borderId="44" xfId="0" applyNumberFormat="1" applyFont="1" applyBorder="1" applyAlignment="1">
      <alignment horizontal="left"/>
    </xf>
    <xf numFmtId="2" fontId="10" fillId="0" borderId="12" xfId="0" applyNumberFormat="1" applyFont="1" applyBorder="1" applyAlignment="1">
      <alignment horizontal="left"/>
    </xf>
    <xf numFmtId="2" fontId="10" fillId="2" borderId="12" xfId="0" applyNumberFormat="1" applyFont="1" applyFill="1" applyBorder="1" applyAlignment="1" applyProtection="1">
      <alignment horizontal="left"/>
      <protection locked="0"/>
    </xf>
    <xf numFmtId="167" fontId="10" fillId="0" borderId="12" xfId="0" applyNumberFormat="1" applyFont="1" applyBorder="1" applyAlignment="1">
      <alignment horizontal="center"/>
    </xf>
    <xf numFmtId="167" fontId="10" fillId="13" borderId="12" xfId="0" applyNumberFormat="1" applyFont="1" applyFill="1" applyBorder="1" applyAlignment="1">
      <alignment horizontal="center"/>
    </xf>
    <xf numFmtId="173" fontId="10" fillId="13" borderId="45" xfId="0" applyNumberFormat="1" applyFont="1" applyFill="1" applyBorder="1" applyAlignment="1">
      <alignment horizontal="right"/>
    </xf>
    <xf numFmtId="167" fontId="10" fillId="0" borderId="45" xfId="0" applyNumberFormat="1" applyFont="1" applyBorder="1" applyAlignment="1">
      <alignment horizontal="right"/>
    </xf>
    <xf numFmtId="171" fontId="32" fillId="0" borderId="33" xfId="0" applyNumberFormat="1" applyFont="1" applyBorder="1" applyAlignment="1">
      <alignment horizontal="center"/>
    </xf>
    <xf numFmtId="167" fontId="32" fillId="0" borderId="9" xfId="0" applyNumberFormat="1" applyFont="1" applyBorder="1" applyAlignment="1">
      <alignment horizontal="center"/>
    </xf>
    <xf numFmtId="167" fontId="32" fillId="0" borderId="35" xfId="0" applyNumberFormat="1" applyFont="1" applyBorder="1" applyAlignment="1">
      <alignment horizontal="center"/>
    </xf>
    <xf numFmtId="165" fontId="10" fillId="0" borderId="1" xfId="0" applyNumberFormat="1" applyFont="1" applyBorder="1" applyAlignment="1">
      <alignment horizontal="left"/>
    </xf>
    <xf numFmtId="2" fontId="10" fillId="2" borderId="46" xfId="0" applyNumberFormat="1" applyFont="1" applyFill="1" applyBorder="1" applyAlignment="1">
      <alignment horizontal="left"/>
    </xf>
    <xf numFmtId="0" fontId="10" fillId="0" borderId="47" xfId="0" applyFont="1" applyBorder="1"/>
    <xf numFmtId="0" fontId="10" fillId="0" borderId="46" xfId="0" applyFont="1" applyBorder="1" applyAlignment="1">
      <alignment horizontal="center"/>
    </xf>
    <xf numFmtId="171" fontId="10" fillId="0" borderId="46" xfId="2" applyNumberFormat="1" applyFont="1" applyBorder="1" applyAlignment="1" applyProtection="1">
      <alignment horizontal="left"/>
    </xf>
    <xf numFmtId="171" fontId="10" fillId="13" borderId="46" xfId="2" applyNumberFormat="1" applyFont="1" applyFill="1" applyBorder="1" applyAlignment="1" applyProtection="1">
      <alignment horizontal="left"/>
    </xf>
    <xf numFmtId="167" fontId="10" fillId="0" borderId="46" xfId="0" applyNumberFormat="1" applyFont="1" applyBorder="1" applyAlignment="1">
      <alignment horizontal="center"/>
    </xf>
    <xf numFmtId="167" fontId="10" fillId="13" borderId="46" xfId="0" applyNumberFormat="1" applyFont="1" applyFill="1" applyBorder="1" applyAlignment="1">
      <alignment horizontal="center"/>
    </xf>
    <xf numFmtId="171" fontId="10" fillId="13" borderId="3" xfId="0" applyNumberFormat="1" applyFont="1" applyFill="1" applyBorder="1" applyAlignment="1">
      <alignment horizontal="right"/>
    </xf>
    <xf numFmtId="171" fontId="10" fillId="0" borderId="3" xfId="0" applyNumberFormat="1" applyFont="1" applyBorder="1" applyAlignment="1">
      <alignment horizontal="right"/>
    </xf>
    <xf numFmtId="173" fontId="10" fillId="0" borderId="46" xfId="2" applyNumberFormat="1" applyFont="1" applyBorder="1" applyAlignment="1" applyProtection="1">
      <alignment horizontal="left"/>
    </xf>
    <xf numFmtId="173" fontId="10" fillId="13" borderId="46" xfId="2" applyNumberFormat="1" applyFont="1" applyFill="1" applyBorder="1" applyAlignment="1" applyProtection="1">
      <alignment horizontal="left"/>
    </xf>
    <xf numFmtId="173" fontId="10" fillId="13" borderId="3" xfId="0" applyNumberFormat="1" applyFont="1" applyFill="1" applyBorder="1" applyAlignment="1">
      <alignment horizontal="right"/>
    </xf>
    <xf numFmtId="173" fontId="32" fillId="0" borderId="46" xfId="2" applyNumberFormat="1" applyFont="1" applyBorder="1" applyAlignment="1" applyProtection="1">
      <alignment horizontal="left"/>
    </xf>
    <xf numFmtId="167" fontId="10" fillId="13" borderId="3" xfId="0" applyNumberFormat="1" applyFont="1" applyFill="1" applyBorder="1" applyAlignment="1">
      <alignment horizontal="right"/>
    </xf>
    <xf numFmtId="167" fontId="32" fillId="0" borderId="33" xfId="0" applyNumberFormat="1" applyFont="1" applyBorder="1" applyAlignment="1">
      <alignment horizontal="center"/>
    </xf>
    <xf numFmtId="9" fontId="10" fillId="0" borderId="9" xfId="0" applyNumberFormat="1" applyFont="1" applyBorder="1" applyAlignment="1">
      <alignment horizontal="center"/>
    </xf>
    <xf numFmtId="9" fontId="10" fillId="0" borderId="9" xfId="0" applyNumberFormat="1" applyFont="1" applyBorder="1"/>
    <xf numFmtId="179" fontId="10" fillId="0" borderId="9" xfId="0" applyNumberFormat="1" applyFont="1" applyBorder="1"/>
    <xf numFmtId="179" fontId="10" fillId="27" borderId="9" xfId="0" applyNumberFormat="1" applyFont="1" applyFill="1" applyBorder="1"/>
    <xf numFmtId="170" fontId="0" fillId="35" borderId="0" xfId="0" applyNumberFormat="1" applyFill="1"/>
    <xf numFmtId="176" fontId="10" fillId="0" borderId="22" xfId="0" applyNumberFormat="1" applyFont="1" applyBorder="1" applyAlignment="1">
      <alignment horizontal="right"/>
    </xf>
    <xf numFmtId="171" fontId="10" fillId="0" borderId="0" xfId="2" applyNumberFormat="1" applyFont="1" applyBorder="1" applyProtection="1"/>
    <xf numFmtId="171" fontId="10" fillId="0" borderId="0" xfId="0" applyNumberFormat="1" applyFont="1" applyAlignment="1">
      <alignment horizontal="center"/>
    </xf>
    <xf numFmtId="170" fontId="10" fillId="0" borderId="0" xfId="0" applyNumberFormat="1" applyFont="1" applyAlignment="1">
      <alignment horizontal="center"/>
    </xf>
    <xf numFmtId="171" fontId="10" fillId="0" borderId="0" xfId="3" applyNumberFormat="1" applyFont="1" applyBorder="1" applyAlignment="1" applyProtection="1">
      <alignment horizontal="center"/>
    </xf>
    <xf numFmtId="0" fontId="32" fillId="0" borderId="9" xfId="0" applyFont="1" applyBorder="1" applyAlignment="1">
      <alignment horizontal="center"/>
    </xf>
    <xf numFmtId="179" fontId="10" fillId="26" borderId="9" xfId="0" applyNumberFormat="1" applyFont="1" applyFill="1" applyBorder="1"/>
    <xf numFmtId="0" fontId="10" fillId="35" borderId="0" xfId="0" applyFont="1" applyFill="1"/>
    <xf numFmtId="0" fontId="37" fillId="33" borderId="0" xfId="7" applyFont="1" applyFill="1"/>
    <xf numFmtId="0" fontId="37" fillId="34" borderId="0" xfId="7" applyFont="1" applyFill="1"/>
    <xf numFmtId="0" fontId="37" fillId="36" borderId="0" xfId="7" applyFont="1" applyFill="1"/>
    <xf numFmtId="0" fontId="37" fillId="31" borderId="0" xfId="7" applyFont="1" applyFill="1"/>
    <xf numFmtId="0" fontId="37" fillId="35" borderId="0" xfId="7" applyFont="1" applyFill="1" applyAlignment="1"/>
    <xf numFmtId="0" fontId="1" fillId="14" borderId="0" xfId="0" applyFont="1" applyFill="1"/>
    <xf numFmtId="165" fontId="1" fillId="0" borderId="20" xfId="0" applyNumberFormat="1" applyFont="1" applyBorder="1" applyAlignment="1">
      <alignment horizontal="left" wrapText="1"/>
    </xf>
    <xf numFmtId="167" fontId="1" fillId="13" borderId="33" xfId="0" applyNumberFormat="1" applyFont="1" applyFill="1" applyBorder="1" applyAlignment="1">
      <alignment horizontal="center"/>
    </xf>
    <xf numFmtId="168" fontId="1" fillId="0" borderId="33" xfId="1" applyFont="1" applyBorder="1" applyAlignment="1" applyProtection="1">
      <alignment horizontal="center"/>
    </xf>
    <xf numFmtId="167" fontId="2" fillId="0" borderId="33" xfId="0" applyNumberFormat="1" applyFont="1" applyBorder="1" applyAlignment="1">
      <alignment horizontal="center"/>
    </xf>
    <xf numFmtId="164" fontId="3" fillId="3" borderId="9" xfId="0" applyNumberFormat="1" applyFont="1" applyFill="1" applyBorder="1" applyAlignment="1">
      <alignment horizontal="center" vertical="center" wrapText="1"/>
    </xf>
    <xf numFmtId="171" fontId="38" fillId="0" borderId="9" xfId="0" applyNumberFormat="1" applyFont="1" applyBorder="1"/>
    <xf numFmtId="0" fontId="34" fillId="6" borderId="17" xfId="0" applyFont="1" applyFill="1" applyBorder="1"/>
    <xf numFmtId="171" fontId="34" fillId="6" borderId="33" xfId="0" applyNumberFormat="1" applyFont="1" applyFill="1" applyBorder="1" applyAlignment="1">
      <alignment horizontal="center"/>
    </xf>
    <xf numFmtId="171" fontId="34" fillId="6" borderId="33" xfId="0" applyNumberFormat="1" applyFont="1" applyFill="1" applyBorder="1"/>
    <xf numFmtId="171" fontId="34" fillId="13" borderId="33" xfId="0" applyNumberFormat="1" applyFont="1" applyFill="1" applyBorder="1"/>
    <xf numFmtId="171" fontId="34" fillId="6" borderId="19" xfId="0" applyNumberFormat="1" applyFont="1" applyFill="1" applyBorder="1" applyAlignment="1">
      <alignment horizontal="center"/>
    </xf>
    <xf numFmtId="171" fontId="32" fillId="2" borderId="9" xfId="2" applyNumberFormat="1" applyFont="1" applyFill="1" applyBorder="1" applyProtection="1"/>
    <xf numFmtId="171" fontId="32" fillId="2" borderId="9" xfId="0" applyNumberFormat="1" applyFont="1" applyFill="1" applyBorder="1"/>
    <xf numFmtId="171" fontId="32" fillId="13" borderId="9" xfId="0" applyNumberFormat="1" applyFont="1" applyFill="1" applyBorder="1"/>
    <xf numFmtId="171" fontId="32" fillId="13" borderId="22" xfId="0" applyNumberFormat="1" applyFont="1" applyFill="1" applyBorder="1"/>
    <xf numFmtId="171" fontId="32" fillId="2" borderId="22" xfId="0" applyNumberFormat="1" applyFont="1" applyFill="1" applyBorder="1"/>
    <xf numFmtId="10" fontId="10" fillId="0" borderId="0" xfId="0" applyNumberFormat="1" applyFont="1"/>
    <xf numFmtId="171" fontId="32" fillId="2" borderId="9" xfId="0" applyNumberFormat="1" applyFont="1" applyFill="1" applyBorder="1" applyAlignment="1">
      <alignment horizontal="center"/>
    </xf>
    <xf numFmtId="0" fontId="39" fillId="7" borderId="17" xfId="0" applyFont="1" applyFill="1" applyBorder="1" applyAlignment="1">
      <alignment horizontal="left"/>
    </xf>
    <xf numFmtId="0" fontId="39" fillId="7" borderId="51" xfId="0" applyFont="1" applyFill="1" applyBorder="1" applyAlignment="1">
      <alignment horizontal="left"/>
    </xf>
    <xf numFmtId="167" fontId="32" fillId="7" borderId="33" xfId="0" applyNumberFormat="1" applyFont="1" applyFill="1" applyBorder="1"/>
    <xf numFmtId="167" fontId="32" fillId="13" borderId="33" xfId="0" applyNumberFormat="1" applyFont="1" applyFill="1" applyBorder="1"/>
    <xf numFmtId="167" fontId="32" fillId="0" borderId="33" xfId="0" applyNumberFormat="1" applyFont="1" applyBorder="1"/>
    <xf numFmtId="171" fontId="39" fillId="13" borderId="19" xfId="0" applyNumberFormat="1" applyFont="1" applyFill="1" applyBorder="1" applyAlignment="1">
      <alignment horizontal="left"/>
    </xf>
    <xf numFmtId="171" fontId="39" fillId="7" borderId="19" xfId="0" applyNumberFormat="1" applyFont="1" applyFill="1" applyBorder="1" applyAlignment="1">
      <alignment horizontal="left"/>
    </xf>
    <xf numFmtId="0" fontId="40" fillId="8" borderId="20" xfId="0" applyFont="1" applyFill="1" applyBorder="1" applyAlignment="1">
      <alignment horizontal="left"/>
    </xf>
    <xf numFmtId="0" fontId="40" fillId="8" borderId="27" xfId="0" applyFont="1" applyFill="1" applyBorder="1" applyAlignment="1">
      <alignment horizontal="left"/>
    </xf>
    <xf numFmtId="167" fontId="10" fillId="8" borderId="9" xfId="0" applyNumberFormat="1" applyFont="1" applyFill="1" applyBorder="1"/>
    <xf numFmtId="171" fontId="40" fillId="8" borderId="22" xfId="0" applyNumberFormat="1" applyFont="1" applyFill="1" applyBorder="1" applyAlignment="1">
      <alignment horizontal="left"/>
    </xf>
    <xf numFmtId="171" fontId="40" fillId="8" borderId="22" xfId="2" applyNumberFormat="1" applyFont="1" applyFill="1" applyBorder="1" applyAlignment="1" applyProtection="1">
      <alignment horizontal="left"/>
    </xf>
    <xf numFmtId="43" fontId="10" fillId="0" borderId="0" xfId="0" applyNumberFormat="1" applyFont="1"/>
    <xf numFmtId="0" fontId="40" fillId="8" borderId="52" xfId="0" applyFont="1" applyFill="1" applyBorder="1" applyAlignment="1">
      <alignment horizontal="left"/>
    </xf>
    <xf numFmtId="0" fontId="10" fillId="8" borderId="35" xfId="0" applyFont="1" applyFill="1" applyBorder="1"/>
    <xf numFmtId="171" fontId="40" fillId="8" borderId="25" xfId="3" applyNumberFormat="1" applyFont="1" applyFill="1" applyBorder="1" applyAlignment="1" applyProtection="1">
      <alignment horizontal="right"/>
    </xf>
    <xf numFmtId="176" fontId="10" fillId="14" borderId="0" xfId="0" applyNumberFormat="1" applyFont="1" applyFill="1"/>
    <xf numFmtId="171" fontId="1" fillId="14" borderId="0" xfId="0" applyNumberFormat="1" applyFont="1" applyFill="1"/>
    <xf numFmtId="170" fontId="10" fillId="35" borderId="0" xfId="0" applyNumberFormat="1" applyFont="1" applyFill="1"/>
    <xf numFmtId="0" fontId="32" fillId="24" borderId="0" xfId="0" applyFont="1" applyFill="1"/>
    <xf numFmtId="43" fontId="0" fillId="0" borderId="0" xfId="0" applyNumberFormat="1"/>
    <xf numFmtId="171" fontId="0" fillId="0" borderId="9" xfId="0" applyNumberFormat="1" applyBorder="1"/>
    <xf numFmtId="2" fontId="10" fillId="37" borderId="9" xfId="0" applyNumberFormat="1" applyFont="1" applyFill="1" applyBorder="1" applyAlignment="1" applyProtection="1">
      <alignment horizontal="left"/>
      <protection locked="0"/>
    </xf>
    <xf numFmtId="0" fontId="10" fillId="37" borderId="9" xfId="0" applyFont="1" applyFill="1" applyBorder="1" applyAlignment="1" applyProtection="1">
      <alignment horizontal="center"/>
      <protection locked="0"/>
    </xf>
    <xf numFmtId="0" fontId="10" fillId="37" borderId="5" xfId="0" applyFont="1" applyFill="1" applyBorder="1" applyAlignment="1" applyProtection="1">
      <alignment horizontal="center"/>
      <protection locked="0"/>
    </xf>
    <xf numFmtId="164" fontId="33" fillId="0" borderId="0" xfId="0" applyNumberFormat="1" applyFont="1" applyAlignment="1">
      <alignment horizontal="center" vertical="center"/>
    </xf>
    <xf numFmtId="165" fontId="10" fillId="0" borderId="0" xfId="0" applyNumberFormat="1" applyFont="1" applyAlignment="1" applyProtection="1">
      <alignment horizontal="left" wrapText="1"/>
      <protection locked="0"/>
    </xf>
    <xf numFmtId="165" fontId="10" fillId="0" borderId="0" xfId="0" applyNumberFormat="1" applyFont="1" applyAlignment="1">
      <alignment horizontal="left" wrapText="1"/>
    </xf>
    <xf numFmtId="171" fontId="10" fillId="0" borderId="0" xfId="0" applyNumberFormat="1" applyFont="1" applyAlignment="1">
      <alignment horizontal="left" vertical="center" wrapText="1"/>
    </xf>
    <xf numFmtId="175" fontId="10" fillId="0" borderId="0" xfId="0" applyNumberFormat="1" applyFont="1" applyAlignment="1">
      <alignment wrapText="1"/>
    </xf>
    <xf numFmtId="179" fontId="30" fillId="0" borderId="0" xfId="2" applyNumberFormat="1"/>
    <xf numFmtId="171" fontId="41" fillId="13" borderId="33" xfId="0" applyNumberFormat="1" applyFont="1" applyFill="1" applyBorder="1"/>
    <xf numFmtId="43" fontId="10" fillId="0" borderId="0" xfId="0" applyNumberFormat="1" applyFont="1" applyAlignment="1">
      <alignment wrapText="1"/>
    </xf>
    <xf numFmtId="43" fontId="15" fillId="0" borderId="0" xfId="0" applyNumberFormat="1" applyFont="1" applyAlignment="1">
      <alignment wrapText="1"/>
    </xf>
    <xf numFmtId="165" fontId="10" fillId="2" borderId="8" xfId="0" applyNumberFormat="1" applyFont="1" applyFill="1" applyBorder="1" applyAlignment="1">
      <alignment vertical="center" wrapText="1"/>
    </xf>
    <xf numFmtId="0" fontId="10" fillId="2" borderId="20" xfId="0" applyFont="1" applyFill="1" applyBorder="1" applyAlignment="1">
      <alignment vertical="center" wrapText="1"/>
    </xf>
    <xf numFmtId="165" fontId="10" fillId="2" borderId="20" xfId="0" applyNumberFormat="1" applyFont="1" applyFill="1" applyBorder="1" applyAlignment="1">
      <alignment vertical="center" wrapText="1"/>
    </xf>
    <xf numFmtId="0" fontId="10" fillId="38" borderId="9" xfId="0" applyFont="1" applyFill="1" applyBorder="1" applyAlignment="1">
      <alignment wrapText="1"/>
    </xf>
    <xf numFmtId="0" fontId="10" fillId="38" borderId="9" xfId="0" applyFont="1" applyFill="1" applyBorder="1"/>
    <xf numFmtId="171" fontId="32" fillId="38" borderId="9" xfId="0" applyNumberFormat="1" applyFont="1" applyFill="1" applyBorder="1" applyAlignment="1">
      <alignment wrapText="1"/>
    </xf>
    <xf numFmtId="0" fontId="15" fillId="0" borderId="9" xfId="0" applyFont="1" applyBorder="1" applyAlignment="1">
      <alignment wrapText="1"/>
    </xf>
    <xf numFmtId="170" fontId="30" fillId="0" borderId="9" xfId="3" applyBorder="1"/>
    <xf numFmtId="0" fontId="42" fillId="31" borderId="9" xfId="0" applyFont="1" applyFill="1" applyBorder="1" applyAlignment="1">
      <alignment horizontal="center" vertical="center" wrapText="1"/>
    </xf>
    <xf numFmtId="0" fontId="44" fillId="0" borderId="9" xfId="0" applyFont="1" applyBorder="1" applyAlignment="1">
      <alignment wrapText="1"/>
    </xf>
    <xf numFmtId="179" fontId="30" fillId="0" borderId="9" xfId="2" applyNumberFormat="1" applyBorder="1"/>
    <xf numFmtId="0" fontId="45" fillId="0" borderId="9" xfId="0" applyFont="1" applyBorder="1" applyAlignment="1">
      <alignment horizontal="right" wrapText="1"/>
    </xf>
    <xf numFmtId="179" fontId="45" fillId="40" borderId="9" xfId="2" applyNumberFormat="1" applyFont="1" applyFill="1" applyBorder="1"/>
    <xf numFmtId="179" fontId="45" fillId="41" borderId="9" xfId="2" applyNumberFormat="1" applyFont="1" applyFill="1" applyBorder="1"/>
    <xf numFmtId="0" fontId="10" fillId="0" borderId="9" xfId="0" applyFont="1" applyBorder="1" applyAlignment="1">
      <alignment vertical="center" wrapText="1"/>
    </xf>
    <xf numFmtId="0" fontId="10" fillId="0" borderId="9" xfId="0" applyFont="1" applyBorder="1" applyAlignment="1">
      <alignment horizontal="center" vertical="center" wrapText="1"/>
    </xf>
    <xf numFmtId="0" fontId="10" fillId="0" borderId="9" xfId="0" applyFont="1" applyBorder="1" applyAlignment="1">
      <alignment horizontal="center" vertical="center"/>
    </xf>
    <xf numFmtId="179" fontId="30" fillId="0" borderId="9" xfId="2" applyNumberFormat="1" applyBorder="1" applyAlignment="1">
      <alignment vertical="center"/>
    </xf>
    <xf numFmtId="179" fontId="10" fillId="0" borderId="9" xfId="0" applyNumberFormat="1" applyFont="1" applyBorder="1" applyAlignment="1">
      <alignment vertical="center"/>
    </xf>
    <xf numFmtId="0" fontId="32" fillId="0" borderId="9" xfId="0" applyFont="1" applyBorder="1" applyAlignment="1">
      <alignment vertical="center" wrapText="1"/>
    </xf>
    <xf numFmtId="0" fontId="32" fillId="20" borderId="9" xfId="0" applyFont="1" applyFill="1" applyBorder="1" applyAlignment="1">
      <alignment horizontal="right"/>
    </xf>
    <xf numFmtId="171" fontId="32" fillId="20" borderId="9" xfId="0" applyNumberFormat="1" applyFont="1" applyFill="1" applyBorder="1"/>
    <xf numFmtId="171" fontId="32" fillId="42" borderId="19" xfId="0" applyNumberFormat="1" applyFont="1" applyFill="1" applyBorder="1" applyAlignment="1">
      <alignment horizontal="center"/>
    </xf>
    <xf numFmtId="0" fontId="10" fillId="0" borderId="34" xfId="0" applyFont="1" applyBorder="1"/>
    <xf numFmtId="0" fontId="40" fillId="8" borderId="23" xfId="0" applyFont="1" applyFill="1" applyBorder="1" applyAlignment="1">
      <alignment horizontal="left"/>
    </xf>
    <xf numFmtId="0" fontId="10" fillId="0" borderId="36" xfId="0" applyFont="1" applyBorder="1"/>
    <xf numFmtId="170" fontId="10" fillId="8" borderId="35" xfId="3" applyFont="1" applyFill="1" applyBorder="1" applyProtection="1"/>
    <xf numFmtId="170" fontId="30" fillId="43" borderId="25" xfId="3" applyFill="1" applyBorder="1" applyProtection="1"/>
    <xf numFmtId="0" fontId="32" fillId="0" borderId="0" xfId="0" applyFont="1" applyAlignment="1">
      <alignment vertical="center" wrapText="1"/>
    </xf>
    <xf numFmtId="0" fontId="10" fillId="0" borderId="0" xfId="0" applyFont="1" applyAlignment="1">
      <alignment horizontal="center" vertical="center"/>
    </xf>
    <xf numFmtId="0" fontId="10" fillId="0" borderId="9" xfId="0" applyFont="1" applyBorder="1" applyAlignment="1">
      <alignment vertical="center"/>
    </xf>
    <xf numFmtId="0" fontId="32" fillId="0" borderId="9" xfId="0" applyFont="1" applyBorder="1" applyAlignment="1">
      <alignment horizontal="center" vertical="center" wrapText="1"/>
    </xf>
    <xf numFmtId="9" fontId="10" fillId="0" borderId="9" xfId="0" applyNumberFormat="1" applyFont="1" applyBorder="1" applyAlignment="1">
      <alignment vertical="center"/>
    </xf>
    <xf numFmtId="171" fontId="10" fillId="0" borderId="9" xfId="2" applyNumberFormat="1" applyFont="1" applyBorder="1" applyAlignment="1" applyProtection="1">
      <alignment vertical="center"/>
    </xf>
    <xf numFmtId="170" fontId="10" fillId="0" borderId="9" xfId="0" applyNumberFormat="1" applyFont="1" applyBorder="1" applyAlignment="1">
      <alignment horizontal="center" vertical="center"/>
    </xf>
    <xf numFmtId="1" fontId="10" fillId="0" borderId="9" xfId="0" applyNumberFormat="1" applyFont="1" applyBorder="1" applyAlignment="1">
      <alignment horizontal="center" vertical="center" wrapText="1"/>
    </xf>
    <xf numFmtId="1" fontId="10" fillId="0" borderId="9" xfId="0" applyNumberFormat="1" applyFont="1" applyBorder="1" applyAlignment="1">
      <alignment horizontal="center" vertical="center"/>
    </xf>
    <xf numFmtId="0" fontId="32" fillId="0" borderId="0" xfId="0" applyFont="1"/>
    <xf numFmtId="0" fontId="32" fillId="38" borderId="9" xfId="0" applyFont="1" applyFill="1" applyBorder="1" applyAlignment="1">
      <alignment vertical="center" wrapText="1"/>
    </xf>
    <xf numFmtId="0" fontId="32" fillId="38" borderId="9" xfId="0" applyFont="1" applyFill="1" applyBorder="1" applyAlignment="1">
      <alignment horizontal="center" vertical="center" wrapText="1"/>
    </xf>
    <xf numFmtId="0" fontId="32" fillId="0" borderId="60" xfId="0" applyFont="1" applyBorder="1" applyAlignment="1">
      <alignment vertical="center"/>
    </xf>
    <xf numFmtId="179" fontId="32" fillId="0" borderId="9" xfId="0" applyNumberFormat="1" applyFont="1" applyBorder="1" applyAlignment="1">
      <alignment vertical="center" wrapText="1"/>
    </xf>
    <xf numFmtId="179" fontId="10" fillId="0" borderId="9" xfId="2" applyNumberFormat="1" applyFont="1" applyBorder="1" applyAlignment="1">
      <alignment vertical="center"/>
    </xf>
    <xf numFmtId="9" fontId="10" fillId="0" borderId="9" xfId="0" applyNumberFormat="1" applyFont="1" applyBorder="1" applyAlignment="1">
      <alignment horizontal="center" vertical="center" wrapText="1"/>
    </xf>
    <xf numFmtId="179" fontId="30" fillId="0" borderId="0" xfId="2" applyNumberFormat="1" applyBorder="1"/>
    <xf numFmtId="171" fontId="32" fillId="0" borderId="9" xfId="3" applyNumberFormat="1" applyFont="1" applyBorder="1" applyAlignment="1" applyProtection="1">
      <alignment horizontal="center" vertical="center"/>
    </xf>
    <xf numFmtId="171" fontId="32" fillId="0" borderId="9" xfId="0" applyNumberFormat="1" applyFont="1" applyBorder="1" applyAlignment="1">
      <alignment horizontal="center" vertical="center"/>
    </xf>
    <xf numFmtId="175" fontId="10" fillId="0" borderId="0" xfId="0" applyNumberFormat="1" applyFont="1" applyAlignment="1">
      <alignment horizontal="left"/>
    </xf>
    <xf numFmtId="175" fontId="10" fillId="0" borderId="0" xfId="0" applyNumberFormat="1" applyFont="1"/>
    <xf numFmtId="164" fontId="33" fillId="0" borderId="0" xfId="0" applyNumberFormat="1" applyFont="1" applyAlignment="1">
      <alignment horizontal="center" vertical="center" wrapText="1"/>
    </xf>
    <xf numFmtId="0" fontId="10" fillId="0" borderId="0" xfId="0" applyFont="1" applyAlignment="1">
      <alignment horizontal="left"/>
    </xf>
    <xf numFmtId="0" fontId="32" fillId="24" borderId="9" xfId="0" applyFont="1" applyFill="1" applyBorder="1" applyAlignment="1">
      <alignment vertical="center"/>
    </xf>
    <xf numFmtId="2" fontId="10" fillId="0" borderId="33" xfId="0" applyNumberFormat="1" applyFont="1" applyBorder="1" applyAlignment="1">
      <alignment horizontal="center"/>
    </xf>
    <xf numFmtId="0" fontId="46" fillId="40" borderId="9" xfId="0" applyFont="1" applyFill="1" applyBorder="1" applyAlignment="1">
      <alignment wrapText="1"/>
    </xf>
    <xf numFmtId="0" fontId="32" fillId="40" borderId="9" xfId="0" applyFont="1" applyFill="1" applyBorder="1"/>
    <xf numFmtId="170" fontId="10" fillId="0" borderId="0" xfId="0" applyNumberFormat="1" applyFont="1"/>
    <xf numFmtId="170" fontId="32" fillId="40" borderId="9" xfId="0" applyNumberFormat="1" applyFont="1" applyFill="1" applyBorder="1"/>
    <xf numFmtId="0" fontId="32" fillId="0" borderId="38" xfId="0" applyFont="1" applyBorder="1" applyAlignment="1">
      <alignment horizontal="center" wrapText="1"/>
    </xf>
    <xf numFmtId="0" fontId="32" fillId="13" borderId="38" xfId="0" applyFont="1" applyFill="1" applyBorder="1" applyAlignment="1">
      <alignment horizontal="center" wrapText="1"/>
    </xf>
    <xf numFmtId="0" fontId="10" fillId="14" borderId="9" xfId="0" applyFont="1" applyFill="1" applyBorder="1"/>
    <xf numFmtId="171" fontId="38" fillId="0" borderId="9" xfId="0" applyNumberFormat="1" applyFont="1" applyBorder="1" applyAlignment="1">
      <alignment wrapText="1"/>
    </xf>
    <xf numFmtId="0" fontId="32" fillId="20" borderId="9" xfId="0" applyFont="1" applyFill="1" applyBorder="1" applyAlignment="1">
      <alignment horizontal="right" wrapText="1"/>
    </xf>
    <xf numFmtId="171" fontId="32" fillId="20" borderId="9" xfId="0" applyNumberFormat="1" applyFont="1" applyFill="1" applyBorder="1" applyAlignment="1">
      <alignment wrapText="1"/>
    </xf>
    <xf numFmtId="171" fontId="10" fillId="29" borderId="0" xfId="0" applyNumberFormat="1" applyFont="1" applyFill="1"/>
    <xf numFmtId="0" fontId="34" fillId="44" borderId="9" xfId="0" applyFont="1" applyFill="1" applyBorder="1" applyAlignment="1">
      <alignment horizontal="center" vertical="center"/>
    </xf>
    <xf numFmtId="0" fontId="34" fillId="44" borderId="9" xfId="0" applyFont="1" applyFill="1" applyBorder="1" applyAlignment="1">
      <alignment horizontal="center" vertical="center" wrapText="1"/>
    </xf>
    <xf numFmtId="164" fontId="48" fillId="45" borderId="9" xfId="0" applyNumberFormat="1" applyFont="1" applyFill="1" applyBorder="1" applyAlignment="1">
      <alignment horizontal="center" vertical="center" wrapText="1"/>
    </xf>
    <xf numFmtId="0" fontId="34" fillId="44" borderId="12" xfId="0" applyFont="1" applyFill="1" applyBorder="1" applyAlignment="1">
      <alignment horizontal="center" vertical="center" wrapText="1"/>
    </xf>
    <xf numFmtId="0" fontId="34" fillId="46" borderId="12" xfId="0" applyFont="1" applyFill="1" applyBorder="1" applyAlignment="1">
      <alignment horizontal="center" vertical="center" wrapText="1"/>
    </xf>
    <xf numFmtId="0" fontId="47" fillId="46" borderId="0" xfId="0" applyFont="1" applyFill="1" applyAlignment="1">
      <alignment vertical="center"/>
    </xf>
    <xf numFmtId="171" fontId="10" fillId="0" borderId="19" xfId="0" applyNumberFormat="1" applyFont="1" applyBorder="1" applyAlignment="1">
      <alignment horizontal="left" wrapText="1"/>
    </xf>
    <xf numFmtId="0" fontId="10" fillId="14" borderId="0" xfId="0" applyFont="1" applyFill="1" applyAlignment="1">
      <alignment horizontal="left" wrapText="1"/>
    </xf>
    <xf numFmtId="172" fontId="10" fillId="15" borderId="0" xfId="2" applyNumberFormat="1" applyFont="1" applyFill="1" applyBorder="1" applyAlignment="1" applyProtection="1">
      <alignment horizontal="left" wrapText="1"/>
    </xf>
    <xf numFmtId="0" fontId="10" fillId="15" borderId="0" xfId="0" applyFont="1" applyFill="1" applyAlignment="1">
      <alignment horizontal="left" wrapText="1"/>
    </xf>
    <xf numFmtId="172" fontId="10" fillId="15" borderId="0" xfId="0" applyNumberFormat="1" applyFont="1" applyFill="1" applyAlignment="1">
      <alignment horizontal="left" wrapText="1"/>
    </xf>
    <xf numFmtId="180" fontId="10" fillId="28" borderId="55" xfId="0" applyNumberFormat="1" applyFont="1" applyFill="1" applyBorder="1" applyAlignment="1">
      <alignment horizontal="left" wrapText="1"/>
    </xf>
    <xf numFmtId="0" fontId="10" fillId="29" borderId="34" xfId="0" applyFont="1" applyFill="1" applyBorder="1" applyAlignment="1">
      <alignment horizontal="left" wrapText="1"/>
    </xf>
    <xf numFmtId="180" fontId="32" fillId="28" borderId="34" xfId="2" applyNumberFormat="1" applyFont="1" applyFill="1" applyBorder="1" applyAlignment="1" applyProtection="1">
      <alignment horizontal="left" wrapText="1"/>
    </xf>
    <xf numFmtId="180" fontId="10" fillId="28" borderId="34" xfId="2" applyNumberFormat="1" applyFont="1" applyFill="1" applyBorder="1" applyAlignment="1" applyProtection="1">
      <alignment horizontal="left" wrapText="1"/>
    </xf>
    <xf numFmtId="0" fontId="10" fillId="28" borderId="34" xfId="0" applyFont="1" applyFill="1" applyBorder="1" applyAlignment="1">
      <alignment horizontal="left" wrapText="1"/>
    </xf>
    <xf numFmtId="180" fontId="10" fillId="28" borderId="34" xfId="0" applyNumberFormat="1" applyFont="1" applyFill="1" applyBorder="1" applyAlignment="1">
      <alignment horizontal="left" wrapText="1"/>
    </xf>
    <xf numFmtId="180" fontId="10" fillId="28" borderId="59" xfId="0" applyNumberFormat="1" applyFont="1" applyFill="1" applyBorder="1" applyAlignment="1">
      <alignment horizontal="left" wrapText="1"/>
    </xf>
    <xf numFmtId="171" fontId="10" fillId="0" borderId="22" xfId="0" applyNumberFormat="1" applyFont="1" applyBorder="1" applyAlignment="1">
      <alignment horizontal="left" wrapText="1"/>
    </xf>
    <xf numFmtId="2" fontId="10" fillId="15" borderId="0" xfId="0" applyNumberFormat="1" applyFont="1" applyFill="1" applyAlignment="1">
      <alignment horizontal="left" wrapText="1"/>
    </xf>
    <xf numFmtId="167" fontId="10" fillId="15" borderId="0" xfId="0" applyNumberFormat="1" applyFont="1" applyFill="1" applyAlignment="1">
      <alignment horizontal="left" wrapText="1"/>
    </xf>
    <xf numFmtId="181" fontId="10" fillId="28" borderId="56" xfId="0" applyNumberFormat="1" applyFont="1" applyFill="1" applyBorder="1" applyAlignment="1">
      <alignment horizontal="left" wrapText="1"/>
    </xf>
    <xf numFmtId="0" fontId="10" fillId="29" borderId="0" xfId="0" applyFont="1" applyFill="1" applyAlignment="1">
      <alignment horizontal="left" wrapText="1"/>
    </xf>
    <xf numFmtId="2" fontId="32" fillId="28" borderId="0" xfId="0" applyNumberFormat="1" applyFont="1" applyFill="1" applyAlignment="1">
      <alignment horizontal="left" wrapText="1"/>
    </xf>
    <xf numFmtId="2" fontId="10" fillId="28" borderId="0" xfId="0" applyNumberFormat="1" applyFont="1" applyFill="1" applyAlignment="1">
      <alignment horizontal="left" wrapText="1"/>
    </xf>
    <xf numFmtId="181" fontId="10" fillId="28" borderId="0" xfId="0" applyNumberFormat="1" applyFont="1" applyFill="1" applyAlignment="1">
      <alignment horizontal="left" wrapText="1"/>
    </xf>
    <xf numFmtId="181" fontId="10" fillId="28" borderId="57" xfId="0" applyNumberFormat="1" applyFont="1" applyFill="1" applyBorder="1" applyAlignment="1">
      <alignment horizontal="left" wrapText="1"/>
    </xf>
    <xf numFmtId="171" fontId="10" fillId="0" borderId="25" xfId="0" applyNumberFormat="1" applyFont="1" applyBorder="1" applyAlignment="1">
      <alignment horizontal="left" wrapText="1"/>
    </xf>
    <xf numFmtId="1" fontId="10" fillId="15" borderId="0" xfId="0" applyNumberFormat="1" applyFont="1" applyFill="1" applyAlignment="1">
      <alignment horizontal="left" wrapText="1"/>
    </xf>
    <xf numFmtId="1" fontId="10" fillId="28" borderId="0" xfId="0" applyNumberFormat="1" applyFont="1" applyFill="1" applyAlignment="1">
      <alignment horizontal="left" wrapText="1"/>
    </xf>
    <xf numFmtId="171" fontId="10" fillId="14" borderId="0" xfId="0" applyNumberFormat="1" applyFont="1" applyFill="1" applyAlignment="1">
      <alignment horizontal="left" wrapText="1"/>
    </xf>
    <xf numFmtId="171" fontId="10" fillId="0" borderId="33" xfId="0" applyNumberFormat="1" applyFont="1" applyBorder="1" applyAlignment="1">
      <alignment horizontal="left" wrapText="1"/>
    </xf>
    <xf numFmtId="171" fontId="10" fillId="13" borderId="33" xfId="0" applyNumberFormat="1" applyFont="1" applyFill="1" applyBorder="1" applyAlignment="1">
      <alignment horizontal="left" wrapText="1"/>
    </xf>
    <xf numFmtId="171" fontId="10" fillId="13" borderId="19" xfId="0" applyNumberFormat="1" applyFont="1" applyFill="1" applyBorder="1" applyAlignment="1">
      <alignment horizontal="left" wrapText="1"/>
    </xf>
    <xf numFmtId="171" fontId="10" fillId="22" borderId="22" xfId="0" applyNumberFormat="1" applyFont="1" applyFill="1" applyBorder="1" applyAlignment="1">
      <alignment horizontal="left" wrapText="1"/>
    </xf>
    <xf numFmtId="171" fontId="10" fillId="22" borderId="33" xfId="0" applyNumberFormat="1" applyFont="1" applyFill="1" applyBorder="1" applyAlignment="1">
      <alignment horizontal="left" wrapText="1"/>
    </xf>
    <xf numFmtId="171" fontId="32" fillId="22" borderId="46" xfId="0" applyNumberFormat="1" applyFont="1" applyFill="1" applyBorder="1" applyAlignment="1">
      <alignment horizontal="left" wrapText="1"/>
    </xf>
    <xf numFmtId="171" fontId="32" fillId="22" borderId="3" xfId="0" applyNumberFormat="1" applyFont="1" applyFill="1" applyBorder="1" applyAlignment="1">
      <alignment horizontal="left" wrapText="1"/>
    </xf>
    <xf numFmtId="171" fontId="10" fillId="22" borderId="46" xfId="0" applyNumberFormat="1" applyFont="1" applyFill="1" applyBorder="1" applyAlignment="1">
      <alignment horizontal="left" wrapText="1"/>
    </xf>
    <xf numFmtId="167" fontId="10" fillId="0" borderId="50" xfId="0" applyNumberFormat="1" applyFont="1" applyBorder="1" applyAlignment="1">
      <alignment horizontal="left" wrapText="1"/>
    </xf>
    <xf numFmtId="167" fontId="10" fillId="0" borderId="5" xfId="0" applyNumberFormat="1" applyFont="1" applyBorder="1" applyAlignment="1">
      <alignment horizontal="left" wrapText="1"/>
    </xf>
    <xf numFmtId="167" fontId="10" fillId="13" borderId="5" xfId="0" applyNumberFormat="1" applyFont="1" applyFill="1" applyBorder="1" applyAlignment="1">
      <alignment horizontal="left" wrapText="1"/>
    </xf>
    <xf numFmtId="167" fontId="10" fillId="13" borderId="50" xfId="0" applyNumberFormat="1" applyFont="1" applyFill="1" applyBorder="1" applyAlignment="1">
      <alignment horizontal="left" wrapText="1"/>
    </xf>
    <xf numFmtId="172" fontId="10" fillId="14" borderId="0" xfId="0" applyNumberFormat="1" applyFont="1" applyFill="1" applyAlignment="1">
      <alignment horizontal="left" wrapText="1"/>
    </xf>
    <xf numFmtId="167" fontId="32" fillId="4" borderId="15" xfId="0" applyNumberFormat="1" applyFont="1" applyFill="1" applyBorder="1" applyAlignment="1">
      <alignment horizontal="left" wrapText="1"/>
    </xf>
    <xf numFmtId="167" fontId="32" fillId="13" borderId="15" xfId="0" applyNumberFormat="1" applyFont="1" applyFill="1" applyBorder="1" applyAlignment="1">
      <alignment horizontal="left" wrapText="1"/>
    </xf>
    <xf numFmtId="167" fontId="32" fillId="13" borderId="40" xfId="0" applyNumberFormat="1" applyFont="1" applyFill="1" applyBorder="1" applyAlignment="1">
      <alignment horizontal="left" wrapText="1"/>
    </xf>
    <xf numFmtId="167" fontId="32" fillId="4" borderId="40" xfId="0" applyNumberFormat="1" applyFont="1" applyFill="1" applyBorder="1" applyAlignment="1">
      <alignment horizontal="left" wrapText="1"/>
    </xf>
    <xf numFmtId="167" fontId="10" fillId="4" borderId="15" xfId="0" applyNumberFormat="1" applyFont="1" applyFill="1" applyBorder="1" applyAlignment="1">
      <alignment horizontal="left" wrapText="1"/>
    </xf>
    <xf numFmtId="167" fontId="10" fillId="0" borderId="9" xfId="0" applyNumberFormat="1" applyFont="1" applyBorder="1" applyAlignment="1">
      <alignment horizontal="left" wrapText="1"/>
    </xf>
    <xf numFmtId="167" fontId="10" fillId="13" borderId="9" xfId="0" applyNumberFormat="1" applyFont="1" applyFill="1" applyBorder="1" applyAlignment="1">
      <alignment horizontal="left" wrapText="1"/>
    </xf>
    <xf numFmtId="171" fontId="10" fillId="13" borderId="22" xfId="0" applyNumberFormat="1" applyFont="1" applyFill="1" applyBorder="1" applyAlignment="1">
      <alignment horizontal="left" wrapText="1"/>
    </xf>
    <xf numFmtId="167" fontId="10" fillId="4" borderId="9" xfId="0" applyNumberFormat="1" applyFont="1" applyFill="1" applyBorder="1" applyAlignment="1">
      <alignment horizontal="left" wrapText="1"/>
    </xf>
    <xf numFmtId="167" fontId="10" fillId="0" borderId="35" xfId="0" applyNumberFormat="1" applyFont="1" applyBorder="1" applyAlignment="1">
      <alignment horizontal="left" wrapText="1"/>
    </xf>
    <xf numFmtId="167" fontId="10" fillId="13" borderId="35" xfId="0" applyNumberFormat="1" applyFont="1" applyFill="1" applyBorder="1" applyAlignment="1">
      <alignment horizontal="left" wrapText="1"/>
    </xf>
    <xf numFmtId="171" fontId="10" fillId="13" borderId="25" xfId="0" applyNumberFormat="1" applyFont="1" applyFill="1" applyBorder="1" applyAlignment="1">
      <alignment horizontal="left" wrapText="1"/>
    </xf>
    <xf numFmtId="172" fontId="32" fillId="4" borderId="0" xfId="0" applyNumberFormat="1" applyFont="1" applyFill="1" applyAlignment="1">
      <alignment horizontal="left" wrapText="1"/>
    </xf>
    <xf numFmtId="167" fontId="10" fillId="0" borderId="33" xfId="0" applyNumberFormat="1" applyFont="1" applyBorder="1" applyAlignment="1">
      <alignment horizontal="left" wrapText="1"/>
    </xf>
    <xf numFmtId="167" fontId="10" fillId="13" borderId="33" xfId="0" applyNumberFormat="1" applyFont="1" applyFill="1" applyBorder="1" applyAlignment="1">
      <alignment horizontal="left" wrapText="1"/>
    </xf>
    <xf numFmtId="167" fontId="10" fillId="0" borderId="22" xfId="0" applyNumberFormat="1" applyFont="1" applyBorder="1" applyAlignment="1">
      <alignment horizontal="left" wrapText="1"/>
    </xf>
    <xf numFmtId="173" fontId="10" fillId="13" borderId="19" xfId="0" applyNumberFormat="1" applyFont="1" applyFill="1" applyBorder="1" applyAlignment="1">
      <alignment horizontal="left" wrapText="1"/>
    </xf>
    <xf numFmtId="9" fontId="2" fillId="9" borderId="9" xfId="0" applyNumberFormat="1" applyFont="1" applyFill="1" applyBorder="1"/>
    <xf numFmtId="0" fontId="10" fillId="11" borderId="9" xfId="0" applyFont="1" applyFill="1" applyBorder="1"/>
    <xf numFmtId="10" fontId="32" fillId="37" borderId="20" xfId="0" applyNumberFormat="1" applyFont="1" applyFill="1" applyBorder="1" applyAlignment="1" applyProtection="1">
      <alignment horizontal="left"/>
      <protection locked="0"/>
    </xf>
    <xf numFmtId="10" fontId="10" fillId="37" borderId="20" xfId="0" applyNumberFormat="1" applyFont="1" applyFill="1" applyBorder="1" applyAlignment="1" applyProtection="1">
      <alignment horizontal="left"/>
      <protection locked="0"/>
    </xf>
    <xf numFmtId="10" fontId="10" fillId="37" borderId="20" xfId="0" applyNumberFormat="1" applyFont="1" applyFill="1" applyBorder="1" applyAlignment="1" applyProtection="1">
      <alignment horizontal="left" wrapText="1"/>
      <protection locked="0"/>
    </xf>
    <xf numFmtId="0" fontId="50" fillId="0" borderId="0" xfId="0" applyFont="1"/>
    <xf numFmtId="0" fontId="10" fillId="47" borderId="0" xfId="0" applyFont="1" applyFill="1" applyAlignment="1">
      <alignment wrapText="1"/>
    </xf>
    <xf numFmtId="0" fontId="50" fillId="47" borderId="0" xfId="0" applyFont="1" applyFill="1"/>
    <xf numFmtId="10" fontId="10" fillId="37" borderId="8" xfId="0" applyNumberFormat="1" applyFont="1" applyFill="1" applyBorder="1" applyAlignment="1">
      <alignment horizontal="left" vertical="center" wrapText="1"/>
    </xf>
    <xf numFmtId="164" fontId="33" fillId="3" borderId="9" xfId="0" applyNumberFormat="1" applyFont="1" applyFill="1" applyBorder="1" applyAlignment="1">
      <alignment horizontal="left" vertical="center" wrapText="1"/>
    </xf>
    <xf numFmtId="164" fontId="33" fillId="3" borderId="9" xfId="0" applyNumberFormat="1" applyFont="1" applyFill="1" applyBorder="1" applyAlignment="1">
      <alignment vertical="center" wrapText="1"/>
    </xf>
    <xf numFmtId="0" fontId="51" fillId="47" borderId="9" xfId="0" applyFont="1" applyFill="1" applyBorder="1" applyAlignment="1">
      <alignment horizontal="center" wrapText="1"/>
    </xf>
    <xf numFmtId="0" fontId="10" fillId="47" borderId="9" xfId="0" applyFont="1" applyFill="1" applyBorder="1" applyAlignment="1">
      <alignment horizontal="center" wrapText="1"/>
    </xf>
    <xf numFmtId="0" fontId="10" fillId="0" borderId="0" xfId="0" applyFont="1" applyAlignment="1">
      <alignment horizontal="center"/>
    </xf>
    <xf numFmtId="9" fontId="0" fillId="0" borderId="9" xfId="0" applyNumberFormat="1" applyBorder="1"/>
    <xf numFmtId="179" fontId="10" fillId="0" borderId="0" xfId="0" applyNumberFormat="1" applyFont="1"/>
    <xf numFmtId="0" fontId="53" fillId="0" borderId="0" xfId="0" applyFont="1" applyAlignment="1">
      <alignment horizontal="justify" vertical="center"/>
    </xf>
    <xf numFmtId="0" fontId="32" fillId="0" borderId="9" xfId="0" applyFont="1" applyBorder="1" applyAlignment="1">
      <alignment horizontal="center" wrapText="1"/>
    </xf>
    <xf numFmtId="0" fontId="32" fillId="24" borderId="60" xfId="0" applyFont="1" applyFill="1" applyBorder="1" applyAlignment="1">
      <alignment horizontal="center" vertical="center"/>
    </xf>
    <xf numFmtId="0" fontId="10" fillId="33" borderId="9" xfId="0" applyFont="1" applyFill="1" applyBorder="1" applyAlignment="1">
      <alignment horizontal="center"/>
    </xf>
    <xf numFmtId="0" fontId="49" fillId="39" borderId="9" xfId="0" applyFont="1" applyFill="1" applyBorder="1" applyAlignment="1">
      <alignment horizontal="center" vertical="center" wrapText="1"/>
    </xf>
    <xf numFmtId="0" fontId="32" fillId="0" borderId="10" xfId="0" applyFont="1" applyBorder="1" applyAlignment="1">
      <alignment horizontal="center" vertical="center"/>
    </xf>
    <xf numFmtId="0" fontId="32" fillId="0" borderId="21" xfId="0" applyFont="1" applyBorder="1" applyAlignment="1">
      <alignment horizontal="center" vertical="center"/>
    </xf>
    <xf numFmtId="0" fontId="32" fillId="0" borderId="27" xfId="0" applyFont="1" applyBorder="1" applyAlignment="1">
      <alignment horizontal="center" vertical="center"/>
    </xf>
    <xf numFmtId="165" fontId="1" fillId="2" borderId="8" xfId="0" applyNumberFormat="1" applyFont="1" applyFill="1" applyBorder="1"/>
    <xf numFmtId="165" fontId="1" fillId="2" borderId="29" xfId="0" applyNumberFormat="1" applyFont="1" applyFill="1" applyBorder="1"/>
    <xf numFmtId="167" fontId="1" fillId="4" borderId="7" xfId="2" applyNumberFormat="1" applyFont="1" applyFill="1" applyBorder="1" applyAlignment="1" applyProtection="1">
      <alignment horizontal="center" vertical="center"/>
    </xf>
    <xf numFmtId="165" fontId="1" fillId="2" borderId="10" xfId="0" applyNumberFormat="1" applyFont="1" applyFill="1" applyBorder="1" applyAlignment="1">
      <alignment horizontal="left" vertical="center"/>
    </xf>
    <xf numFmtId="164" fontId="3" fillId="3" borderId="26" xfId="0" applyNumberFormat="1" applyFont="1" applyFill="1" applyBorder="1" applyAlignment="1">
      <alignment horizontal="center" vertical="center" wrapText="1"/>
    </xf>
    <xf numFmtId="0" fontId="1" fillId="2" borderId="8" xfId="0" applyFont="1" applyFill="1" applyBorder="1"/>
    <xf numFmtId="0" fontId="2" fillId="0" borderId="28" xfId="0" applyFont="1" applyBorder="1" applyAlignment="1">
      <alignment horizontal="left"/>
    </xf>
    <xf numFmtId="0" fontId="2" fillId="0" borderId="10" xfId="0" applyFont="1" applyBorder="1" applyAlignment="1">
      <alignment horizontal="center"/>
    </xf>
    <xf numFmtId="0" fontId="4" fillId="6" borderId="17" xfId="0" applyFont="1" applyFill="1" applyBorder="1" applyAlignment="1">
      <alignment horizontal="left"/>
    </xf>
    <xf numFmtId="0" fontId="1" fillId="2" borderId="20" xfId="0" applyFont="1" applyFill="1" applyBorder="1" applyAlignment="1">
      <alignment horizontal="left"/>
    </xf>
    <xf numFmtId="165" fontId="1" fillId="2" borderId="20" xfId="0" applyNumberFormat="1" applyFont="1" applyFill="1" applyBorder="1" applyAlignment="1">
      <alignment horizontal="left"/>
    </xf>
    <xf numFmtId="165" fontId="1" fillId="2" borderId="23" xfId="0" applyNumberFormat="1" applyFont="1" applyFill="1" applyBorder="1" applyAlignment="1">
      <alignment horizontal="left"/>
    </xf>
    <xf numFmtId="0" fontId="23" fillId="0" borderId="0" xfId="0" applyFont="1" applyAlignment="1">
      <alignment vertical="center"/>
    </xf>
    <xf numFmtId="0" fontId="0" fillId="0" borderId="31" xfId="0" applyBorder="1" applyAlignment="1">
      <alignment horizontal="center" wrapText="1"/>
    </xf>
    <xf numFmtId="0" fontId="0" fillId="0" borderId="29" xfId="0" applyBorder="1" applyAlignment="1">
      <alignment horizontal="center" wrapText="1"/>
    </xf>
    <xf numFmtId="0" fontId="0" fillId="0" borderId="5" xfId="0" applyBorder="1" applyAlignment="1">
      <alignment horizontal="left" wrapText="1"/>
    </xf>
    <xf numFmtId="0" fontId="2" fillId="0" borderId="21" xfId="0" applyFont="1" applyBorder="1" applyAlignment="1">
      <alignment horizontal="center" wrapText="1"/>
    </xf>
    <xf numFmtId="0" fontId="32" fillId="0" borderId="26" xfId="0" applyFont="1" applyBorder="1" applyAlignment="1">
      <alignment horizontal="center" vertical="center"/>
    </xf>
    <xf numFmtId="0" fontId="32" fillId="0" borderId="47" xfId="0" applyFont="1" applyBorder="1" applyAlignment="1">
      <alignment horizontal="center" vertical="center"/>
    </xf>
    <xf numFmtId="0" fontId="32" fillId="0" borderId="48" xfId="0" applyFont="1" applyBorder="1" applyAlignment="1">
      <alignment horizontal="center" vertical="center"/>
    </xf>
    <xf numFmtId="0" fontId="32" fillId="38" borderId="10" xfId="0" applyFont="1" applyFill="1" applyBorder="1" applyAlignment="1">
      <alignment horizontal="right" wrapText="1"/>
    </xf>
    <xf numFmtId="0" fontId="32" fillId="38" borderId="21" xfId="0" applyFont="1" applyFill="1" applyBorder="1" applyAlignment="1">
      <alignment horizontal="right" wrapText="1"/>
    </xf>
    <xf numFmtId="0" fontId="32" fillId="38" borderId="27" xfId="0" applyFont="1" applyFill="1" applyBorder="1" applyAlignment="1">
      <alignment horizontal="right" wrapText="1"/>
    </xf>
    <xf numFmtId="0" fontId="43" fillId="39" borderId="60" xfId="0" applyFont="1" applyFill="1" applyBorder="1" applyAlignment="1">
      <alignment horizontal="center" wrapText="1"/>
    </xf>
    <xf numFmtId="0" fontId="31" fillId="33" borderId="9" xfId="0" applyFont="1" applyFill="1" applyBorder="1" applyAlignment="1">
      <alignment horizontal="center" wrapText="1"/>
    </xf>
    <xf numFmtId="0" fontId="52" fillId="33" borderId="10" xfId="0" applyFont="1" applyFill="1" applyBorder="1" applyAlignment="1">
      <alignment horizontal="center" wrapText="1"/>
    </xf>
    <xf numFmtId="0" fontId="52" fillId="33" borderId="27" xfId="0" applyFont="1" applyFill="1" applyBorder="1" applyAlignment="1">
      <alignment horizontal="center" wrapText="1"/>
    </xf>
    <xf numFmtId="0" fontId="32" fillId="33" borderId="10" xfId="0" applyFont="1" applyFill="1" applyBorder="1" applyAlignment="1">
      <alignment horizontal="center"/>
    </xf>
    <xf numFmtId="0" fontId="32" fillId="33" borderId="27" xfId="0" applyFont="1" applyFill="1" applyBorder="1" applyAlignment="1">
      <alignment horizontal="center"/>
    </xf>
    <xf numFmtId="0" fontId="32" fillId="0" borderId="21" xfId="0" applyFont="1" applyBorder="1" applyAlignment="1">
      <alignment horizontal="center" wrapText="1"/>
    </xf>
    <xf numFmtId="0" fontId="0" fillId="33" borderId="9" xfId="0" applyFill="1" applyBorder="1" applyAlignment="1">
      <alignment horizontal="center"/>
    </xf>
  </cellXfs>
  <cellStyles count="8">
    <cellStyle name="Hipervínculo" xfId="7" builtinId="8"/>
    <cellStyle name="Millares" xfId="1" builtinId="3"/>
    <cellStyle name="Moneda" xfId="2" builtinId="4"/>
    <cellStyle name="Moneda 3" xfId="6" xr:uid="{F74CDC3E-26E8-41EA-AD7F-8DA358DCB826}"/>
    <cellStyle name="Normal" xfId="0" builtinId="0"/>
    <cellStyle name="Normal 2" xfId="4" xr:uid="{00000000-0005-0000-0000-000006000000}"/>
    <cellStyle name="Normal 5" xfId="5" xr:uid="{6448F902-5E35-438A-AAA9-E75A18B45427}"/>
    <cellStyle name="Porcentaje" xfId="3" builtinId="5"/>
  </cellStyles>
  <dxfs count="0"/>
  <tableStyles count="0" defaultTableStyle="TableStyleMedium2" defaultPivotStyle="PivotStyleLight16"/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2B2B2"/>
      <rgbColor rgb="FF808080"/>
      <rgbColor rgb="FF8EB4E3"/>
      <rgbColor rgb="FF993366"/>
      <rgbColor rgb="FFFFFFCC"/>
      <rgbColor rgb="FFDCE6F2"/>
      <rgbColor rgb="FF660066"/>
      <rgbColor rgb="FFFF8080"/>
      <rgbColor rgb="FF0070C0"/>
      <rgbColor rgb="FFC6D9F1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DCE6F1"/>
      <rgbColor rgb="FFEBF1DE"/>
      <rgbColor rgb="FFFDEADA"/>
      <rgbColor rgb="FFB9CDE5"/>
      <rgbColor rgb="FFFF99CC"/>
      <rgbColor rgb="FFC3D69B"/>
      <rgbColor rgb="FFDDD9C3"/>
      <rgbColor rgb="FF3366FF"/>
      <rgbColor rgb="FF33CCCC"/>
      <rgbColor rgb="FF92D050"/>
      <rgbColor rgb="FFFFD428"/>
      <rgbColor rgb="FFFF972F"/>
      <rgbColor rgb="FFFF6600"/>
      <rgbColor rgb="FF729FCF"/>
      <rgbColor rgb="FF969696"/>
      <rgbColor rgb="FF003366"/>
      <rgbColor rgb="FF339966"/>
      <rgbColor rgb="FF0D0D0D"/>
      <rgbColor rgb="FF333300"/>
      <rgbColor rgb="FF993300"/>
      <rgbColor rgb="FF993366"/>
      <rgbColor rgb="FF1F497D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205DF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Resumen Porcentual del Proyecto</a:t>
            </a:r>
            <a:endParaRPr lang="en-US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view3D>
      <c:rotX val="50"/>
      <c:rotY val="0"/>
      <c:depthPercent val="100"/>
      <c:rAngAx val="0"/>
    </c:view3D>
    <c:floor>
      <c:thickness val="0"/>
      <c:spPr>
        <a:noFill/>
        <a:ln>
          <a:noFill/>
        </a:ln>
        <a:effectLst/>
        <a:sp3d/>
      </c:spPr>
    </c:floor>
    <c:sideWall>
      <c:thickness val="0"/>
      <c:spPr>
        <a:noFill/>
        <a:ln>
          <a:noFill/>
        </a:ln>
        <a:effectLst/>
        <a:sp3d/>
      </c:spPr>
    </c:sideWall>
    <c:backWall>
      <c:thickness val="0"/>
      <c:spPr>
        <a:noFill/>
        <a:ln>
          <a:noFill/>
        </a:ln>
        <a:effectLst/>
        <a:sp3d/>
      </c:spPr>
    </c:backWall>
    <c:plotArea>
      <c:layout/>
      <c:pie3DChart>
        <c:varyColors val="1"/>
        <c:ser>
          <c:idx val="0"/>
          <c:order val="0"/>
          <c:tx>
            <c:strRef>
              <c:f>ResumenP!$V$4</c:f>
              <c:strCache>
                <c:ptCount val="1"/>
                <c:pt idx="0">
                  <c:v>Valor Porcentual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1-8C34-4FC8-817A-0F636F452A2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3-8C34-4FC8-817A-0F636F452A2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5-8C34-4FC8-817A-0F636F452A29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  <a:sp3d/>
            </c:spPr>
            <c:extLst>
              <c:ext xmlns:c16="http://schemas.microsoft.com/office/drawing/2014/chart" uri="{C3380CC4-5D6E-409C-BE32-E72D297353CC}">
                <c16:uniqueId val="{00000007-8C34-4FC8-817A-0F636F452A29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dLblPos val="ctr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ResumenP!$C$5:$C$8</c:f>
              <c:strCache>
                <c:ptCount val="4"/>
                <c:pt idx="0">
                  <c:v>Servicios de Implementación, Transferencia de conocimientos y Apoyo Externo</c:v>
                </c:pt>
                <c:pt idx="1">
                  <c:v>Mantenimiento Correctivo (Gestión Directa SONDA en Smartnet o Carepack)</c:v>
                </c:pt>
                <c:pt idx="2">
                  <c:v>Mantenimiento Preventivo: </c:v>
                </c:pt>
                <c:pt idx="3">
                  <c:v>Bolsa de Horas de Soporte</c:v>
                </c:pt>
              </c:strCache>
            </c:strRef>
          </c:cat>
          <c:val>
            <c:numRef>
              <c:f>ResumenP!$V$5:$V$8</c:f>
              <c:numCache>
                <c:formatCode>0.00%</c:formatCode>
                <c:ptCount val="4"/>
                <c:pt idx="0">
                  <c:v>0.12851685581239719</c:v>
                </c:pt>
                <c:pt idx="1">
                  <c:v>0.22599894041212393</c:v>
                </c:pt>
                <c:pt idx="2">
                  <c:v>0.64548420377547888</c:v>
                </c:pt>
                <c:pt idx="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88-4334-802E-7FCF572B2FB0}"/>
            </c:ext>
          </c:extLst>
        </c:ser>
        <c:dLbls>
          <c:dLblPos val="ctr"/>
          <c:showLegendKey val="0"/>
          <c:showVal val="0"/>
          <c:showCatName val="0"/>
          <c:showSerName val="0"/>
          <c:showPercent val="1"/>
          <c:showBubbleSize val="0"/>
          <c:showLeaderLines val="1"/>
        </c:dLbls>
      </c:pie3DChart>
      <c:spPr>
        <a:noFill/>
        <a:ln>
          <a:noFill/>
        </a:ln>
        <a:effectLst/>
      </c:spPr>
    </c:plotArea>
    <c:legend>
      <c:legendPos val="r"/>
      <c:overlay val="0"/>
      <c:spPr>
        <a:solidFill>
          <a:schemeClr val="lt1">
            <a:lumMod val="95000"/>
            <a:alpha val="3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s-EC"/>
              <a:t>Relación Costo vs Precio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ResumenP!$C$5</c:f>
              <c:strCache>
                <c:ptCount val="1"/>
                <c:pt idx="0">
                  <c:v>Servicios de Implementación, Transferencia de conocimientos y Apoyo Externo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ResumenP!$D$4:$U$4</c:f>
              <c:strCache>
                <c:ptCount val="2"/>
                <c:pt idx="0">
                  <c:v> Costo </c:v>
                </c:pt>
                <c:pt idx="1">
                  <c:v> Precio </c:v>
                </c:pt>
              </c:strCache>
            </c:strRef>
          </c:cat>
          <c:val>
            <c:numRef>
              <c:f>ResumenP!$D$5:$U$5</c:f>
              <c:numCache>
                <c:formatCode>_(\$* #,##0.00_);_(\$* \(#,##0.00\);_(\$* \-??_);_(@_)</c:formatCode>
                <c:ptCount val="2"/>
                <c:pt idx="0">
                  <c:v>3687</c:v>
                </c:pt>
                <c:pt idx="1">
                  <c:v>4609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D8C-4753-98CB-844FCEFFC48B}"/>
            </c:ext>
          </c:extLst>
        </c:ser>
        <c:ser>
          <c:idx val="1"/>
          <c:order val="1"/>
          <c:tx>
            <c:strRef>
              <c:f>ResumenP!$C$6</c:f>
              <c:strCache>
                <c:ptCount val="1"/>
                <c:pt idx="0">
                  <c:v>Mantenimiento Correctivo (Gestión Directa SONDA en Smartnet o Carepack)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ResumenP!$D$4:$U$4</c:f>
              <c:strCache>
                <c:ptCount val="2"/>
                <c:pt idx="0">
                  <c:v> Costo </c:v>
                </c:pt>
                <c:pt idx="1">
                  <c:v> Precio </c:v>
                </c:pt>
              </c:strCache>
            </c:strRef>
          </c:cat>
          <c:val>
            <c:numRef>
              <c:f>ResumenP!$D$6:$U$6</c:f>
              <c:numCache>
                <c:formatCode>_(\$* #,##0.00_);_(\$* \(#,##0.00\);_(\$* \-??_);_(@_)</c:formatCode>
                <c:ptCount val="2"/>
                <c:pt idx="0">
                  <c:v>6586</c:v>
                </c:pt>
                <c:pt idx="1">
                  <c:v>8105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D8C-4753-98CB-844FCEFFC48B}"/>
            </c:ext>
          </c:extLst>
        </c:ser>
        <c:ser>
          <c:idx val="2"/>
          <c:order val="2"/>
          <c:tx>
            <c:strRef>
              <c:f>ResumenP!$C$7</c:f>
              <c:strCache>
                <c:ptCount val="1"/>
                <c:pt idx="0">
                  <c:v>Mantenimiento Preventivo: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ResumenP!$D$4:$U$4</c:f>
              <c:strCache>
                <c:ptCount val="2"/>
                <c:pt idx="0">
                  <c:v> Costo </c:v>
                </c:pt>
                <c:pt idx="1">
                  <c:v> Precio </c:v>
                </c:pt>
              </c:strCache>
            </c:strRef>
          </c:cat>
          <c:val>
            <c:numRef>
              <c:f>ResumenP!$D$7:$U$7</c:f>
              <c:numCache>
                <c:formatCode>_(\$* #,##0.00_);_(\$* \(#,##0.00\);_(\$* \-??_);_(@_)</c:formatCode>
                <c:ptCount val="2"/>
                <c:pt idx="0">
                  <c:v>18505</c:v>
                </c:pt>
                <c:pt idx="1">
                  <c:v>23149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D8C-4753-98CB-844FCEFFC48B}"/>
            </c:ext>
          </c:extLst>
        </c:ser>
        <c:ser>
          <c:idx val="3"/>
          <c:order val="3"/>
          <c:tx>
            <c:strRef>
              <c:f>ResumenP!$C$8</c:f>
              <c:strCache>
                <c:ptCount val="1"/>
                <c:pt idx="0">
                  <c:v>Bolsa de Horas de Soporte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s-EC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ResumenP!$D$4:$U$4</c:f>
              <c:strCache>
                <c:ptCount val="2"/>
                <c:pt idx="0">
                  <c:v> Costo </c:v>
                </c:pt>
                <c:pt idx="1">
                  <c:v> Precio </c:v>
                </c:pt>
              </c:strCache>
            </c:strRef>
          </c:cat>
          <c:val>
            <c:numRef>
              <c:f>ResumenP!$D$8:$U$8</c:f>
              <c:numCache>
                <c:formatCode>_(\$* #,##0.00_);_(\$* \(#,##0.00\);_(\$* \-??_);_(@_)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D8C-4753-98CB-844FCEFFC4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74219808"/>
        <c:axId val="374221728"/>
      </c:barChart>
      <c:catAx>
        <c:axId val="3742198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374221728"/>
        <c:crosses val="autoZero"/>
        <c:auto val="1"/>
        <c:lblAlgn val="ctr"/>
        <c:lblOffset val="100"/>
        <c:noMultiLvlLbl val="0"/>
      </c:catAx>
      <c:valAx>
        <c:axId val="37422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\$* #,##0.00_);_(\$* \(#,##0.00\);_(\$* \-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EC"/>
          </a:p>
        </c:txPr>
        <c:crossAx val="3742198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EC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EC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64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484380</xdr:colOff>
      <xdr:row>13</xdr:row>
      <xdr:rowOff>157578</xdr:rowOff>
    </xdr:from>
    <xdr:to>
      <xdr:col>27</xdr:col>
      <xdr:colOff>42059</xdr:colOff>
      <xdr:row>32</xdr:row>
      <xdr:rowOff>86591</xdr:rowOff>
    </xdr:to>
    <xdr:graphicFrame macro="">
      <xdr:nvGraphicFramePr>
        <xdr:cNvPr id="15" name="Gráfico 14">
          <a:extLst>
            <a:ext uri="{FF2B5EF4-FFF2-40B4-BE49-F238E27FC236}">
              <a16:creationId xmlns:a16="http://schemas.microsoft.com/office/drawing/2014/main" id="{354FF0A3-9DFA-CEE2-C430-298E8BDBE6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257298</xdr:colOff>
      <xdr:row>13</xdr:row>
      <xdr:rowOff>152399</xdr:rowOff>
    </xdr:from>
    <xdr:to>
      <xdr:col>2</xdr:col>
      <xdr:colOff>4027715</xdr:colOff>
      <xdr:row>35</xdr:row>
      <xdr:rowOff>148442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A2CAA515-1E3D-F2A8-4E4E-DB8E249EBC5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/>
        <a:ea typeface="DejaVu Sans"/>
        <a:cs typeface="DejaVu Sans"/>
      </a:majorFont>
      <a:minorFont>
        <a:latin typeface="Arial"/>
        <a:ea typeface="DejaVu Sans"/>
        <a:cs typeface="DejaVu Sans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1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2"/>
  <dimension ref="A2:Q68"/>
  <sheetViews>
    <sheetView showGridLines="0" topLeftCell="A30" zoomScaleNormal="100" workbookViewId="0">
      <selection activeCell="A59" sqref="A59:C59"/>
    </sheetView>
  </sheetViews>
  <sheetFormatPr baseColWidth="10" defaultColWidth="9.33203125" defaultRowHeight="13.2" x14ac:dyDescent="0.25"/>
  <cols>
    <col min="1" max="1" width="60.44140625" customWidth="1"/>
    <col min="2" max="2" width="13.44140625" customWidth="1"/>
    <col min="3" max="3" width="15.44140625" customWidth="1"/>
    <col min="4" max="4" width="17" customWidth="1"/>
    <col min="5" max="5" width="0.33203125" customWidth="1"/>
    <col min="6" max="6" width="10.6640625" customWidth="1"/>
    <col min="7" max="7" width="11.33203125" customWidth="1"/>
    <col min="8" max="9" width="10.6640625" customWidth="1"/>
    <col min="10" max="10" width="0.33203125" style="2" customWidth="1"/>
    <col min="11" max="11" width="14.6640625" customWidth="1"/>
    <col min="12" max="12" width="18.33203125" customWidth="1"/>
    <col min="13" max="17" width="11.5546875" hidden="1" customWidth="1"/>
    <col min="18" max="18" width="16.6640625" customWidth="1"/>
  </cols>
  <sheetData>
    <row r="2" spans="1:4" x14ac:dyDescent="0.25">
      <c r="A2" s="3" t="s">
        <v>0</v>
      </c>
      <c r="B2" s="3"/>
      <c r="C2" s="3"/>
      <c r="D2" s="4"/>
    </row>
    <row r="3" spans="1:4" x14ac:dyDescent="0.25">
      <c r="A3" s="3" t="s">
        <v>1</v>
      </c>
      <c r="B3" s="3"/>
      <c r="C3" s="3"/>
      <c r="D3" s="4"/>
    </row>
    <row r="4" spans="1:4" x14ac:dyDescent="0.25">
      <c r="A4" s="3" t="s">
        <v>2</v>
      </c>
      <c r="B4" s="3"/>
      <c r="C4" s="3"/>
      <c r="D4" s="4"/>
    </row>
    <row r="5" spans="1:4" x14ac:dyDescent="0.25">
      <c r="A5" s="3" t="s">
        <v>3</v>
      </c>
      <c r="B5" s="3"/>
      <c r="C5" s="3"/>
      <c r="D5" s="4"/>
    </row>
    <row r="6" spans="1:4" x14ac:dyDescent="0.25">
      <c r="A6" s="5" t="s">
        <v>4</v>
      </c>
      <c r="B6" s="6" t="s">
        <v>5</v>
      </c>
      <c r="C6" s="6" t="s">
        <v>6</v>
      </c>
      <c r="D6" s="7" t="s">
        <v>7</v>
      </c>
    </row>
    <row r="7" spans="1:4" x14ac:dyDescent="0.25">
      <c r="A7" s="8" t="s">
        <v>8</v>
      </c>
      <c r="B7" s="9"/>
      <c r="C7" s="10"/>
      <c r="D7" s="847">
        <f>'Detalle Servicios'!Y76</f>
        <v>8335.6436036380001</v>
      </c>
    </row>
    <row r="8" spans="1:4" x14ac:dyDescent="0.25">
      <c r="A8" s="11" t="s">
        <v>9</v>
      </c>
      <c r="B8" s="12"/>
      <c r="C8" s="13"/>
      <c r="D8" s="847"/>
    </row>
    <row r="9" spans="1:4" x14ac:dyDescent="0.25">
      <c r="A9" s="11" t="e">
        <v>#VALUE!</v>
      </c>
      <c r="B9" s="12"/>
      <c r="C9" s="13"/>
      <c r="D9" s="847"/>
    </row>
    <row r="10" spans="1:4" x14ac:dyDescent="0.25">
      <c r="A10" s="11" t="str">
        <f>'Detalle Servicios'!B5</f>
        <v xml:space="preserve">Movilización </v>
      </c>
      <c r="B10" s="12"/>
      <c r="C10" s="13"/>
      <c r="D10" s="847"/>
    </row>
    <row r="11" spans="1:4" x14ac:dyDescent="0.25">
      <c r="A11" s="11" t="str">
        <f>'Detalle Servicios'!B6</f>
        <v>Documentación</v>
      </c>
      <c r="B11" s="12"/>
      <c r="C11" s="13"/>
      <c r="D11" s="847"/>
    </row>
    <row r="12" spans="1:4" x14ac:dyDescent="0.25">
      <c r="A12" s="11"/>
      <c r="B12" s="12"/>
      <c r="C12" s="13"/>
      <c r="D12" s="847"/>
    </row>
    <row r="13" spans="1:4" x14ac:dyDescent="0.25">
      <c r="A13" s="14"/>
      <c r="B13" s="15"/>
      <c r="C13" s="13"/>
      <c r="D13" s="847"/>
    </row>
    <row r="14" spans="1:4" x14ac:dyDescent="0.25">
      <c r="A14" s="16" t="str">
        <f>'Detalle Servicios'!B8</f>
        <v>Levantamiento de Información, Elaboracion de diseño y plan de implementacion</v>
      </c>
      <c r="B14" s="17">
        <f>'Detalle Servicios'!J8</f>
        <v>10</v>
      </c>
      <c r="C14" s="18">
        <f>'Detalle Servicios'!K8</f>
        <v>0</v>
      </c>
      <c r="D14" s="847"/>
    </row>
    <row r="15" spans="1:4" x14ac:dyDescent="0.25">
      <c r="A15" s="16"/>
      <c r="B15" s="17">
        <f>'Detalle Servicios'!J9</f>
        <v>5</v>
      </c>
      <c r="C15" s="18">
        <f>'Detalle Servicios'!K9</f>
        <v>0</v>
      </c>
      <c r="D15" s="847"/>
    </row>
    <row r="16" spans="1:4" x14ac:dyDescent="0.25">
      <c r="A16" s="19">
        <f>'Detalle Servicios'!B10</f>
        <v>0</v>
      </c>
      <c r="B16" s="17">
        <f>'Detalle Servicios'!J10</f>
        <v>0</v>
      </c>
      <c r="C16" s="18">
        <f>'Detalle Servicios'!K10</f>
        <v>0</v>
      </c>
      <c r="D16" s="847"/>
    </row>
    <row r="17" spans="1:4" x14ac:dyDescent="0.25">
      <c r="A17" s="20" t="str">
        <f>'Detalle Servicios'!B11</f>
        <v xml:space="preserve">Configuración de Políticas </v>
      </c>
      <c r="B17" s="17">
        <f>'Detalle Servicios'!J11</f>
        <v>8</v>
      </c>
      <c r="C17" s="18">
        <f>'Detalle Servicios'!K11</f>
        <v>0</v>
      </c>
      <c r="D17" s="847"/>
    </row>
    <row r="18" spans="1:4" x14ac:dyDescent="0.25">
      <c r="A18" s="16">
        <f>'Detalle Servicios'!B12</f>
        <v>0</v>
      </c>
      <c r="B18" s="17">
        <f>'Detalle Servicios'!J12</f>
        <v>0</v>
      </c>
      <c r="C18" s="18">
        <f>'Detalle Servicios'!K12</f>
        <v>0</v>
      </c>
      <c r="D18" s="847"/>
    </row>
    <row r="19" spans="1:4" x14ac:dyDescent="0.25">
      <c r="A19" s="16">
        <f>'Detalle Servicios'!B13</f>
        <v>0</v>
      </c>
      <c r="B19" s="17">
        <f>'Detalle Servicios'!J13</f>
        <v>0</v>
      </c>
      <c r="C19" s="18">
        <f>'Detalle Servicios'!K13</f>
        <v>0</v>
      </c>
      <c r="D19" s="847"/>
    </row>
    <row r="20" spans="1:4" x14ac:dyDescent="0.25">
      <c r="A20" s="16">
        <f>'Detalle Servicios'!B14</f>
        <v>0</v>
      </c>
      <c r="B20" s="17">
        <f>'Detalle Servicios'!J14</f>
        <v>0</v>
      </c>
      <c r="C20" s="18">
        <f>'Detalle Servicios'!K14</f>
        <v>0</v>
      </c>
      <c r="D20" s="847"/>
    </row>
    <row r="21" spans="1:4" x14ac:dyDescent="0.25">
      <c r="A21" s="16">
        <f>'Detalle Servicios'!B15</f>
        <v>0</v>
      </c>
      <c r="B21" s="17">
        <f>'Detalle Servicios'!J15</f>
        <v>0</v>
      </c>
      <c r="C21" s="18">
        <f>'Detalle Servicios'!K15</f>
        <v>0</v>
      </c>
      <c r="D21" s="847"/>
    </row>
    <row r="22" spans="1:4" x14ac:dyDescent="0.25">
      <c r="A22" s="16">
        <f>'Detalle Servicios'!B16</f>
        <v>0</v>
      </c>
      <c r="B22" s="17">
        <f>'Detalle Servicios'!J16</f>
        <v>0</v>
      </c>
      <c r="C22" s="18">
        <f>'Detalle Servicios'!K16</f>
        <v>0</v>
      </c>
      <c r="D22" s="847"/>
    </row>
    <row r="23" spans="1:4" x14ac:dyDescent="0.25">
      <c r="A23" s="16"/>
      <c r="B23" s="17">
        <f>'Detalle Servicios'!J17</f>
        <v>0</v>
      </c>
      <c r="C23" s="18">
        <f>'Detalle Servicios'!K17</f>
        <v>0</v>
      </c>
      <c r="D23" s="847"/>
    </row>
    <row r="24" spans="1:4" x14ac:dyDescent="0.25">
      <c r="A24" s="16">
        <f>'Detalle Servicios'!B18</f>
        <v>0</v>
      </c>
      <c r="B24" s="17">
        <f>'Detalle Servicios'!J18</f>
        <v>0</v>
      </c>
      <c r="C24" s="18">
        <f>'Detalle Servicios'!K18</f>
        <v>0</v>
      </c>
      <c r="D24" s="847"/>
    </row>
    <row r="25" spans="1:4" x14ac:dyDescent="0.25">
      <c r="A25" s="16">
        <f>'Detalle Servicios'!B19</f>
        <v>0</v>
      </c>
      <c r="B25" s="17">
        <f>'Detalle Servicios'!J19</f>
        <v>0</v>
      </c>
      <c r="C25" s="18">
        <f>'Detalle Servicios'!K19</f>
        <v>0</v>
      </c>
      <c r="D25" s="847"/>
    </row>
    <row r="26" spans="1:4" x14ac:dyDescent="0.25">
      <c r="A26" s="16">
        <f>'Detalle Servicios'!B20</f>
        <v>0</v>
      </c>
      <c r="B26" s="17">
        <f>'Detalle Servicios'!J20</f>
        <v>0</v>
      </c>
      <c r="C26" s="18">
        <f>'Detalle Servicios'!K20</f>
        <v>0</v>
      </c>
      <c r="D26" s="847"/>
    </row>
    <row r="27" spans="1:4" x14ac:dyDescent="0.25">
      <c r="A27" s="16">
        <f>'Detalle Servicios'!B21</f>
        <v>0</v>
      </c>
      <c r="B27" s="17">
        <f>'Detalle Servicios'!J21</f>
        <v>0</v>
      </c>
      <c r="C27" s="18">
        <f>'Detalle Servicios'!K21</f>
        <v>0</v>
      </c>
      <c r="D27" s="847"/>
    </row>
    <row r="28" spans="1:4" x14ac:dyDescent="0.25">
      <c r="A28" s="16">
        <f>'Detalle Servicios'!B22</f>
        <v>0</v>
      </c>
      <c r="B28" s="17">
        <f>'Detalle Servicios'!J22</f>
        <v>0</v>
      </c>
      <c r="C28" s="18">
        <f>'Detalle Servicios'!K22</f>
        <v>0</v>
      </c>
      <c r="D28" s="847"/>
    </row>
    <row r="29" spans="1:4" x14ac:dyDescent="0.25">
      <c r="A29" s="16">
        <f>'Detalle Servicios'!B23</f>
        <v>0</v>
      </c>
      <c r="B29" s="17">
        <f>'Detalle Servicios'!J23</f>
        <v>0</v>
      </c>
      <c r="C29" s="18">
        <f>'Detalle Servicios'!K23</f>
        <v>0</v>
      </c>
      <c r="D29" s="847"/>
    </row>
    <row r="30" spans="1:4" x14ac:dyDescent="0.25">
      <c r="A30" s="16"/>
      <c r="B30" s="17">
        <f>'Detalle Servicios'!J24</f>
        <v>0</v>
      </c>
      <c r="C30" s="18">
        <f>'Detalle Servicios'!K24</f>
        <v>0</v>
      </c>
      <c r="D30" s="847"/>
    </row>
    <row r="31" spans="1:4" x14ac:dyDescent="0.25">
      <c r="A31" s="16">
        <f>'Detalle Servicios'!B25</f>
        <v>0</v>
      </c>
      <c r="B31" s="17">
        <f>'Detalle Servicios'!J25</f>
        <v>0</v>
      </c>
      <c r="C31" s="18">
        <f>'Detalle Servicios'!K25</f>
        <v>0</v>
      </c>
      <c r="D31" s="847"/>
    </row>
    <row r="32" spans="1:4" x14ac:dyDescent="0.25">
      <c r="A32" s="16">
        <f>'Detalle Servicios'!B26</f>
        <v>0</v>
      </c>
      <c r="B32" s="17">
        <f>'Detalle Servicios'!J26</f>
        <v>0</v>
      </c>
      <c r="C32" s="18">
        <f>'Detalle Servicios'!K26</f>
        <v>0</v>
      </c>
      <c r="D32" s="847"/>
    </row>
    <row r="33" spans="1:11" x14ac:dyDescent="0.25">
      <c r="A33" s="16">
        <f>'Detalle Servicios'!B27</f>
        <v>0</v>
      </c>
      <c r="B33" s="17">
        <f>'Detalle Servicios'!J27</f>
        <v>0</v>
      </c>
      <c r="C33" s="18">
        <f>'Detalle Servicios'!K27</f>
        <v>0</v>
      </c>
      <c r="D33" s="847"/>
    </row>
    <row r="34" spans="1:11" x14ac:dyDescent="0.25">
      <c r="A34" s="16"/>
      <c r="B34" s="17">
        <f>'Detalle Servicios'!J28</f>
        <v>0</v>
      </c>
      <c r="C34" s="18">
        <f>'Detalle Servicios'!K28</f>
        <v>0</v>
      </c>
      <c r="D34" s="847"/>
    </row>
    <row r="35" spans="1:11" x14ac:dyDescent="0.25">
      <c r="A35" s="16"/>
      <c r="B35" s="17" t="e">
        <v>#VALUE!</v>
      </c>
      <c r="C35" s="18" t="e">
        <v>#VALUE!</v>
      </c>
      <c r="D35" s="847"/>
      <c r="K35" s="21"/>
    </row>
    <row r="36" spans="1:11" x14ac:dyDescent="0.25">
      <c r="A36" s="16" t="str">
        <f>'Detalle Servicios'!B70</f>
        <v>Transferencia de conocimiento (24 Horas)</v>
      </c>
      <c r="B36" s="17">
        <f>'Detalle Servicios'!J70</f>
        <v>0</v>
      </c>
      <c r="C36" s="18">
        <f>'Detalle Servicios'!K70</f>
        <v>0</v>
      </c>
      <c r="D36" s="847"/>
      <c r="K36" s="21"/>
    </row>
    <row r="37" spans="1:11" x14ac:dyDescent="0.25">
      <c r="A37" s="22" t="str">
        <f>'Detalle Servicios'!B71</f>
        <v>Riesgo Proyecto</v>
      </c>
      <c r="B37" s="23">
        <f>'Detalle Servicios'!J71</f>
        <v>2.3000000000000003</v>
      </c>
      <c r="C37" s="24">
        <f>'Detalle Servicios'!K71</f>
        <v>0</v>
      </c>
      <c r="D37" s="847"/>
    </row>
    <row r="38" spans="1:11" x14ac:dyDescent="0.25">
      <c r="A38" s="848">
        <f>'Detalle Servicios'!B72</f>
        <v>0</v>
      </c>
      <c r="B38" s="848"/>
      <c r="C38" s="848"/>
      <c r="D38" s="847"/>
    </row>
    <row r="39" spans="1:11" x14ac:dyDescent="0.25">
      <c r="A39" s="25" t="s">
        <v>10</v>
      </c>
      <c r="B39" s="26" t="e">
        <f>SUM(B7:B37)</f>
        <v>#VALUE!</v>
      </c>
      <c r="C39" s="27" t="e">
        <f>SUM(C7:C37)</f>
        <v>#VALUE!</v>
      </c>
      <c r="D39" s="847"/>
    </row>
    <row r="40" spans="1:11" hidden="1" x14ac:dyDescent="0.25">
      <c r="A40" s="28" t="s">
        <v>11</v>
      </c>
      <c r="B40" s="29"/>
      <c r="C40" s="29"/>
      <c r="D40" s="30"/>
    </row>
    <row r="41" spans="1:11" hidden="1" x14ac:dyDescent="0.25">
      <c r="A41" s="31" t="str">
        <f>'Detalle Servicios'!B77</f>
        <v>Mantenimiento Correctivo (Gestión Directa SONDA en Smartnet o Carepack)</v>
      </c>
      <c r="B41" s="32"/>
      <c r="C41" s="32"/>
      <c r="D41" s="33">
        <f>'Detalle Servicios'!X77</f>
        <v>652.02067669172925</v>
      </c>
    </row>
    <row r="42" spans="1:11" hidden="1" x14ac:dyDescent="0.25">
      <c r="A42" s="31" t="str">
        <f>'Detalle Servicios'!B78</f>
        <v>Taller</v>
      </c>
      <c r="B42" s="32"/>
      <c r="C42" s="32"/>
      <c r="D42" s="33">
        <f>'Detalle Servicios'!X78</f>
        <v>0</v>
      </c>
    </row>
    <row r="43" spans="1:11" hidden="1" x14ac:dyDescent="0.25">
      <c r="A43" s="31" t="str">
        <f>'Detalle Servicios'!B79</f>
        <v>Bolsa de Horas de Soporte</v>
      </c>
      <c r="B43" s="32"/>
      <c r="C43" s="32"/>
      <c r="D43" s="33">
        <f>'Detalle Servicios'!X79</f>
        <v>1912.5939849624058</v>
      </c>
    </row>
    <row r="44" spans="1:11" hidden="1" x14ac:dyDescent="0.25">
      <c r="A44" s="31" t="str">
        <f>'Detalle Servicios'!B80</f>
        <v xml:space="preserve">Mantenimiento Preventivo: </v>
      </c>
      <c r="B44" s="32"/>
      <c r="C44" s="32"/>
      <c r="D44" s="33">
        <f>'Detalle Servicios'!X80</f>
        <v>0</v>
      </c>
    </row>
    <row r="45" spans="1:11" hidden="1" x14ac:dyDescent="0.25">
      <c r="A45" s="34" t="str">
        <f>'Detalle Servicios'!B82</f>
        <v>PSS (Valor en dólares)</v>
      </c>
      <c r="B45" s="35"/>
      <c r="C45" s="35"/>
      <c r="D45" s="36">
        <f>'Detalle Servicios'!X82</f>
        <v>0</v>
      </c>
    </row>
    <row r="46" spans="1:11" hidden="1" x14ac:dyDescent="0.25"/>
    <row r="47" spans="1:11" hidden="1" x14ac:dyDescent="0.25"/>
    <row r="48" spans="1:11" ht="15.75" hidden="1" customHeight="1" x14ac:dyDescent="0.25"/>
    <row r="49" spans="1:10" ht="15.75" hidden="1" customHeight="1" x14ac:dyDescent="0.25"/>
    <row r="50" spans="1:10" hidden="1" x14ac:dyDescent="0.25">
      <c r="A50" t="s">
        <v>12</v>
      </c>
      <c r="D50">
        <f>SUM(D7:D49)</f>
        <v>10900.258265292136</v>
      </c>
      <c r="F50" t="s">
        <v>13</v>
      </c>
    </row>
    <row r="51" spans="1:10" hidden="1" x14ac:dyDescent="0.25"/>
    <row r="54" spans="1:10" ht="12.75" customHeight="1" x14ac:dyDescent="0.25">
      <c r="A54" s="849" t="s">
        <v>14</v>
      </c>
      <c r="B54" s="849"/>
      <c r="C54" s="849"/>
      <c r="D54" s="37" t="s">
        <v>15</v>
      </c>
      <c r="E54" s="38"/>
    </row>
    <row r="55" spans="1:10" x14ac:dyDescent="0.25">
      <c r="A55" s="850" t="s">
        <v>16</v>
      </c>
      <c r="B55" s="850"/>
      <c r="C55" s="850"/>
      <c r="D55" s="39">
        <f>'Detalle Servicios'!X98</f>
        <v>8335.6436036380001</v>
      </c>
      <c r="E55" s="40"/>
    </row>
    <row r="56" spans="1:10" x14ac:dyDescent="0.25">
      <c r="A56" s="851" t="s">
        <v>17</v>
      </c>
      <c r="B56" s="851"/>
      <c r="C56" s="851"/>
      <c r="D56" s="41"/>
      <c r="E56" s="40"/>
    </row>
    <row r="57" spans="1:10" x14ac:dyDescent="0.25">
      <c r="A57" s="845" t="str">
        <f>'Detalle Servicios'!B77</f>
        <v>Mantenimiento Correctivo (Gestión Directa SONDA en Smartnet o Carepack)</v>
      </c>
      <c r="B57" s="845"/>
      <c r="C57" s="845"/>
      <c r="D57" s="39">
        <f>'Detalle Servicios'!X99</f>
        <v>3260.103383458646</v>
      </c>
      <c r="E57" s="40"/>
    </row>
    <row r="58" spans="1:10" x14ac:dyDescent="0.25">
      <c r="A58" s="1" t="str">
        <f>'Detalle Servicios'!B80</f>
        <v xml:space="preserve">Mantenimiento Preventivo: </v>
      </c>
      <c r="B58" s="42"/>
      <c r="C58" s="42"/>
      <c r="D58" s="39">
        <f>'Detalle Servicios'!X100</f>
        <v>2108.5087719298244</v>
      </c>
      <c r="E58" s="40"/>
    </row>
    <row r="59" spans="1:10" x14ac:dyDescent="0.25">
      <c r="A59" s="845" t="str">
        <f>'Detalle Servicios'!B78</f>
        <v>Taller</v>
      </c>
      <c r="B59" s="845"/>
      <c r="C59" s="845"/>
      <c r="D59" s="39">
        <f>'Detalle Servicios'!X101</f>
        <v>0</v>
      </c>
      <c r="E59" s="40"/>
    </row>
    <row r="60" spans="1:10" x14ac:dyDescent="0.25">
      <c r="A60" s="845" t="str">
        <f>'Detalle Servicios'!B79</f>
        <v>Bolsa de Horas de Soporte</v>
      </c>
      <c r="B60" s="845"/>
      <c r="C60" s="845"/>
      <c r="D60" s="39">
        <f>'Detalle Servicios'!X102</f>
        <v>9881.7355889724313</v>
      </c>
      <c r="E60" s="40"/>
    </row>
    <row r="61" spans="1:10" x14ac:dyDescent="0.25">
      <c r="A61" s="846" t="str">
        <f>'Detalle Servicios'!B82</f>
        <v>PSS (Valor en dólares)</v>
      </c>
      <c r="B61" s="846"/>
      <c r="C61" s="846"/>
      <c r="D61" s="43">
        <f>'Detalle Servicios'!X103</f>
        <v>0</v>
      </c>
      <c r="E61" s="40"/>
    </row>
    <row r="62" spans="1:10" ht="13.8" x14ac:dyDescent="0.25">
      <c r="A62" s="44"/>
      <c r="B62" s="45"/>
      <c r="C62" s="46" t="s">
        <v>18</v>
      </c>
      <c r="D62" s="47">
        <f>'Detalle Servicios'!X104</f>
        <v>23585.991347998901</v>
      </c>
      <c r="E62" s="48"/>
    </row>
    <row r="63" spans="1:10" ht="13.8" x14ac:dyDescent="0.25">
      <c r="A63" s="44"/>
      <c r="B63" s="45"/>
      <c r="C63" s="49" t="s">
        <v>19</v>
      </c>
      <c r="D63" s="50">
        <f>'Detalle Servicios'!X105</f>
        <v>18804.793078399118</v>
      </c>
      <c r="E63" s="48"/>
      <c r="J63" s="44"/>
    </row>
    <row r="64" spans="1:10" ht="13.8" x14ac:dyDescent="0.25">
      <c r="A64" s="44"/>
      <c r="B64" s="45"/>
      <c r="C64" s="49" t="s">
        <v>20</v>
      </c>
      <c r="D64" s="50">
        <f>'Detalle Servicios'!X106</f>
        <v>4781.1982695997831</v>
      </c>
      <c r="E64" s="48"/>
      <c r="J64" s="44"/>
    </row>
    <row r="65" spans="1:10" ht="13.8" x14ac:dyDescent="0.25">
      <c r="A65" s="44"/>
      <c r="B65" s="45"/>
      <c r="C65" s="49" t="s">
        <v>21</v>
      </c>
      <c r="D65" s="51">
        <f>'Detalle Servicios'!X107</f>
        <v>0.2</v>
      </c>
      <c r="E65" s="48"/>
      <c r="J65" s="44"/>
    </row>
    <row r="66" spans="1:10" ht="14.4" x14ac:dyDescent="0.25">
      <c r="A66" s="52"/>
      <c r="B66" s="52"/>
      <c r="C66" s="53" t="s">
        <v>22</v>
      </c>
      <c r="D66" s="54">
        <f>'Detalle Servicios'!X108</f>
        <v>9</v>
      </c>
    </row>
    <row r="67" spans="1:10" ht="14.4" x14ac:dyDescent="0.25">
      <c r="A67" s="52"/>
      <c r="B67" s="52"/>
      <c r="C67" s="52"/>
    </row>
    <row r="68" spans="1:10" ht="14.4" x14ac:dyDescent="0.25">
      <c r="A68" s="52"/>
      <c r="B68" s="52"/>
      <c r="C68" s="52"/>
    </row>
  </sheetData>
  <mergeCells count="9">
    <mergeCell ref="A57:C57"/>
    <mergeCell ref="A59:C59"/>
    <mergeCell ref="A60:C60"/>
    <mergeCell ref="A61:C61"/>
    <mergeCell ref="D7:D39"/>
    <mergeCell ref="A38:C38"/>
    <mergeCell ref="A54:C54"/>
    <mergeCell ref="A55:C55"/>
    <mergeCell ref="A56:C56"/>
  </mergeCells>
  <pageMargins left="0.75" right="0.75" top="1" bottom="1" header="0.511811023622047" footer="0.511811023622047"/>
  <pageSetup paperSize="9" orientation="portrait" horizontalDpi="300" verticalDpi="30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4"/>
  <dimension ref="B2:J24"/>
  <sheetViews>
    <sheetView zoomScale="110" zoomScaleNormal="110" workbookViewId="0">
      <selection activeCell="H22" sqref="H22"/>
    </sheetView>
  </sheetViews>
  <sheetFormatPr baseColWidth="10" defaultColWidth="11.44140625" defaultRowHeight="13.2" x14ac:dyDescent="0.25"/>
  <cols>
    <col min="2" max="2" width="17.6640625" customWidth="1"/>
    <col min="7" max="7" width="16.6640625" customWidth="1"/>
    <col min="8" max="8" width="19.44140625" customWidth="1"/>
    <col min="9" max="10" width="15.33203125" customWidth="1"/>
  </cols>
  <sheetData>
    <row r="2" spans="2:10" x14ac:dyDescent="0.25">
      <c r="B2" s="55" t="s">
        <v>23</v>
      </c>
      <c r="C2" s="55"/>
      <c r="D2" s="55"/>
      <c r="E2" s="55"/>
      <c r="F2" s="55"/>
      <c r="G2" s="55"/>
      <c r="H2" s="56" t="s">
        <v>24</v>
      </c>
      <c r="I2" s="57">
        <v>0.35</v>
      </c>
      <c r="J2" s="58"/>
    </row>
    <row r="3" spans="2:10" x14ac:dyDescent="0.25">
      <c r="B3" s="55"/>
      <c r="C3" s="55" t="s">
        <v>25</v>
      </c>
      <c r="D3" s="55" t="s">
        <v>26</v>
      </c>
      <c r="E3" s="55" t="s">
        <v>27</v>
      </c>
      <c r="F3" s="55" t="s">
        <v>28</v>
      </c>
      <c r="G3" s="59" t="s">
        <v>29</v>
      </c>
      <c r="H3" s="59" t="s">
        <v>52</v>
      </c>
      <c r="I3" s="61" t="s">
        <v>32</v>
      </c>
      <c r="J3" s="61" t="s">
        <v>53</v>
      </c>
    </row>
    <row r="4" spans="2:10" x14ac:dyDescent="0.25">
      <c r="B4" s="55" t="s">
        <v>35</v>
      </c>
      <c r="C4" s="55">
        <v>850</v>
      </c>
      <c r="D4" s="55">
        <f>C4*1.48</f>
        <v>1258</v>
      </c>
      <c r="E4" s="58">
        <v>0.8</v>
      </c>
      <c r="F4" s="55">
        <f>21*8*E4</f>
        <v>134.4</v>
      </c>
      <c r="G4" s="72">
        <f>D4/F4</f>
        <v>9.3601190476190474</v>
      </c>
      <c r="H4" s="72">
        <f>G4*1.5</f>
        <v>14.040178571428571</v>
      </c>
      <c r="I4" s="73">
        <f t="shared" ref="I4:J8" si="0">G4/(1-$I$2)</f>
        <v>14.40018315018315</v>
      </c>
      <c r="J4" s="73">
        <f t="shared" si="0"/>
        <v>21.600274725274723</v>
      </c>
    </row>
    <row r="5" spans="2:10" x14ac:dyDescent="0.25">
      <c r="B5" s="55" t="s">
        <v>37</v>
      </c>
      <c r="C5" s="55">
        <v>1700</v>
      </c>
      <c r="D5" s="55">
        <f>C5*1.48</f>
        <v>2516</v>
      </c>
      <c r="E5" s="58">
        <v>0.8</v>
      </c>
      <c r="F5" s="55">
        <f>21*8*E5</f>
        <v>134.4</v>
      </c>
      <c r="G5" s="72">
        <f>D5/F5</f>
        <v>18.720238095238095</v>
      </c>
      <c r="H5" s="72">
        <f>G5*1.5</f>
        <v>28.080357142857142</v>
      </c>
      <c r="I5" s="73">
        <f t="shared" si="0"/>
        <v>28.800366300366299</v>
      </c>
      <c r="J5" s="73">
        <f t="shared" si="0"/>
        <v>43.200549450549445</v>
      </c>
    </row>
    <row r="6" spans="2:10" x14ac:dyDescent="0.25">
      <c r="B6" s="55" t="s">
        <v>39</v>
      </c>
      <c r="C6" s="55">
        <v>2600</v>
      </c>
      <c r="D6" s="55">
        <f>C6*1.48</f>
        <v>3848</v>
      </c>
      <c r="E6" s="58">
        <v>0.8</v>
      </c>
      <c r="F6" s="55">
        <f>21*8*E6</f>
        <v>134.4</v>
      </c>
      <c r="G6" s="72">
        <f>D6/F6</f>
        <v>28.63095238095238</v>
      </c>
      <c r="H6" s="72">
        <f>G6*1.5</f>
        <v>42.946428571428569</v>
      </c>
      <c r="I6" s="73">
        <f t="shared" si="0"/>
        <v>44.047619047619044</v>
      </c>
      <c r="J6" s="73">
        <f t="shared" si="0"/>
        <v>66.071428571428569</v>
      </c>
    </row>
    <row r="7" spans="2:10" x14ac:dyDescent="0.25">
      <c r="B7" s="55" t="s">
        <v>40</v>
      </c>
      <c r="C7" s="55"/>
      <c r="D7" s="55"/>
      <c r="E7" s="55"/>
      <c r="F7" s="55"/>
      <c r="G7" s="72">
        <v>70</v>
      </c>
      <c r="H7" s="72">
        <f>G7</f>
        <v>70</v>
      </c>
      <c r="I7" s="73">
        <f t="shared" si="0"/>
        <v>107.69230769230769</v>
      </c>
      <c r="J7" s="73">
        <f t="shared" si="0"/>
        <v>107.69230769230769</v>
      </c>
    </row>
    <row r="8" spans="2:10" x14ac:dyDescent="0.25">
      <c r="B8" s="55" t="s">
        <v>41</v>
      </c>
      <c r="C8" s="55"/>
      <c r="D8" s="55"/>
      <c r="E8" s="55"/>
      <c r="F8" s="55"/>
      <c r="G8" s="72">
        <v>100</v>
      </c>
      <c r="H8" s="72">
        <f>G8</f>
        <v>100</v>
      </c>
      <c r="I8" s="73">
        <f t="shared" si="0"/>
        <v>153.84615384615384</v>
      </c>
      <c r="J8" s="73">
        <f t="shared" si="0"/>
        <v>153.84615384615384</v>
      </c>
    </row>
    <row r="9" spans="2:10" x14ac:dyDescent="0.25">
      <c r="B9" s="55"/>
      <c r="C9" s="55"/>
      <c r="D9" s="55"/>
      <c r="E9" s="55"/>
      <c r="F9" s="55"/>
      <c r="G9" s="74"/>
      <c r="H9" s="74"/>
      <c r="I9" s="65"/>
      <c r="J9" s="65"/>
    </row>
    <row r="10" spans="2:10" x14ac:dyDescent="0.25">
      <c r="B10" s="55"/>
      <c r="C10" s="55"/>
      <c r="D10" s="55"/>
      <c r="E10" s="55"/>
      <c r="F10" s="55"/>
      <c r="G10" s="74"/>
      <c r="H10" s="74"/>
      <c r="I10" s="66">
        <f>I2</f>
        <v>0.35</v>
      </c>
      <c r="J10" s="65"/>
    </row>
    <row r="11" spans="2:10" x14ac:dyDescent="0.25">
      <c r="B11" s="67" t="s">
        <v>42</v>
      </c>
      <c r="C11" s="55">
        <v>1200</v>
      </c>
      <c r="D11" s="55">
        <f>C11*1.48</f>
        <v>1776</v>
      </c>
      <c r="E11" s="58">
        <v>1</v>
      </c>
      <c r="F11" s="55">
        <f>20*8*E11</f>
        <v>160</v>
      </c>
      <c r="G11" s="75">
        <f>D11/F11</f>
        <v>11.1</v>
      </c>
      <c r="H11" s="75">
        <f>G11*1.5</f>
        <v>16.649999999999999</v>
      </c>
      <c r="I11" s="76">
        <f>G11/(1-$I$10)</f>
        <v>17.076923076923077</v>
      </c>
      <c r="J11" s="65"/>
    </row>
    <row r="12" spans="2:10" x14ac:dyDescent="0.25">
      <c r="B12" s="67" t="s">
        <v>43</v>
      </c>
      <c r="C12" s="55">
        <v>2200</v>
      </c>
      <c r="D12" s="55">
        <f>C12*1.48</f>
        <v>3256</v>
      </c>
      <c r="E12" s="58">
        <v>1</v>
      </c>
      <c r="F12" s="55">
        <f>20*8*E12</f>
        <v>160</v>
      </c>
      <c r="G12" s="75">
        <f>D12/F12</f>
        <v>20.350000000000001</v>
      </c>
      <c r="H12" s="75">
        <f>G12*1.5</f>
        <v>30.525000000000002</v>
      </c>
      <c r="I12" s="76">
        <f>G12/(1-$I$10)</f>
        <v>31.30769230769231</v>
      </c>
      <c r="J12" s="65"/>
    </row>
    <row r="16" spans="2:10" x14ac:dyDescent="0.25">
      <c r="B16" s="55" t="s">
        <v>46</v>
      </c>
      <c r="C16" s="55"/>
    </row>
    <row r="17" spans="2:3" x14ac:dyDescent="0.25">
      <c r="B17" s="55"/>
      <c r="C17" s="55"/>
    </row>
    <row r="18" spans="2:3" x14ac:dyDescent="0.25">
      <c r="B18" s="55" t="s">
        <v>47</v>
      </c>
      <c r="C18" s="77">
        <v>25</v>
      </c>
    </row>
    <row r="19" spans="2:3" x14ac:dyDescent="0.25">
      <c r="B19" s="55" t="s">
        <v>48</v>
      </c>
      <c r="C19" s="77">
        <v>100</v>
      </c>
    </row>
    <row r="20" spans="2:3" x14ac:dyDescent="0.25">
      <c r="B20" s="55" t="s">
        <v>49</v>
      </c>
      <c r="C20" s="77">
        <v>350</v>
      </c>
    </row>
    <row r="21" spans="2:3" x14ac:dyDescent="0.25">
      <c r="B21" s="55" t="s">
        <v>50</v>
      </c>
      <c r="C21" s="77">
        <v>600</v>
      </c>
    </row>
    <row r="22" spans="2:3" x14ac:dyDescent="0.25">
      <c r="C22" s="71"/>
    </row>
    <row r="24" spans="2:3" x14ac:dyDescent="0.25">
      <c r="B24" t="s">
        <v>51</v>
      </c>
    </row>
  </sheetData>
  <pageMargins left="0.7" right="0.7" top="0.75" bottom="0.75" header="0.511811023622047" footer="0.511811023622047"/>
  <pageSetup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5"/>
  <dimension ref="B2:T111"/>
  <sheetViews>
    <sheetView zoomScale="90" zoomScaleNormal="90" workbookViewId="0">
      <selection activeCell="L10" sqref="L10"/>
    </sheetView>
  </sheetViews>
  <sheetFormatPr baseColWidth="10" defaultColWidth="9.33203125" defaultRowHeight="13.2" x14ac:dyDescent="0.25"/>
  <cols>
    <col min="1" max="1" width="5.6640625" customWidth="1"/>
    <col min="2" max="2" width="62" customWidth="1"/>
    <col min="3" max="4" width="3.33203125" customWidth="1"/>
    <col min="5" max="5" width="4.6640625" customWidth="1"/>
    <col min="6" max="7" width="3.33203125" customWidth="1"/>
    <col min="8" max="8" width="6" customWidth="1"/>
    <col min="9" max="9" width="9.44140625" customWidth="1"/>
    <col min="10" max="10" width="11.33203125" customWidth="1"/>
    <col min="11" max="11" width="19.44140625" customWidth="1"/>
    <col min="12" max="15" width="11.44140625" customWidth="1"/>
    <col min="16" max="16" width="12.6640625" customWidth="1"/>
    <col min="17" max="17" width="14.44140625" customWidth="1"/>
    <col min="18" max="18" width="11.44140625" customWidth="1"/>
    <col min="19" max="19" width="30.33203125" customWidth="1"/>
    <col min="20" max="20" width="11.44140625" customWidth="1"/>
  </cols>
  <sheetData>
    <row r="2" spans="2:20" x14ac:dyDescent="0.25">
      <c r="B2" s="852"/>
      <c r="C2" s="852"/>
      <c r="D2" s="852"/>
      <c r="E2" s="852"/>
      <c r="F2" s="852"/>
      <c r="G2" s="852"/>
      <c r="H2" s="852"/>
      <c r="I2" s="852"/>
      <c r="J2" s="852"/>
      <c r="K2" s="852"/>
      <c r="L2" s="852"/>
      <c r="M2" s="852"/>
      <c r="N2" s="852"/>
      <c r="O2" s="852"/>
      <c r="P2" s="852"/>
      <c r="Q2" s="852"/>
    </row>
    <row r="3" spans="2:20" ht="27" customHeight="1" x14ac:dyDescent="0.25">
      <c r="B3" s="78" t="s">
        <v>54</v>
      </c>
      <c r="C3" s="78" t="s">
        <v>55</v>
      </c>
      <c r="D3" s="78" t="s">
        <v>56</v>
      </c>
      <c r="E3" s="78" t="s">
        <v>57</v>
      </c>
      <c r="F3" s="78" t="s">
        <v>58</v>
      </c>
      <c r="G3" s="78" t="s">
        <v>59</v>
      </c>
      <c r="H3" s="78"/>
      <c r="I3" s="78" t="s">
        <v>60</v>
      </c>
      <c r="J3" s="78" t="s">
        <v>61</v>
      </c>
      <c r="K3" s="78" t="s">
        <v>62</v>
      </c>
      <c r="L3" s="78"/>
      <c r="M3" s="78"/>
      <c r="N3" s="78"/>
      <c r="O3" s="78"/>
      <c r="P3" s="78"/>
      <c r="Q3" s="78" t="s">
        <v>18</v>
      </c>
    </row>
    <row r="4" spans="2:20" x14ac:dyDescent="0.25">
      <c r="B4" s="79" t="s">
        <v>42</v>
      </c>
      <c r="C4" s="80"/>
      <c r="D4" s="80"/>
      <c r="E4" s="80"/>
      <c r="F4" s="80"/>
      <c r="G4" s="80"/>
      <c r="H4" s="80"/>
      <c r="I4" s="80"/>
      <c r="J4" s="81"/>
      <c r="K4" s="80"/>
      <c r="L4" s="82">
        <f>(P4*Costos!$J$11)</f>
        <v>429.2578125</v>
      </c>
      <c r="M4" s="82">
        <f>(P4*Costos!$J$12)</f>
        <v>503.66250000000002</v>
      </c>
      <c r="N4" s="80"/>
      <c r="O4" s="80"/>
      <c r="P4" s="80">
        <f>SUM(J10:K65)*0.25</f>
        <v>19.8</v>
      </c>
      <c r="Q4" s="83">
        <f>IF(B4="Gestión de Proyecto 1",L4,M4)</f>
        <v>429.2578125</v>
      </c>
    </row>
    <row r="5" spans="2:20" x14ac:dyDescent="0.25">
      <c r="B5" s="84" t="s">
        <v>63</v>
      </c>
      <c r="C5" s="85"/>
      <c r="D5" s="85"/>
      <c r="E5" s="85"/>
      <c r="F5" s="85"/>
      <c r="G5" s="85"/>
      <c r="H5" s="86">
        <v>0</v>
      </c>
      <c r="I5" s="86" t="s">
        <v>47</v>
      </c>
      <c r="J5" s="87"/>
      <c r="K5" s="87"/>
      <c r="L5" s="88"/>
      <c r="M5" s="88"/>
      <c r="N5" s="88"/>
      <c r="O5" s="88"/>
      <c r="P5" s="88"/>
      <c r="Q5" s="89">
        <f>IF(I5="Taxi",H5*Costos!O5,0)+IF(I5="Cam Peq",H5*Costos!O6,0)+IF(I5="Cam Med",H5*Costos!O7,0)+IF(I5="Cam Grd",H5*Costos!O8,0)</f>
        <v>0</v>
      </c>
    </row>
    <row r="6" spans="2:20" x14ac:dyDescent="0.25">
      <c r="B6" s="84" t="s">
        <v>63</v>
      </c>
      <c r="C6" s="85"/>
      <c r="D6" s="85"/>
      <c r="E6" s="85"/>
      <c r="F6" s="85"/>
      <c r="G6" s="85"/>
      <c r="H6" s="86">
        <v>0</v>
      </c>
      <c r="I6" s="86" t="s">
        <v>48</v>
      </c>
      <c r="J6" s="87"/>
      <c r="K6" s="87"/>
      <c r="L6" s="88"/>
      <c r="M6" s="88"/>
      <c r="N6" s="88"/>
      <c r="O6" s="88"/>
      <c r="P6" s="88"/>
      <c r="Q6" s="89">
        <f>IF(I6="Taxi",H6*Costos!O5,0)+IF(I6="Cam Peq",H6*Costos!O6,0)+IF(I6="Cam Med",H6*Costos!O7,0)+IF(I6="Cam Grd",H6*Costos!O8,0)</f>
        <v>0</v>
      </c>
      <c r="S6" s="21"/>
      <c r="T6" s="21"/>
    </row>
    <row r="7" spans="2:20" x14ac:dyDescent="0.25">
      <c r="B7" s="84" t="s">
        <v>64</v>
      </c>
      <c r="C7" s="85"/>
      <c r="D7" s="85"/>
      <c r="E7" s="85"/>
      <c r="F7" s="85"/>
      <c r="G7" s="85"/>
      <c r="H7" s="85"/>
      <c r="I7" s="85"/>
      <c r="J7" s="87"/>
      <c r="K7" s="87"/>
      <c r="L7" s="90">
        <f>SUM(J10:J76)</f>
        <v>147.4</v>
      </c>
      <c r="M7" s="90">
        <f>SUM(K10:K76)</f>
        <v>11</v>
      </c>
      <c r="N7" s="90">
        <f>L7/7</f>
        <v>21.057142857142857</v>
      </c>
      <c r="O7" s="90">
        <f>M7/6</f>
        <v>1.8333333333333333</v>
      </c>
      <c r="P7" s="88"/>
      <c r="Q7" s="89">
        <f>(N7*15)+(O7*25)</f>
        <v>361.69047619047615</v>
      </c>
      <c r="S7" s="21"/>
      <c r="T7" s="21"/>
    </row>
    <row r="8" spans="2:20" x14ac:dyDescent="0.25">
      <c r="B8" s="91" t="s">
        <v>65</v>
      </c>
      <c r="C8" s="92"/>
      <c r="D8" s="92"/>
      <c r="E8" s="92"/>
      <c r="F8" s="92"/>
      <c r="G8" s="92"/>
      <c r="H8" s="92"/>
      <c r="I8" s="92"/>
      <c r="J8" s="93"/>
      <c r="K8" s="94"/>
      <c r="L8" s="95"/>
      <c r="M8" s="95"/>
      <c r="N8" s="95"/>
      <c r="O8" s="95"/>
      <c r="P8" s="96">
        <f>P4</f>
        <v>19.8</v>
      </c>
      <c r="Q8" s="97">
        <f>P8*Costos!J5</f>
        <v>573.77819548872174</v>
      </c>
      <c r="S8" s="21"/>
      <c r="T8" s="21"/>
    </row>
    <row r="9" spans="2:20" x14ac:dyDescent="0.25">
      <c r="B9" s="98"/>
      <c r="C9" s="99"/>
      <c r="D9" s="99"/>
      <c r="E9" s="99"/>
      <c r="F9" s="99"/>
      <c r="G9" s="99"/>
      <c r="H9" s="99"/>
      <c r="I9" s="99"/>
      <c r="J9" s="100"/>
      <c r="K9" s="101"/>
      <c r="L9" s="102"/>
      <c r="M9" s="102"/>
      <c r="N9" s="102"/>
      <c r="O9" s="102"/>
      <c r="P9" s="103"/>
      <c r="Q9" s="104"/>
      <c r="S9" s="21"/>
      <c r="T9" s="21"/>
    </row>
    <row r="10" spans="2:20" ht="26.4" x14ac:dyDescent="0.25">
      <c r="B10" s="105" t="s">
        <v>66</v>
      </c>
      <c r="C10" s="106"/>
      <c r="D10" s="106" t="s">
        <v>67</v>
      </c>
      <c r="E10" s="106"/>
      <c r="F10" s="106"/>
      <c r="G10" s="106"/>
      <c r="H10" s="107"/>
      <c r="I10" s="107"/>
      <c r="J10" s="108">
        <v>8</v>
      </c>
      <c r="K10" s="108"/>
      <c r="L10" s="109">
        <f>(J10*Costos!$J$4)+(K10*Costos!$K$4)</f>
        <v>139.09774436090225</v>
      </c>
      <c r="M10" s="109">
        <f>(J10*Costos!$J$5)+(K10*Costos!$K$5)</f>
        <v>231.82957393483707</v>
      </c>
      <c r="N10" s="109">
        <f>(J10*Costos!$J$6)+(K10*Costos!$K$6)</f>
        <v>278.19548872180451</v>
      </c>
      <c r="O10" s="109">
        <f>(J10*Costos!$J$7)+(K10*Costos!$K$7)</f>
        <v>700</v>
      </c>
      <c r="P10" s="109">
        <f>(J10*Costos!$J$8)+(K10*Costos!$K$8)</f>
        <v>1000</v>
      </c>
      <c r="Q10" s="110">
        <f t="shared" ref="Q10:Q41" si="0">IF(C10="x",L10,0)+IF(D10="x",M10,0)+IF(E10="x",N10,0)+IF(F10="x",O10,0)+IF(G10="x",P10,0)</f>
        <v>231.82957393483707</v>
      </c>
      <c r="S10" s="21"/>
      <c r="T10" s="21"/>
    </row>
    <row r="11" spans="2:20" x14ac:dyDescent="0.25">
      <c r="B11" s="16"/>
      <c r="C11" s="86"/>
      <c r="D11" s="86"/>
      <c r="E11" s="86"/>
      <c r="F11" s="86"/>
      <c r="G11" s="86"/>
      <c r="H11" s="85"/>
      <c r="I11" s="85"/>
      <c r="J11" s="111"/>
      <c r="K11" s="111"/>
      <c r="L11" s="109">
        <f>(J11*Costos!$J$4)+(K11*Costos!$K$4)</f>
        <v>0</v>
      </c>
      <c r="M11" s="109">
        <f>(J11*Costos!$J$5)+(K11*Costos!$K$5)</f>
        <v>0</v>
      </c>
      <c r="N11" s="109">
        <f>(J11*Costos!$J$6)+(K11*Costos!$K$6)</f>
        <v>0</v>
      </c>
      <c r="O11" s="109">
        <f>(J11*Costos!$J$7)+(K11*Costos!$K$7)</f>
        <v>0</v>
      </c>
      <c r="P11" s="109">
        <f>(J11*Costos!$J$8)+(K11*Costos!$K$8)</f>
        <v>0</v>
      </c>
      <c r="Q11" s="89">
        <f t="shared" si="0"/>
        <v>0</v>
      </c>
      <c r="S11" s="21"/>
      <c r="T11" s="21"/>
    </row>
    <row r="12" spans="2:20" x14ac:dyDescent="0.25">
      <c r="B12" s="112" t="s">
        <v>68</v>
      </c>
      <c r="C12" s="86"/>
      <c r="D12" s="86"/>
      <c r="E12" s="86"/>
      <c r="F12" s="86"/>
      <c r="G12" s="86"/>
      <c r="H12" s="85"/>
      <c r="I12" s="85"/>
      <c r="J12" s="111"/>
      <c r="K12" s="111"/>
      <c r="L12" s="109">
        <f>(J12*Costos!$J$4)+(K12*Costos!$K$4)</f>
        <v>0</v>
      </c>
      <c r="M12" s="109">
        <f>(J12*Costos!$J$5)+(K12*Costos!$K$5)</f>
        <v>0</v>
      </c>
      <c r="N12" s="109">
        <f>(J12*Costos!$J$6)+(K12*Costos!$K$6)</f>
        <v>0</v>
      </c>
      <c r="O12" s="109">
        <f>(J12*Costos!$J$7)+(K12*Costos!$K$7)</f>
        <v>0</v>
      </c>
      <c r="P12" s="109">
        <f>(J12*Costos!$J$8)+(K12*Costos!$K$8)</f>
        <v>0</v>
      </c>
      <c r="Q12" s="89">
        <f t="shared" si="0"/>
        <v>0</v>
      </c>
      <c r="S12" s="21"/>
      <c r="T12" s="21"/>
    </row>
    <row r="13" spans="2:20" x14ac:dyDescent="0.25">
      <c r="B13" s="113" t="s">
        <v>69</v>
      </c>
      <c r="C13" s="86"/>
      <c r="D13" s="86"/>
      <c r="E13" s="86"/>
      <c r="F13" s="86"/>
      <c r="G13" s="86"/>
      <c r="H13" s="85"/>
      <c r="I13" s="85"/>
      <c r="J13" s="111"/>
      <c r="K13" s="111"/>
      <c r="L13" s="109">
        <f>(J13*Costos!$J$4)+(K13*Costos!$K$4)</f>
        <v>0</v>
      </c>
      <c r="M13" s="109">
        <f>(J13*Costos!$J$5)+(K13*Costos!$K$5)</f>
        <v>0</v>
      </c>
      <c r="N13" s="109">
        <f>(J13*Costos!$J$6)+(K13*Costos!$K$6)</f>
        <v>0</v>
      </c>
      <c r="O13" s="109">
        <f>(J13*Costos!$J$7)+(K13*Costos!$K$7)</f>
        <v>0</v>
      </c>
      <c r="P13" s="109">
        <f>(J13*Costos!$J$8)+(K13*Costos!$K$8)</f>
        <v>0</v>
      </c>
      <c r="Q13" s="89">
        <f t="shared" si="0"/>
        <v>0</v>
      </c>
      <c r="S13" s="21"/>
      <c r="T13" s="21"/>
    </row>
    <row r="14" spans="2:20" x14ac:dyDescent="0.25">
      <c r="B14" s="114" t="s">
        <v>70</v>
      </c>
      <c r="C14" s="86" t="s">
        <v>67</v>
      </c>
      <c r="D14" s="86"/>
      <c r="E14" s="86"/>
      <c r="F14" s="86"/>
      <c r="G14" s="86"/>
      <c r="H14" s="85"/>
      <c r="I14" s="85"/>
      <c r="J14" s="111">
        <v>2</v>
      </c>
      <c r="K14" s="111"/>
      <c r="L14" s="109">
        <f>(J14*Costos!$J$4)+(K14*Costos!$K$4)</f>
        <v>34.774436090225564</v>
      </c>
      <c r="M14" s="109">
        <f>(J14*Costos!$J$5)+(K14*Costos!$K$5)</f>
        <v>57.957393483709268</v>
      </c>
      <c r="N14" s="109">
        <f>(J14*Costos!$J$6)+(K14*Costos!$K$6)</f>
        <v>69.548872180451127</v>
      </c>
      <c r="O14" s="109">
        <f>(J14*Costos!$J$7)+(K14*Costos!$K$7)</f>
        <v>175</v>
      </c>
      <c r="P14" s="109">
        <f>(J14*Costos!$J$8)+(K14*Costos!$K$8)</f>
        <v>250</v>
      </c>
      <c r="Q14" s="89">
        <f t="shared" si="0"/>
        <v>34.774436090225564</v>
      </c>
      <c r="S14" s="21"/>
      <c r="T14" s="21"/>
    </row>
    <row r="15" spans="2:20" x14ac:dyDescent="0.25">
      <c r="B15" s="114" t="s">
        <v>71</v>
      </c>
      <c r="C15" s="86" t="s">
        <v>67</v>
      </c>
      <c r="D15" s="86"/>
      <c r="E15" s="86"/>
      <c r="F15" s="86"/>
      <c r="G15" s="86"/>
      <c r="H15" s="85"/>
      <c r="I15" s="85"/>
      <c r="J15" s="111">
        <v>2</v>
      </c>
      <c r="K15" s="111"/>
      <c r="L15" s="109">
        <f>(J15*Costos!$J$4)+(K15*Costos!$K$4)</f>
        <v>34.774436090225564</v>
      </c>
      <c r="M15" s="109">
        <f>(J15*Costos!$J$5)+(K15*Costos!$K$5)</f>
        <v>57.957393483709268</v>
      </c>
      <c r="N15" s="109">
        <f>(J15*Costos!$J$6)+(K15*Costos!$K$6)</f>
        <v>69.548872180451127</v>
      </c>
      <c r="O15" s="109">
        <f>(J15*Costos!$J$7)+(K15*Costos!$K$7)</f>
        <v>175</v>
      </c>
      <c r="P15" s="109">
        <f>(J15*Costos!$J$8)+(K15*Costos!$K$8)</f>
        <v>250</v>
      </c>
      <c r="Q15" s="89">
        <f t="shared" si="0"/>
        <v>34.774436090225564</v>
      </c>
      <c r="S15" s="21"/>
      <c r="T15" s="21"/>
    </row>
    <row r="16" spans="2:20" x14ac:dyDescent="0.25">
      <c r="B16" s="114" t="s">
        <v>72</v>
      </c>
      <c r="C16" s="86" t="s">
        <v>67</v>
      </c>
      <c r="D16" s="86"/>
      <c r="E16" s="86"/>
      <c r="F16" s="86"/>
      <c r="G16" s="86"/>
      <c r="H16" s="85"/>
      <c r="I16" s="85"/>
      <c r="J16" s="111">
        <v>1</v>
      </c>
      <c r="K16" s="111"/>
      <c r="L16" s="109">
        <f>(J16*Costos!$J$4)+(K16*Costos!$K$4)</f>
        <v>17.387218045112782</v>
      </c>
      <c r="M16" s="109">
        <f>(J16*Costos!$J$5)+(K16*Costos!$K$5)</f>
        <v>28.978696741854634</v>
      </c>
      <c r="N16" s="109">
        <f>(J16*Costos!$J$6)+(K16*Costos!$K$6)</f>
        <v>34.774436090225564</v>
      </c>
      <c r="O16" s="109">
        <f>(J16*Costos!$J$7)+(K16*Costos!$K$7)</f>
        <v>87.5</v>
      </c>
      <c r="P16" s="109">
        <f>(J16*Costos!$J$8)+(K16*Costos!$K$8)</f>
        <v>125</v>
      </c>
      <c r="Q16" s="89">
        <f t="shared" si="0"/>
        <v>17.387218045112782</v>
      </c>
      <c r="S16" s="21"/>
      <c r="T16" s="21"/>
    </row>
    <row r="17" spans="2:20" x14ac:dyDescent="0.25">
      <c r="B17" s="114" t="s">
        <v>73</v>
      </c>
      <c r="C17" s="86" t="s">
        <v>67</v>
      </c>
      <c r="D17" s="86"/>
      <c r="E17" s="86"/>
      <c r="F17" s="86"/>
      <c r="G17" s="86"/>
      <c r="H17" s="85"/>
      <c r="I17" s="85"/>
      <c r="J17" s="111">
        <v>1</v>
      </c>
      <c r="K17" s="111"/>
      <c r="L17" s="109">
        <f>(J17*Costos!$J$4)+(K17*Costos!$K$4)</f>
        <v>17.387218045112782</v>
      </c>
      <c r="M17" s="109">
        <f>(J17*Costos!$J$5)+(K17*Costos!$K$5)</f>
        <v>28.978696741854634</v>
      </c>
      <c r="N17" s="109">
        <f>(J17*Costos!$J$6)+(K17*Costos!$K$6)</f>
        <v>34.774436090225564</v>
      </c>
      <c r="O17" s="109">
        <f>(J17*Costos!$J$7)+(K17*Costos!$K$7)</f>
        <v>87.5</v>
      </c>
      <c r="P17" s="109">
        <f>(J17*Costos!$J$8)+(K17*Costos!$K$8)</f>
        <v>125</v>
      </c>
      <c r="Q17" s="89">
        <f t="shared" si="0"/>
        <v>17.387218045112782</v>
      </c>
      <c r="S17" s="21"/>
      <c r="T17" s="21"/>
    </row>
    <row r="18" spans="2:20" x14ac:dyDescent="0.25">
      <c r="B18" s="114" t="s">
        <v>74</v>
      </c>
      <c r="C18" s="86"/>
      <c r="D18" s="86" t="s">
        <v>67</v>
      </c>
      <c r="E18" s="86"/>
      <c r="F18" s="86"/>
      <c r="G18" s="86"/>
      <c r="H18" s="85"/>
      <c r="I18" s="85"/>
      <c r="J18" s="111">
        <v>1</v>
      </c>
      <c r="K18" s="111"/>
      <c r="L18" s="109">
        <f>(J18*Costos!$J$4)+(K18*Costos!$K$4)</f>
        <v>17.387218045112782</v>
      </c>
      <c r="M18" s="109">
        <f>(J18*Costos!$J$5)+(K18*Costos!$K$5)</f>
        <v>28.978696741854634</v>
      </c>
      <c r="N18" s="109">
        <f>(J18*Costos!$J$6)+(K18*Costos!$K$6)</f>
        <v>34.774436090225564</v>
      </c>
      <c r="O18" s="109">
        <f>(J18*Costos!$J$7)+(K18*Costos!$K$7)</f>
        <v>87.5</v>
      </c>
      <c r="P18" s="109">
        <f>(J18*Costos!$J$8)+(K18*Costos!$K$8)</f>
        <v>125</v>
      </c>
      <c r="Q18" s="89">
        <f t="shared" si="0"/>
        <v>28.978696741854634</v>
      </c>
      <c r="S18" s="21"/>
      <c r="T18" s="21"/>
    </row>
    <row r="19" spans="2:20" x14ac:dyDescent="0.25">
      <c r="B19" s="114" t="s">
        <v>75</v>
      </c>
      <c r="C19" s="86"/>
      <c r="D19" s="86"/>
      <c r="E19" s="86" t="s">
        <v>67</v>
      </c>
      <c r="F19" s="86"/>
      <c r="G19" s="86"/>
      <c r="H19" s="85"/>
      <c r="I19" s="85"/>
      <c r="J19" s="111">
        <v>2</v>
      </c>
      <c r="K19" s="111"/>
      <c r="L19" s="109">
        <f>(J19*Costos!$J$4)+(K19*Costos!$K$4)</f>
        <v>34.774436090225564</v>
      </c>
      <c r="M19" s="109">
        <f>(J19*Costos!$J$5)+(K19*Costos!$K$5)</f>
        <v>57.957393483709268</v>
      </c>
      <c r="N19" s="109">
        <f>(J19*Costos!$J$6)+(K19*Costos!$K$6)</f>
        <v>69.548872180451127</v>
      </c>
      <c r="O19" s="109">
        <f>(J19*Costos!$J$7)+(K19*Costos!$K$7)</f>
        <v>175</v>
      </c>
      <c r="P19" s="109">
        <f>(J19*Costos!$J$8)+(K19*Costos!$K$8)</f>
        <v>250</v>
      </c>
      <c r="Q19" s="89">
        <f t="shared" si="0"/>
        <v>69.548872180451127</v>
      </c>
      <c r="S19" s="21"/>
      <c r="T19" s="21"/>
    </row>
    <row r="20" spans="2:20" x14ac:dyDescent="0.25">
      <c r="B20" s="114" t="s">
        <v>76</v>
      </c>
      <c r="C20" s="86"/>
      <c r="D20" s="86" t="s">
        <v>67</v>
      </c>
      <c r="E20" s="86"/>
      <c r="F20" s="86"/>
      <c r="G20" s="86"/>
      <c r="H20" s="85"/>
      <c r="I20" s="85"/>
      <c r="J20" s="111">
        <v>2</v>
      </c>
      <c r="K20" s="111"/>
      <c r="L20" s="109">
        <f>(J20*Costos!$J$4)+(K20*Costos!$K$4)</f>
        <v>34.774436090225564</v>
      </c>
      <c r="M20" s="109">
        <f>(J20*Costos!$J$5)+(K20*Costos!$K$5)</f>
        <v>57.957393483709268</v>
      </c>
      <c r="N20" s="109">
        <f>(J20*Costos!$J$6)+(K20*Costos!$K$6)</f>
        <v>69.548872180451127</v>
      </c>
      <c r="O20" s="109">
        <f>(J20*Costos!$J$7)+(K20*Costos!$K$7)</f>
        <v>175</v>
      </c>
      <c r="P20" s="109">
        <f>(J20*Costos!$J$8)+(K20*Costos!$K$8)</f>
        <v>250</v>
      </c>
      <c r="Q20" s="89">
        <f t="shared" si="0"/>
        <v>57.957393483709268</v>
      </c>
      <c r="S20" s="21"/>
      <c r="T20" s="21"/>
    </row>
    <row r="21" spans="2:20" x14ac:dyDescent="0.25">
      <c r="B21" s="114" t="s">
        <v>77</v>
      </c>
      <c r="C21" s="86"/>
      <c r="D21" s="86" t="s">
        <v>67</v>
      </c>
      <c r="E21" s="86"/>
      <c r="F21" s="86"/>
      <c r="G21" s="86"/>
      <c r="H21" s="85"/>
      <c r="I21" s="85"/>
      <c r="J21" s="111">
        <v>2</v>
      </c>
      <c r="K21" s="111"/>
      <c r="L21" s="109">
        <f>(J21*Costos!$J$4)+(K21*Costos!$K$4)</f>
        <v>34.774436090225564</v>
      </c>
      <c r="M21" s="109">
        <f>(J21*Costos!$J$5)+(K21*Costos!$K$5)</f>
        <v>57.957393483709268</v>
      </c>
      <c r="N21" s="109">
        <f>(J21*Costos!$J$6)+(K21*Costos!$K$6)</f>
        <v>69.548872180451127</v>
      </c>
      <c r="O21" s="109">
        <f>(J21*Costos!$J$7)+(K21*Costos!$K$7)</f>
        <v>175</v>
      </c>
      <c r="P21" s="109">
        <f>(J21*Costos!$J$8)+(K21*Costos!$K$8)</f>
        <v>250</v>
      </c>
      <c r="Q21" s="89">
        <f t="shared" si="0"/>
        <v>57.957393483709268</v>
      </c>
      <c r="S21" s="21"/>
      <c r="T21" s="21"/>
    </row>
    <row r="22" spans="2:20" x14ac:dyDescent="0.25">
      <c r="B22" s="114" t="s">
        <v>78</v>
      </c>
      <c r="C22" s="86"/>
      <c r="D22" s="86" t="s">
        <v>67</v>
      </c>
      <c r="E22" s="86"/>
      <c r="F22" s="86"/>
      <c r="G22" s="86"/>
      <c r="H22" s="85"/>
      <c r="I22" s="85"/>
      <c r="J22" s="111">
        <v>2</v>
      </c>
      <c r="K22" s="111"/>
      <c r="L22" s="109">
        <f>(J22*Costos!$J$4)+(K22*Costos!$K$4)</f>
        <v>34.774436090225564</v>
      </c>
      <c r="M22" s="109">
        <f>(J22*Costos!$J$5)+(K22*Costos!$K$5)</f>
        <v>57.957393483709268</v>
      </c>
      <c r="N22" s="109">
        <f>(J22*Costos!$J$6)+(K22*Costos!$K$6)</f>
        <v>69.548872180451127</v>
      </c>
      <c r="O22" s="109">
        <f>(J22*Costos!$J$7)+(K22*Costos!$K$7)</f>
        <v>175</v>
      </c>
      <c r="P22" s="109">
        <f>(J22*Costos!$J$8)+(K22*Costos!$K$8)</f>
        <v>250</v>
      </c>
      <c r="Q22" s="89">
        <f t="shared" si="0"/>
        <v>57.957393483709268</v>
      </c>
      <c r="S22" s="21"/>
      <c r="T22" s="21"/>
    </row>
    <row r="23" spans="2:20" x14ac:dyDescent="0.25">
      <c r="B23" s="114" t="s">
        <v>79</v>
      </c>
      <c r="C23" s="86"/>
      <c r="D23" s="86" t="s">
        <v>67</v>
      </c>
      <c r="E23" s="86"/>
      <c r="F23" s="86"/>
      <c r="G23" s="86"/>
      <c r="H23" s="85"/>
      <c r="I23" s="85"/>
      <c r="J23" s="111">
        <v>2</v>
      </c>
      <c r="K23" s="111"/>
      <c r="L23" s="109">
        <f>(J23*Costos!$J$4)+(K23*Costos!$K$4)</f>
        <v>34.774436090225564</v>
      </c>
      <c r="M23" s="109">
        <f>(J23*Costos!$J$5)+(K23*Costos!$K$5)</f>
        <v>57.957393483709268</v>
      </c>
      <c r="N23" s="109">
        <f>(J23*Costos!$J$6)+(K23*Costos!$K$6)</f>
        <v>69.548872180451127</v>
      </c>
      <c r="O23" s="109">
        <f>(J23*Costos!$J$7)+(K23*Costos!$K$7)</f>
        <v>175</v>
      </c>
      <c r="P23" s="109">
        <f>(J23*Costos!$J$8)+(K23*Costos!$K$8)</f>
        <v>250</v>
      </c>
      <c r="Q23" s="89">
        <f t="shared" si="0"/>
        <v>57.957393483709268</v>
      </c>
      <c r="S23" s="21"/>
      <c r="T23" s="21"/>
    </row>
    <row r="24" spans="2:20" x14ac:dyDescent="0.25">
      <c r="B24" s="114" t="s">
        <v>80</v>
      </c>
      <c r="C24" s="86"/>
      <c r="D24" s="86" t="s">
        <v>67</v>
      </c>
      <c r="E24" s="86"/>
      <c r="F24" s="86"/>
      <c r="G24" s="86"/>
      <c r="H24" s="85"/>
      <c r="I24" s="85"/>
      <c r="J24" s="111">
        <v>2</v>
      </c>
      <c r="K24" s="111"/>
      <c r="L24" s="109">
        <f>(J24*Costos!$J$4)+(K24*Costos!$K$4)</f>
        <v>34.774436090225564</v>
      </c>
      <c r="M24" s="109">
        <f>(J24*Costos!$J$5)+(K24*Costos!$K$5)</f>
        <v>57.957393483709268</v>
      </c>
      <c r="N24" s="109">
        <f>(J24*Costos!$J$6)+(K24*Costos!$K$6)</f>
        <v>69.548872180451127</v>
      </c>
      <c r="O24" s="109">
        <f>(J24*Costos!$J$7)+(K24*Costos!$K$7)</f>
        <v>175</v>
      </c>
      <c r="P24" s="109">
        <f>(J24*Costos!$J$8)+(K24*Costos!$K$8)</f>
        <v>250</v>
      </c>
      <c r="Q24" s="89">
        <f t="shared" si="0"/>
        <v>57.957393483709268</v>
      </c>
      <c r="S24" s="21"/>
      <c r="T24" s="21"/>
    </row>
    <row r="25" spans="2:20" x14ac:dyDescent="0.25">
      <c r="B25" s="115" t="s">
        <v>81</v>
      </c>
      <c r="C25" s="86"/>
      <c r="D25" s="86" t="s">
        <v>67</v>
      </c>
      <c r="E25" s="86"/>
      <c r="F25" s="86"/>
      <c r="G25" s="86"/>
      <c r="H25" s="85"/>
      <c r="I25" s="85"/>
      <c r="J25" s="111">
        <v>4</v>
      </c>
      <c r="K25" s="111"/>
      <c r="L25" s="109">
        <f>(J25*Costos!$J$4)+(K25*Costos!$K$4)</f>
        <v>69.548872180451127</v>
      </c>
      <c r="M25" s="109">
        <f>(J25*Costos!$J$5)+(K25*Costos!$K$5)</f>
        <v>115.91478696741854</v>
      </c>
      <c r="N25" s="109">
        <f>(J25*Costos!$J$6)+(K25*Costos!$K$6)</f>
        <v>139.09774436090225</v>
      </c>
      <c r="O25" s="109">
        <f>(J25*Costos!$J$7)+(K25*Costos!$K$7)</f>
        <v>350</v>
      </c>
      <c r="P25" s="109">
        <f>(J25*Costos!$J$8)+(K25*Costos!$K$8)</f>
        <v>500</v>
      </c>
      <c r="Q25" s="89">
        <f t="shared" si="0"/>
        <v>115.91478696741854</v>
      </c>
      <c r="S25" s="21"/>
      <c r="T25" s="21"/>
    </row>
    <row r="26" spans="2:20" x14ac:dyDescent="0.25">
      <c r="B26" s="114" t="s">
        <v>82</v>
      </c>
      <c r="C26" s="86"/>
      <c r="D26" s="86" t="s">
        <v>67</v>
      </c>
      <c r="E26" s="86"/>
      <c r="F26" s="86"/>
      <c r="G26" s="86"/>
      <c r="H26" s="85"/>
      <c r="I26" s="85"/>
      <c r="J26" s="111">
        <v>4</v>
      </c>
      <c r="K26" s="111"/>
      <c r="L26" s="109">
        <f>(J26*Costos!$J$4)+(K26*Costos!$K$4)</f>
        <v>69.548872180451127</v>
      </c>
      <c r="M26" s="109">
        <f>(J26*Costos!$J$5)+(K26*Costos!$K$5)</f>
        <v>115.91478696741854</v>
      </c>
      <c r="N26" s="109">
        <f>(J26*Costos!$J$6)+(K26*Costos!$K$6)</f>
        <v>139.09774436090225</v>
      </c>
      <c r="O26" s="109">
        <f>(J26*Costos!$J$7)+(K26*Costos!$K$7)</f>
        <v>350</v>
      </c>
      <c r="P26" s="109">
        <f>(J26*Costos!$J$8)+(K26*Costos!$K$8)</f>
        <v>500</v>
      </c>
      <c r="Q26" s="89">
        <f t="shared" si="0"/>
        <v>115.91478696741854</v>
      </c>
      <c r="S26" s="21"/>
      <c r="T26" s="21"/>
    </row>
    <row r="27" spans="2:20" x14ac:dyDescent="0.25">
      <c r="B27" s="114" t="s">
        <v>83</v>
      </c>
      <c r="C27" s="86"/>
      <c r="D27" s="86" t="s">
        <v>67</v>
      </c>
      <c r="E27" s="86"/>
      <c r="F27" s="86"/>
      <c r="G27" s="86"/>
      <c r="H27" s="85"/>
      <c r="I27" s="85"/>
      <c r="J27" s="111">
        <v>1</v>
      </c>
      <c r="K27" s="111"/>
      <c r="L27" s="109">
        <f>(J27*Costos!$J$4)+(K27*Costos!$K$4)</f>
        <v>17.387218045112782</v>
      </c>
      <c r="M27" s="109">
        <f>(J27*Costos!$J$5)+(K27*Costos!$K$5)</f>
        <v>28.978696741854634</v>
      </c>
      <c r="N27" s="109">
        <f>(J27*Costos!$J$6)+(K27*Costos!$K$6)</f>
        <v>34.774436090225564</v>
      </c>
      <c r="O27" s="109">
        <f>(J27*Costos!$J$7)+(K27*Costos!$K$7)</f>
        <v>87.5</v>
      </c>
      <c r="P27" s="109">
        <f>(J27*Costos!$J$8)+(K27*Costos!$K$8)</f>
        <v>125</v>
      </c>
      <c r="Q27" s="89">
        <f t="shared" si="0"/>
        <v>28.978696741854634</v>
      </c>
      <c r="S27" s="21"/>
      <c r="T27" s="21"/>
    </row>
    <row r="28" spans="2:20" x14ac:dyDescent="0.25">
      <c r="B28" s="115" t="s">
        <v>84</v>
      </c>
      <c r="C28" s="86"/>
      <c r="D28" s="86"/>
      <c r="E28" s="86" t="s">
        <v>67</v>
      </c>
      <c r="F28" s="86"/>
      <c r="G28" s="86"/>
      <c r="H28" s="85"/>
      <c r="I28" s="85"/>
      <c r="J28" s="111">
        <v>4</v>
      </c>
      <c r="K28" s="111"/>
      <c r="L28" s="109">
        <f>(J28*Costos!$J$4)+(K28*Costos!$K$4)</f>
        <v>69.548872180451127</v>
      </c>
      <c r="M28" s="109">
        <f>(J28*Costos!$J$5)+(K28*Costos!$K$5)</f>
        <v>115.91478696741854</v>
      </c>
      <c r="N28" s="109">
        <f>(J28*Costos!$J$6)+(K28*Costos!$K$6)</f>
        <v>139.09774436090225</v>
      </c>
      <c r="O28" s="109">
        <f>(J28*Costos!$J$7)+(K28*Costos!$K$7)</f>
        <v>350</v>
      </c>
      <c r="P28" s="109">
        <f>(J28*Costos!$J$8)+(K28*Costos!$K$8)</f>
        <v>500</v>
      </c>
      <c r="Q28" s="89">
        <f t="shared" si="0"/>
        <v>139.09774436090225</v>
      </c>
      <c r="S28" s="21"/>
      <c r="T28" s="21"/>
    </row>
    <row r="29" spans="2:20" x14ac:dyDescent="0.25">
      <c r="B29" s="115" t="s">
        <v>85</v>
      </c>
      <c r="C29" s="86"/>
      <c r="D29" s="86" t="s">
        <v>67</v>
      </c>
      <c r="E29" s="86"/>
      <c r="F29" s="86"/>
      <c r="G29" s="86"/>
      <c r="H29" s="85"/>
      <c r="I29" s="85"/>
      <c r="J29" s="111">
        <v>4</v>
      </c>
      <c r="K29" s="111"/>
      <c r="L29" s="109">
        <f>(J29*Costos!$J$4)+(K29*Costos!$K$4)</f>
        <v>69.548872180451127</v>
      </c>
      <c r="M29" s="109">
        <f>(J29*Costos!$J$5)+(K29*Costos!$K$5)</f>
        <v>115.91478696741854</v>
      </c>
      <c r="N29" s="109">
        <f>(J29*Costos!$J$6)+(K29*Costos!$K$6)</f>
        <v>139.09774436090225</v>
      </c>
      <c r="O29" s="109">
        <f>(J29*Costos!$J$7)+(K29*Costos!$K$7)</f>
        <v>350</v>
      </c>
      <c r="P29" s="109">
        <f>(J29*Costos!$J$8)+(K29*Costos!$K$8)</f>
        <v>500</v>
      </c>
      <c r="Q29" s="89">
        <f t="shared" si="0"/>
        <v>115.91478696741854</v>
      </c>
      <c r="S29" s="21"/>
      <c r="T29" s="21"/>
    </row>
    <row r="30" spans="2:20" x14ac:dyDescent="0.25">
      <c r="B30" s="115" t="s">
        <v>86</v>
      </c>
      <c r="C30" s="86"/>
      <c r="D30" s="86" t="s">
        <v>67</v>
      </c>
      <c r="E30" s="86"/>
      <c r="F30" s="86"/>
      <c r="G30" s="86"/>
      <c r="H30" s="85"/>
      <c r="I30" s="85"/>
      <c r="J30" s="111">
        <v>1</v>
      </c>
      <c r="K30" s="111"/>
      <c r="L30" s="109">
        <f>(J30*Costos!$J$4)+(K30*Costos!$K$4)</f>
        <v>17.387218045112782</v>
      </c>
      <c r="M30" s="109">
        <f>(J30*Costos!$J$5)+(K30*Costos!$K$5)</f>
        <v>28.978696741854634</v>
      </c>
      <c r="N30" s="109">
        <f>(J30*Costos!$J$6)+(K30*Costos!$K$6)</f>
        <v>34.774436090225564</v>
      </c>
      <c r="O30" s="109">
        <f>(J30*Costos!$J$7)+(K30*Costos!$K$7)</f>
        <v>87.5</v>
      </c>
      <c r="P30" s="109">
        <f>(J30*Costos!$J$8)+(K30*Costos!$K$8)</f>
        <v>125</v>
      </c>
      <c r="Q30" s="89">
        <f t="shared" si="0"/>
        <v>28.978696741854634</v>
      </c>
      <c r="S30" s="21"/>
      <c r="T30" s="21"/>
    </row>
    <row r="31" spans="2:20" ht="26.4" x14ac:dyDescent="0.25">
      <c r="B31" s="115" t="s">
        <v>87</v>
      </c>
      <c r="C31" s="86"/>
      <c r="D31" s="86" t="s">
        <v>67</v>
      </c>
      <c r="E31" s="86"/>
      <c r="F31" s="86"/>
      <c r="G31" s="86"/>
      <c r="H31" s="85"/>
      <c r="I31" s="85"/>
      <c r="J31" s="111">
        <v>2</v>
      </c>
      <c r="K31" s="111"/>
      <c r="L31" s="109">
        <f>(J31*Costos!$J$4)+(K31*Costos!$K$4)</f>
        <v>34.774436090225564</v>
      </c>
      <c r="M31" s="109">
        <f>(J31*Costos!$J$5)+(K31*Costos!$K$5)</f>
        <v>57.957393483709268</v>
      </c>
      <c r="N31" s="109">
        <f>(J31*Costos!$J$6)+(K31*Costos!$K$6)</f>
        <v>69.548872180451127</v>
      </c>
      <c r="O31" s="109">
        <f>(J31*Costos!$J$7)+(K31*Costos!$K$7)</f>
        <v>175</v>
      </c>
      <c r="P31" s="109">
        <f>(J31*Costos!$J$8)+(K31*Costos!$K$8)</f>
        <v>250</v>
      </c>
      <c r="Q31" s="89">
        <f t="shared" si="0"/>
        <v>57.957393483709268</v>
      </c>
      <c r="S31" s="21"/>
      <c r="T31" s="21"/>
    </row>
    <row r="32" spans="2:20" x14ac:dyDescent="0.25">
      <c r="B32" s="115" t="s">
        <v>88</v>
      </c>
      <c r="C32" s="86"/>
      <c r="D32" s="86" t="s">
        <v>67</v>
      </c>
      <c r="E32" s="86" t="s">
        <v>67</v>
      </c>
      <c r="F32" s="86"/>
      <c r="G32" s="86"/>
      <c r="H32" s="85"/>
      <c r="I32" s="85"/>
      <c r="J32" s="111">
        <v>8</v>
      </c>
      <c r="K32" s="111"/>
      <c r="L32" s="109">
        <f>(J32*Costos!$J$4)+(K32*Costos!$K$4)</f>
        <v>139.09774436090225</v>
      </c>
      <c r="M32" s="109">
        <f>(J32*Costos!$J$5)+(K32*Costos!$K$5)</f>
        <v>231.82957393483707</v>
      </c>
      <c r="N32" s="109">
        <f>(J32*Costos!$J$6)+(K32*Costos!$K$6)</f>
        <v>278.19548872180451</v>
      </c>
      <c r="O32" s="109">
        <f>(J32*Costos!$J$7)+(K32*Costos!$K$7)</f>
        <v>700</v>
      </c>
      <c r="P32" s="109">
        <f>(J32*Costos!$J$8)+(K32*Costos!$K$8)</f>
        <v>1000</v>
      </c>
      <c r="Q32" s="89">
        <f t="shared" si="0"/>
        <v>510.02506265664158</v>
      </c>
      <c r="S32" s="21"/>
      <c r="T32" s="21"/>
    </row>
    <row r="33" spans="2:20" x14ac:dyDescent="0.25">
      <c r="B33" s="116" t="s">
        <v>89</v>
      </c>
      <c r="C33" s="86"/>
      <c r="D33" s="86"/>
      <c r="E33" s="86"/>
      <c r="F33" s="86"/>
      <c r="G33" s="86"/>
      <c r="H33" s="85"/>
      <c r="I33" s="85"/>
      <c r="J33" s="111"/>
      <c r="K33" s="111"/>
      <c r="L33" s="109">
        <f>(J33*Costos!$J$4)+(K33*Costos!$K$4)</f>
        <v>0</v>
      </c>
      <c r="M33" s="109">
        <f>(J33*Costos!$J$5)+(K33*Costos!$K$5)</f>
        <v>0</v>
      </c>
      <c r="N33" s="109">
        <f>(J33*Costos!$J$6)+(K33*Costos!$K$6)</f>
        <v>0</v>
      </c>
      <c r="O33" s="109">
        <f>(J33*Costos!$J$7)+(K33*Costos!$K$7)</f>
        <v>0</v>
      </c>
      <c r="P33" s="109">
        <f>(J33*Costos!$J$8)+(K33*Costos!$K$8)</f>
        <v>0</v>
      </c>
      <c r="Q33" s="89">
        <f t="shared" si="0"/>
        <v>0</v>
      </c>
      <c r="S33" s="21"/>
      <c r="T33" s="21"/>
    </row>
    <row r="34" spans="2:20" ht="26.4" x14ac:dyDescent="0.25">
      <c r="B34" s="115" t="s">
        <v>90</v>
      </c>
      <c r="C34" s="86"/>
      <c r="D34" s="86" t="s">
        <v>67</v>
      </c>
      <c r="E34" s="86" t="s">
        <v>67</v>
      </c>
      <c r="F34" s="86"/>
      <c r="G34" s="86"/>
      <c r="H34" s="85"/>
      <c r="I34" s="85"/>
      <c r="J34" s="111">
        <v>4</v>
      </c>
      <c r="K34" s="111">
        <v>4</v>
      </c>
      <c r="L34" s="109">
        <f>(J34*Costos!$J$4)+(K34*Costos!$K$4)</f>
        <v>173.8721804511278</v>
      </c>
      <c r="M34" s="109">
        <f>(J34*Costos!$J$5)+(K34*Costos!$K$5)</f>
        <v>289.78696741854634</v>
      </c>
      <c r="N34" s="109">
        <f>(J34*Costos!$J$6)+(K34*Costos!$K$6)</f>
        <v>347.74436090225561</v>
      </c>
      <c r="O34" s="109">
        <f>(J34*Costos!$J$7)+(K34*Costos!$K$7)</f>
        <v>700</v>
      </c>
      <c r="P34" s="109">
        <f>(J34*Costos!$J$8)+(K34*Costos!$K$8)</f>
        <v>1000</v>
      </c>
      <c r="Q34" s="89">
        <f t="shared" si="0"/>
        <v>637.531328320802</v>
      </c>
      <c r="S34" s="21"/>
      <c r="T34" s="21"/>
    </row>
    <row r="35" spans="2:20" ht="26.4" x14ac:dyDescent="0.25">
      <c r="B35" s="114" t="s">
        <v>91</v>
      </c>
      <c r="C35" s="86"/>
      <c r="D35" s="86" t="s">
        <v>67</v>
      </c>
      <c r="E35" s="86"/>
      <c r="F35" s="86"/>
      <c r="G35" s="86"/>
      <c r="H35" s="85"/>
      <c r="I35" s="85"/>
      <c r="J35" s="111"/>
      <c r="K35" s="111">
        <v>1</v>
      </c>
      <c r="L35" s="109">
        <f>(J35*Costos!$J$4)+(K35*Costos!$K$4)</f>
        <v>26.080827067669173</v>
      </c>
      <c r="M35" s="109">
        <f>(J35*Costos!$J$5)+(K35*Costos!$K$5)</f>
        <v>43.468045112781951</v>
      </c>
      <c r="N35" s="109">
        <f>(J35*Costos!$J$6)+(K35*Costos!$K$6)</f>
        <v>52.161654135338345</v>
      </c>
      <c r="O35" s="109">
        <f>(J35*Costos!$J$7)+(K35*Costos!$K$7)</f>
        <v>87.5</v>
      </c>
      <c r="P35" s="109">
        <f>(J35*Costos!$J$8)+(K35*Costos!$K$8)</f>
        <v>125</v>
      </c>
      <c r="Q35" s="89">
        <f t="shared" si="0"/>
        <v>43.468045112781951</v>
      </c>
      <c r="S35" s="21"/>
      <c r="T35" s="21"/>
    </row>
    <row r="36" spans="2:20" x14ac:dyDescent="0.25">
      <c r="B36" s="16"/>
      <c r="C36" s="86"/>
      <c r="D36" s="86"/>
      <c r="E36" s="86"/>
      <c r="F36" s="86"/>
      <c r="G36" s="86"/>
      <c r="H36" s="85"/>
      <c r="I36" s="85"/>
      <c r="J36" s="111"/>
      <c r="K36" s="111"/>
      <c r="L36" s="109">
        <f>(J36*Costos!$J$4)+(K36*Costos!$K$4)</f>
        <v>0</v>
      </c>
      <c r="M36" s="109">
        <f>(J36*Costos!$J$5)+(K36*Costos!$K$5)</f>
        <v>0</v>
      </c>
      <c r="N36" s="109">
        <f>(J36*Costos!$J$6)+(K36*Costos!$K$6)</f>
        <v>0</v>
      </c>
      <c r="O36" s="109">
        <f>(J36*Costos!$J$7)+(K36*Costos!$K$7)</f>
        <v>0</v>
      </c>
      <c r="P36" s="109">
        <f>(J36*Costos!$J$8)+(K36*Costos!$K$8)</f>
        <v>0</v>
      </c>
      <c r="Q36" s="89">
        <f t="shared" si="0"/>
        <v>0</v>
      </c>
      <c r="S36" s="21"/>
      <c r="T36" s="21"/>
    </row>
    <row r="37" spans="2:20" x14ac:dyDescent="0.25">
      <c r="B37" s="114" t="s">
        <v>92</v>
      </c>
      <c r="C37" s="86"/>
      <c r="D37" s="86" t="s">
        <v>67</v>
      </c>
      <c r="E37" s="86"/>
      <c r="F37" s="86"/>
      <c r="G37" s="86"/>
      <c r="H37" s="85"/>
      <c r="I37" s="85"/>
      <c r="J37" s="111">
        <v>8</v>
      </c>
      <c r="K37" s="111"/>
      <c r="L37" s="109">
        <f>(J37*Costos!$J$4)+(K37*Costos!$K$4)</f>
        <v>139.09774436090225</v>
      </c>
      <c r="M37" s="109">
        <f>(J37*Costos!$J$5)+(K37*Costos!$K$5)</f>
        <v>231.82957393483707</v>
      </c>
      <c r="N37" s="109">
        <f>(J37*Costos!$J$6)+(K37*Costos!$K$6)</f>
        <v>278.19548872180451</v>
      </c>
      <c r="O37" s="109">
        <f>(J37*Costos!$J$7)+(K37*Costos!$K$7)</f>
        <v>700</v>
      </c>
      <c r="P37" s="109">
        <f>(J37*Costos!$J$8)+(K37*Costos!$K$8)</f>
        <v>1000</v>
      </c>
      <c r="Q37" s="89">
        <f t="shared" si="0"/>
        <v>231.82957393483707</v>
      </c>
      <c r="S37" s="21"/>
      <c r="T37" s="21"/>
    </row>
    <row r="38" spans="2:20" x14ac:dyDescent="0.25">
      <c r="B38" s="16"/>
      <c r="C38" s="86"/>
      <c r="D38" s="86"/>
      <c r="E38" s="86"/>
      <c r="F38" s="86"/>
      <c r="G38" s="86"/>
      <c r="H38" s="85"/>
      <c r="I38" s="85"/>
      <c r="J38" s="111"/>
      <c r="K38" s="111"/>
      <c r="L38" s="109">
        <f>(J38*Costos!$J$4)+(K38*Costos!$K$4)</f>
        <v>0</v>
      </c>
      <c r="M38" s="109">
        <f>(J38*Costos!$J$5)+(K38*Costos!$K$5)</f>
        <v>0</v>
      </c>
      <c r="N38" s="109">
        <f>(J38*Costos!$J$6)+(K38*Costos!$K$6)</f>
        <v>0</v>
      </c>
      <c r="O38" s="109">
        <f>(J38*Costos!$J$7)+(K38*Costos!$K$7)</f>
        <v>0</v>
      </c>
      <c r="P38" s="109">
        <f>(J38*Costos!$J$8)+(K38*Costos!$K$8)</f>
        <v>0</v>
      </c>
      <c r="Q38" s="89">
        <f t="shared" si="0"/>
        <v>0</v>
      </c>
      <c r="S38" s="21"/>
      <c r="T38" s="21"/>
    </row>
    <row r="39" spans="2:20" x14ac:dyDescent="0.25">
      <c r="B39" s="16"/>
      <c r="C39" s="86"/>
      <c r="D39" s="86"/>
      <c r="E39" s="86"/>
      <c r="F39" s="86"/>
      <c r="G39" s="86"/>
      <c r="H39" s="85"/>
      <c r="I39" s="85"/>
      <c r="J39" s="111"/>
      <c r="K39" s="111"/>
      <c r="L39" s="109">
        <f>(J39*Costos!$J$4)+(K39*Costos!$K$4)</f>
        <v>0</v>
      </c>
      <c r="M39" s="109">
        <f>(J39*Costos!$J$5)+(K39*Costos!$K$5)</f>
        <v>0</v>
      </c>
      <c r="N39" s="109">
        <f>(J39*Costos!$J$6)+(K39*Costos!$K$6)</f>
        <v>0</v>
      </c>
      <c r="O39" s="109">
        <f>(J39*Costos!$J$7)+(K39*Costos!$K$7)</f>
        <v>0</v>
      </c>
      <c r="P39" s="109">
        <f>(J39*Costos!$J$8)+(K39*Costos!$K$8)</f>
        <v>0</v>
      </c>
      <c r="Q39" s="89">
        <f t="shared" si="0"/>
        <v>0</v>
      </c>
      <c r="S39" s="21"/>
      <c r="T39" s="21"/>
    </row>
    <row r="40" spans="2:20" x14ac:dyDescent="0.25">
      <c r="B40" s="115"/>
      <c r="C40" s="86"/>
      <c r="D40" s="86"/>
      <c r="E40" s="86"/>
      <c r="F40" s="86"/>
      <c r="G40" s="86"/>
      <c r="H40" s="85"/>
      <c r="I40" s="85"/>
      <c r="J40" s="111"/>
      <c r="K40" s="111"/>
      <c r="L40" s="109">
        <f>(J40*Costos!$J$4)+(K40*Costos!$K$4)</f>
        <v>0</v>
      </c>
      <c r="M40" s="109">
        <f>(J40*Costos!$J$5)+(K40*Costos!$K$5)</f>
        <v>0</v>
      </c>
      <c r="N40" s="109">
        <f>(J40*Costos!$J$6)+(K40*Costos!$K$6)</f>
        <v>0</v>
      </c>
      <c r="O40" s="109">
        <f>(J40*Costos!$J$7)+(K40*Costos!$K$7)</f>
        <v>0</v>
      </c>
      <c r="P40" s="109">
        <f>(J40*Costos!$J$8)+(K40*Costos!$K$8)</f>
        <v>0</v>
      </c>
      <c r="Q40" s="89">
        <f t="shared" si="0"/>
        <v>0</v>
      </c>
      <c r="S40" s="21"/>
      <c r="T40" s="21"/>
    </row>
    <row r="41" spans="2:20" x14ac:dyDescent="0.25">
      <c r="B41" s="115"/>
      <c r="C41" s="86"/>
      <c r="D41" s="86"/>
      <c r="E41" s="86"/>
      <c r="F41" s="86"/>
      <c r="G41" s="86"/>
      <c r="H41" s="85"/>
      <c r="I41" s="85"/>
      <c r="J41" s="111"/>
      <c r="K41" s="111"/>
      <c r="L41" s="109">
        <f>(J41*Costos!$J$4)+(K41*Costos!$K$4)</f>
        <v>0</v>
      </c>
      <c r="M41" s="109">
        <f>(J41*Costos!$J$5)+(K41*Costos!$K$5)</f>
        <v>0</v>
      </c>
      <c r="N41" s="109">
        <f>(J41*Costos!$J$6)+(K41*Costos!$K$6)</f>
        <v>0</v>
      </c>
      <c r="O41" s="109">
        <f>(J41*Costos!$J$7)+(K41*Costos!$K$7)</f>
        <v>0</v>
      </c>
      <c r="P41" s="109">
        <f>(J41*Costos!$J$8)+(K41*Costos!$K$8)</f>
        <v>0</v>
      </c>
      <c r="Q41" s="89">
        <f t="shared" si="0"/>
        <v>0</v>
      </c>
      <c r="S41" s="21"/>
      <c r="T41" s="21"/>
    </row>
    <row r="42" spans="2:20" x14ac:dyDescent="0.25">
      <c r="B42" s="115"/>
      <c r="C42" s="86"/>
      <c r="D42" s="86"/>
      <c r="E42" s="86"/>
      <c r="F42" s="86"/>
      <c r="G42" s="86"/>
      <c r="H42" s="85"/>
      <c r="I42" s="85"/>
      <c r="J42" s="111"/>
      <c r="K42" s="111"/>
      <c r="L42" s="109">
        <f>(J42*Costos!$J$4)+(K42*Costos!$K$4)</f>
        <v>0</v>
      </c>
      <c r="M42" s="109">
        <f>(J42*Costos!$J$5)+(K42*Costos!$K$5)</f>
        <v>0</v>
      </c>
      <c r="N42" s="109">
        <f>(J42*Costos!$J$6)+(K42*Costos!$K$6)</f>
        <v>0</v>
      </c>
      <c r="O42" s="109">
        <f>(J42*Costos!$J$7)+(K42*Costos!$K$7)</f>
        <v>0</v>
      </c>
      <c r="P42" s="109">
        <f>(J42*Costos!$J$8)+(K42*Costos!$K$8)</f>
        <v>0</v>
      </c>
      <c r="Q42" s="89">
        <f t="shared" ref="Q42:Q65" si="1">IF(C42="x",L42,0)+IF(D42="x",M42,0)+IF(E42="x",N42,0)+IF(F42="x",O42,0)+IF(G42="x",P42,0)</f>
        <v>0</v>
      </c>
      <c r="S42" s="21"/>
      <c r="T42" s="21"/>
    </row>
    <row r="43" spans="2:20" x14ac:dyDescent="0.25">
      <c r="B43" s="16"/>
      <c r="C43" s="86"/>
      <c r="D43" s="86"/>
      <c r="E43" s="86"/>
      <c r="F43" s="86"/>
      <c r="G43" s="86"/>
      <c r="H43" s="85"/>
      <c r="I43" s="85"/>
      <c r="J43" s="111"/>
      <c r="K43" s="111"/>
      <c r="L43" s="109">
        <f>(J43*Costos!$J$4)+(K43*Costos!$K$4)</f>
        <v>0</v>
      </c>
      <c r="M43" s="109">
        <f>(J43*Costos!$J$5)+(K43*Costos!$K$5)</f>
        <v>0</v>
      </c>
      <c r="N43" s="109">
        <f>(J43*Costos!$J$6)+(K43*Costos!$K$6)</f>
        <v>0</v>
      </c>
      <c r="O43" s="109">
        <f>(J43*Costos!$J$7)+(K43*Costos!$K$7)</f>
        <v>0</v>
      </c>
      <c r="P43" s="109">
        <f>(J43*Costos!$J$8)+(K43*Costos!$K$8)</f>
        <v>0</v>
      </c>
      <c r="Q43" s="89">
        <f t="shared" si="1"/>
        <v>0</v>
      </c>
      <c r="S43" s="21"/>
      <c r="T43" s="21"/>
    </row>
    <row r="44" spans="2:20" x14ac:dyDescent="0.25">
      <c r="B44" s="16"/>
      <c r="C44" s="86"/>
      <c r="D44" s="86"/>
      <c r="E44" s="86"/>
      <c r="F44" s="86"/>
      <c r="G44" s="86"/>
      <c r="H44" s="85"/>
      <c r="I44" s="85"/>
      <c r="J44" s="111"/>
      <c r="K44" s="111"/>
      <c r="L44" s="109">
        <f>(J44*Costos!$J$4)+(K44*Costos!$K$4)</f>
        <v>0</v>
      </c>
      <c r="M44" s="109">
        <f>(J44*Costos!$J$5)+(K44*Costos!$K$5)</f>
        <v>0</v>
      </c>
      <c r="N44" s="109">
        <f>(J44*Costos!$J$6)+(K44*Costos!$K$6)</f>
        <v>0</v>
      </c>
      <c r="O44" s="109">
        <f>(J44*Costos!$J$7)+(K44*Costos!$K$7)</f>
        <v>0</v>
      </c>
      <c r="P44" s="109">
        <f>(J44*Costos!$J$8)+(K44*Costos!$K$8)</f>
        <v>0</v>
      </c>
      <c r="Q44" s="89">
        <f t="shared" si="1"/>
        <v>0</v>
      </c>
      <c r="S44" s="21"/>
      <c r="T44" s="21"/>
    </row>
    <row r="45" spans="2:20" x14ac:dyDescent="0.25">
      <c r="B45" s="79"/>
      <c r="C45" s="86"/>
      <c r="D45" s="86"/>
      <c r="E45" s="86"/>
      <c r="F45" s="86"/>
      <c r="G45" s="86"/>
      <c r="H45" s="85"/>
      <c r="I45" s="85"/>
      <c r="J45" s="111"/>
      <c r="K45" s="111"/>
      <c r="L45" s="109">
        <f>(J45*Costos!$J$4)+(K45*Costos!$K$4)</f>
        <v>0</v>
      </c>
      <c r="M45" s="109">
        <f>(J45*Costos!$J$5)+(K45*Costos!$K$5)</f>
        <v>0</v>
      </c>
      <c r="N45" s="109">
        <f>(J45*Costos!$J$6)+(K45*Costos!$K$6)</f>
        <v>0</v>
      </c>
      <c r="O45" s="109">
        <f>(J45*Costos!$J$7)+(K45*Costos!$K$7)</f>
        <v>0</v>
      </c>
      <c r="P45" s="109">
        <f>(J45*Costos!$J$8)+(K45*Costos!$K$8)</f>
        <v>0</v>
      </c>
      <c r="Q45" s="89">
        <f t="shared" si="1"/>
        <v>0</v>
      </c>
      <c r="S45" s="21"/>
      <c r="T45" s="21"/>
    </row>
    <row r="46" spans="2:20" x14ac:dyDescent="0.25">
      <c r="B46" s="79"/>
      <c r="C46" s="86"/>
      <c r="D46" s="86"/>
      <c r="E46" s="86"/>
      <c r="F46" s="86"/>
      <c r="G46" s="86"/>
      <c r="H46" s="85"/>
      <c r="I46" s="85"/>
      <c r="J46" s="111"/>
      <c r="K46" s="111"/>
      <c r="L46" s="109">
        <f>(J46*Costos!$J$4)+(K46*Costos!$K$4)</f>
        <v>0</v>
      </c>
      <c r="M46" s="109">
        <f>(J46*Costos!$J$5)+(K46*Costos!$K$5)</f>
        <v>0</v>
      </c>
      <c r="N46" s="109">
        <f>(J46*Costos!$J$6)+(K46*Costos!$K$6)</f>
        <v>0</v>
      </c>
      <c r="O46" s="109">
        <f>(J46*Costos!$J$7)+(K46*Costos!$K$7)</f>
        <v>0</v>
      </c>
      <c r="P46" s="109">
        <f>(J46*Costos!$J$8)+(K46*Costos!$K$8)</f>
        <v>0</v>
      </c>
      <c r="Q46" s="89">
        <f t="shared" si="1"/>
        <v>0</v>
      </c>
      <c r="S46" s="21"/>
      <c r="T46" s="21"/>
    </row>
    <row r="47" spans="2:20" x14ac:dyDescent="0.25">
      <c r="B47" s="79"/>
      <c r="C47" s="86"/>
      <c r="D47" s="86"/>
      <c r="E47" s="86"/>
      <c r="F47" s="86"/>
      <c r="G47" s="86"/>
      <c r="H47" s="85"/>
      <c r="I47" s="85"/>
      <c r="J47" s="111"/>
      <c r="K47" s="111"/>
      <c r="L47" s="109">
        <f>(J47*Costos!$J$4)+(K47*Costos!$K$4)</f>
        <v>0</v>
      </c>
      <c r="M47" s="109">
        <f>(J47*Costos!$J$5)+(K47*Costos!$K$5)</f>
        <v>0</v>
      </c>
      <c r="N47" s="109">
        <f>(J47*Costos!$J$6)+(K47*Costos!$K$6)</f>
        <v>0</v>
      </c>
      <c r="O47" s="109">
        <f>(J47*Costos!$J$7)+(K47*Costos!$K$7)</f>
        <v>0</v>
      </c>
      <c r="P47" s="109">
        <f>(J47*Costos!$J$8)+(K47*Costos!$K$8)</f>
        <v>0</v>
      </c>
      <c r="Q47" s="89">
        <f t="shared" si="1"/>
        <v>0</v>
      </c>
      <c r="S47" s="21"/>
      <c r="T47" s="21"/>
    </row>
    <row r="48" spans="2:20" x14ac:dyDescent="0.25">
      <c r="B48" s="79"/>
      <c r="C48" s="86"/>
      <c r="D48" s="86"/>
      <c r="E48" s="86"/>
      <c r="F48" s="86"/>
      <c r="G48" s="86"/>
      <c r="H48" s="85"/>
      <c r="I48" s="85"/>
      <c r="J48" s="111"/>
      <c r="K48" s="111"/>
      <c r="L48" s="109">
        <f>(J48*Costos!$J$4)+(K48*Costos!$K$4)</f>
        <v>0</v>
      </c>
      <c r="M48" s="109">
        <f>(J48*Costos!$J$5)+(K48*Costos!$K$5)</f>
        <v>0</v>
      </c>
      <c r="N48" s="109">
        <f>(J48*Costos!$J$6)+(K48*Costos!$K$6)</f>
        <v>0</v>
      </c>
      <c r="O48" s="109">
        <f>(J48*Costos!$J$7)+(K48*Costos!$K$7)</f>
        <v>0</v>
      </c>
      <c r="P48" s="109">
        <f>(J48*Costos!$J$8)+(K48*Costos!$K$8)</f>
        <v>0</v>
      </c>
      <c r="Q48" s="89">
        <f t="shared" si="1"/>
        <v>0</v>
      </c>
      <c r="S48" s="21"/>
      <c r="T48" s="21"/>
    </row>
    <row r="49" spans="2:20" x14ac:dyDescent="0.25">
      <c r="B49" s="79"/>
      <c r="C49" s="86"/>
      <c r="D49" s="86"/>
      <c r="E49" s="86"/>
      <c r="F49" s="86"/>
      <c r="G49" s="86"/>
      <c r="H49" s="85"/>
      <c r="I49" s="85"/>
      <c r="J49" s="111"/>
      <c r="K49" s="111"/>
      <c r="L49" s="109">
        <f>(J49*Costos!$J$4)+(K49*Costos!$K$4)</f>
        <v>0</v>
      </c>
      <c r="M49" s="109">
        <f>(J49*Costos!$J$5)+(K49*Costos!$K$5)</f>
        <v>0</v>
      </c>
      <c r="N49" s="109">
        <f>(J49*Costos!$J$6)+(K49*Costos!$K$6)</f>
        <v>0</v>
      </c>
      <c r="O49" s="109">
        <f>(J49*Costos!$J$7)+(K49*Costos!$K$7)</f>
        <v>0</v>
      </c>
      <c r="P49" s="109">
        <f>(J49*Costos!$J$8)+(K49*Costos!$K$8)</f>
        <v>0</v>
      </c>
      <c r="Q49" s="89">
        <f t="shared" si="1"/>
        <v>0</v>
      </c>
      <c r="S49" s="21"/>
      <c r="T49" s="21"/>
    </row>
    <row r="50" spans="2:20" x14ac:dyDescent="0.25">
      <c r="B50" s="79"/>
      <c r="C50" s="86"/>
      <c r="D50" s="86"/>
      <c r="E50" s="86"/>
      <c r="F50" s="86"/>
      <c r="G50" s="86"/>
      <c r="H50" s="85"/>
      <c r="I50" s="85"/>
      <c r="J50" s="111"/>
      <c r="K50" s="111"/>
      <c r="L50" s="109">
        <f>(J50*Costos!$J$4)+(K50*Costos!$K$4)</f>
        <v>0</v>
      </c>
      <c r="M50" s="109">
        <f>(J50*Costos!$J$5)+(K50*Costos!$K$5)</f>
        <v>0</v>
      </c>
      <c r="N50" s="109">
        <f>(J50*Costos!$J$6)+(K50*Costos!$K$6)</f>
        <v>0</v>
      </c>
      <c r="O50" s="109">
        <f>(J50*Costos!$J$7)+(K50*Costos!$K$7)</f>
        <v>0</v>
      </c>
      <c r="P50" s="109">
        <f>(J50*Costos!$J$8)+(K50*Costos!$K$8)</f>
        <v>0</v>
      </c>
      <c r="Q50" s="89">
        <f t="shared" si="1"/>
        <v>0</v>
      </c>
      <c r="S50" s="21"/>
      <c r="T50" s="21"/>
    </row>
    <row r="51" spans="2:20" x14ac:dyDescent="0.25">
      <c r="B51" s="79"/>
      <c r="C51" s="86"/>
      <c r="D51" s="86"/>
      <c r="E51" s="86"/>
      <c r="F51" s="86"/>
      <c r="G51" s="86"/>
      <c r="H51" s="85"/>
      <c r="I51" s="85"/>
      <c r="J51" s="111"/>
      <c r="K51" s="111"/>
      <c r="L51" s="109">
        <f>(J51*Costos!$J$4)+(K51*Costos!$K$4)</f>
        <v>0</v>
      </c>
      <c r="M51" s="109">
        <f>(J51*Costos!$J$5)+(K51*Costos!$K$5)</f>
        <v>0</v>
      </c>
      <c r="N51" s="109">
        <f>(J51*Costos!$J$6)+(K51*Costos!$K$6)</f>
        <v>0</v>
      </c>
      <c r="O51" s="109">
        <f>(J51*Costos!$J$7)+(K51*Costos!$K$7)</f>
        <v>0</v>
      </c>
      <c r="P51" s="109">
        <f>(J51*Costos!$J$8)+(K51*Costos!$K$8)</f>
        <v>0</v>
      </c>
      <c r="Q51" s="89">
        <f t="shared" si="1"/>
        <v>0</v>
      </c>
      <c r="S51" s="21"/>
      <c r="T51" s="21"/>
    </row>
    <row r="52" spans="2:20" x14ac:dyDescent="0.25">
      <c r="B52" s="79"/>
      <c r="C52" s="86"/>
      <c r="D52" s="86"/>
      <c r="E52" s="86"/>
      <c r="F52" s="86"/>
      <c r="G52" s="86"/>
      <c r="H52" s="85"/>
      <c r="I52" s="85"/>
      <c r="J52" s="111"/>
      <c r="K52" s="111"/>
      <c r="L52" s="109">
        <f>(J52*Costos!$J$4)+(K52*Costos!$K$4)</f>
        <v>0</v>
      </c>
      <c r="M52" s="109">
        <f>(J52*Costos!$J$5)+(K52*Costos!$K$5)</f>
        <v>0</v>
      </c>
      <c r="N52" s="109">
        <f>(J52*Costos!$J$6)+(K52*Costos!$K$6)</f>
        <v>0</v>
      </c>
      <c r="O52" s="109">
        <f>(J52*Costos!$J$7)+(K52*Costos!$K$7)</f>
        <v>0</v>
      </c>
      <c r="P52" s="109">
        <f>(J52*Costos!$J$8)+(K52*Costos!$K$8)</f>
        <v>0</v>
      </c>
      <c r="Q52" s="89">
        <f t="shared" si="1"/>
        <v>0</v>
      </c>
      <c r="S52" s="21"/>
      <c r="T52" s="21"/>
    </row>
    <row r="53" spans="2:20" x14ac:dyDescent="0.25">
      <c r="B53" s="79"/>
      <c r="C53" s="86"/>
      <c r="D53" s="86"/>
      <c r="E53" s="86"/>
      <c r="F53" s="86"/>
      <c r="G53" s="86"/>
      <c r="H53" s="85"/>
      <c r="I53" s="85"/>
      <c r="J53" s="111"/>
      <c r="K53" s="111"/>
      <c r="L53" s="109">
        <f>(J53*Costos!$J$4)+(K53*Costos!$K$4)</f>
        <v>0</v>
      </c>
      <c r="M53" s="109">
        <f>(J53*Costos!$J$5)+(K53*Costos!$K$5)</f>
        <v>0</v>
      </c>
      <c r="N53" s="109">
        <f>(J53*Costos!$J$6)+(K53*Costos!$K$6)</f>
        <v>0</v>
      </c>
      <c r="O53" s="109">
        <f>(J53*Costos!$J$7)+(K53*Costos!$K$7)</f>
        <v>0</v>
      </c>
      <c r="P53" s="109">
        <f>(J53*Costos!$J$8)+(K53*Costos!$K$8)</f>
        <v>0</v>
      </c>
      <c r="Q53" s="89">
        <f t="shared" si="1"/>
        <v>0</v>
      </c>
      <c r="S53" s="21"/>
      <c r="T53" s="21"/>
    </row>
    <row r="54" spans="2:20" x14ac:dyDescent="0.25">
      <c r="B54" s="79"/>
      <c r="C54" s="86"/>
      <c r="D54" s="86"/>
      <c r="E54" s="86"/>
      <c r="F54" s="86"/>
      <c r="G54" s="86"/>
      <c r="H54" s="85"/>
      <c r="I54" s="85"/>
      <c r="J54" s="111"/>
      <c r="K54" s="111"/>
      <c r="L54" s="109">
        <f>(J54*Costos!$J$4)+(K54*Costos!$K$4)</f>
        <v>0</v>
      </c>
      <c r="M54" s="109">
        <f>(J54*Costos!$J$5)+(K54*Costos!$K$5)</f>
        <v>0</v>
      </c>
      <c r="N54" s="109">
        <f>(J54*Costos!$J$6)+(K54*Costos!$K$6)</f>
        <v>0</v>
      </c>
      <c r="O54" s="109">
        <f>(J54*Costos!$J$7)+(K54*Costos!$K$7)</f>
        <v>0</v>
      </c>
      <c r="P54" s="109">
        <f>(J54*Costos!$J$8)+(K54*Costos!$K$8)</f>
        <v>0</v>
      </c>
      <c r="Q54" s="89">
        <f t="shared" si="1"/>
        <v>0</v>
      </c>
      <c r="S54" s="21"/>
      <c r="T54" s="21"/>
    </row>
    <row r="55" spans="2:20" x14ac:dyDescent="0.25">
      <c r="B55" s="79"/>
      <c r="C55" s="86"/>
      <c r="D55" s="86"/>
      <c r="E55" s="86"/>
      <c r="F55" s="86"/>
      <c r="G55" s="86"/>
      <c r="H55" s="85"/>
      <c r="I55" s="85"/>
      <c r="J55" s="111"/>
      <c r="K55" s="111"/>
      <c r="L55" s="109">
        <f>(J55*Costos!$J$4)+(K55*Costos!$K$4)</f>
        <v>0</v>
      </c>
      <c r="M55" s="109">
        <f>(J55*Costos!$J$5)+(K55*Costos!$K$5)</f>
        <v>0</v>
      </c>
      <c r="N55" s="109">
        <f>(J55*Costos!$J$6)+(K55*Costos!$K$6)</f>
        <v>0</v>
      </c>
      <c r="O55" s="109">
        <f>(J55*Costos!$J$7)+(K55*Costos!$K$7)</f>
        <v>0</v>
      </c>
      <c r="P55" s="109">
        <f>(J55*Costos!$J$8)+(K55*Costos!$K$8)</f>
        <v>0</v>
      </c>
      <c r="Q55" s="89">
        <f t="shared" si="1"/>
        <v>0</v>
      </c>
      <c r="S55" s="21"/>
      <c r="T55" s="21"/>
    </row>
    <row r="56" spans="2:20" x14ac:dyDescent="0.25">
      <c r="B56" s="79"/>
      <c r="C56" s="86"/>
      <c r="D56" s="86"/>
      <c r="E56" s="86"/>
      <c r="F56" s="86"/>
      <c r="G56" s="86"/>
      <c r="H56" s="85"/>
      <c r="I56" s="85"/>
      <c r="J56" s="111"/>
      <c r="K56" s="111"/>
      <c r="L56" s="109">
        <f>(J56*Costos!$J$4)+(K56*Costos!$K$4)</f>
        <v>0</v>
      </c>
      <c r="M56" s="109">
        <f>(J56*Costos!$J$5)+(K56*Costos!$K$5)</f>
        <v>0</v>
      </c>
      <c r="N56" s="109">
        <f>(J56*Costos!$J$6)+(K56*Costos!$K$6)</f>
        <v>0</v>
      </c>
      <c r="O56" s="109">
        <f>(J56*Costos!$J$7)+(K56*Costos!$K$7)</f>
        <v>0</v>
      </c>
      <c r="P56" s="109">
        <f>(J56*Costos!$J$8)+(K56*Costos!$K$8)</f>
        <v>0</v>
      </c>
      <c r="Q56" s="89">
        <f t="shared" si="1"/>
        <v>0</v>
      </c>
      <c r="S56" s="21"/>
      <c r="T56" s="21"/>
    </row>
    <row r="57" spans="2:20" x14ac:dyDescent="0.25">
      <c r="B57" s="79"/>
      <c r="C57" s="86"/>
      <c r="D57" s="86"/>
      <c r="E57" s="86"/>
      <c r="F57" s="86"/>
      <c r="G57" s="86"/>
      <c r="H57" s="85"/>
      <c r="I57" s="85"/>
      <c r="J57" s="111"/>
      <c r="K57" s="111"/>
      <c r="L57" s="109">
        <f>(J57*Costos!$J$4)+(K57*Costos!$K$4)</f>
        <v>0</v>
      </c>
      <c r="M57" s="109">
        <f>(J57*Costos!$J$5)+(K57*Costos!$K$5)</f>
        <v>0</v>
      </c>
      <c r="N57" s="109">
        <f>(J57*Costos!$J$6)+(K57*Costos!$K$6)</f>
        <v>0</v>
      </c>
      <c r="O57" s="109">
        <f>(J57*Costos!$J$7)+(K57*Costos!$K$7)</f>
        <v>0</v>
      </c>
      <c r="P57" s="109">
        <f>(J57*Costos!$J$8)+(K57*Costos!$K$8)</f>
        <v>0</v>
      </c>
      <c r="Q57" s="89">
        <f t="shared" si="1"/>
        <v>0</v>
      </c>
      <c r="S57" s="21"/>
      <c r="T57" s="21"/>
    </row>
    <row r="58" spans="2:20" x14ac:dyDescent="0.25">
      <c r="B58" s="79"/>
      <c r="C58" s="86"/>
      <c r="D58" s="86"/>
      <c r="E58" s="86"/>
      <c r="F58" s="86"/>
      <c r="G58" s="86"/>
      <c r="H58" s="85"/>
      <c r="I58" s="85"/>
      <c r="J58" s="111"/>
      <c r="K58" s="111"/>
      <c r="L58" s="109">
        <f>(J58*Costos!$J$4)+(K58*Costos!$K$4)</f>
        <v>0</v>
      </c>
      <c r="M58" s="109">
        <f>(J58*Costos!$J$5)+(K58*Costos!$K$5)</f>
        <v>0</v>
      </c>
      <c r="N58" s="109">
        <f>(J58*Costos!$J$6)+(K58*Costos!$K$6)</f>
        <v>0</v>
      </c>
      <c r="O58" s="109">
        <f>(J58*Costos!$J$7)+(K58*Costos!$K$7)</f>
        <v>0</v>
      </c>
      <c r="P58" s="109">
        <f>(J58*Costos!$J$8)+(K58*Costos!$K$8)</f>
        <v>0</v>
      </c>
      <c r="Q58" s="89">
        <f t="shared" si="1"/>
        <v>0</v>
      </c>
      <c r="S58" s="21"/>
      <c r="T58" s="21"/>
    </row>
    <row r="59" spans="2:20" x14ac:dyDescent="0.25">
      <c r="B59" s="79"/>
      <c r="C59" s="86"/>
      <c r="D59" s="86"/>
      <c r="E59" s="86"/>
      <c r="F59" s="86"/>
      <c r="G59" s="86"/>
      <c r="H59" s="85"/>
      <c r="I59" s="85"/>
      <c r="J59" s="111"/>
      <c r="K59" s="111"/>
      <c r="L59" s="109">
        <f>(J59*Costos!$J$4)+(K59*Costos!$K$4)</f>
        <v>0</v>
      </c>
      <c r="M59" s="109">
        <f>(J59*Costos!$J$5)+(K59*Costos!$K$5)</f>
        <v>0</v>
      </c>
      <c r="N59" s="109">
        <f>(J59*Costos!$J$6)+(K59*Costos!$K$6)</f>
        <v>0</v>
      </c>
      <c r="O59" s="109">
        <f>(J59*Costos!$J$7)+(K59*Costos!$K$7)</f>
        <v>0</v>
      </c>
      <c r="P59" s="109">
        <f>(J59*Costos!$J$8)+(K59*Costos!$K$8)</f>
        <v>0</v>
      </c>
      <c r="Q59" s="89">
        <f t="shared" si="1"/>
        <v>0</v>
      </c>
      <c r="S59" s="21"/>
      <c r="T59" s="21"/>
    </row>
    <row r="60" spans="2:20" x14ac:dyDescent="0.25">
      <c r="B60" s="79"/>
      <c r="C60" s="86"/>
      <c r="D60" s="86"/>
      <c r="E60" s="86"/>
      <c r="F60" s="86"/>
      <c r="G60" s="86"/>
      <c r="H60" s="85"/>
      <c r="I60" s="85"/>
      <c r="J60" s="111"/>
      <c r="K60" s="111"/>
      <c r="L60" s="109">
        <f>(J60*Costos!$J$4)+(K60*Costos!$K$4)</f>
        <v>0</v>
      </c>
      <c r="M60" s="109">
        <f>(J60*Costos!$J$5)+(K60*Costos!$K$5)</f>
        <v>0</v>
      </c>
      <c r="N60" s="109">
        <f>(J60*Costos!$J$6)+(K60*Costos!$K$6)</f>
        <v>0</v>
      </c>
      <c r="O60" s="109">
        <f>(J60*Costos!$J$7)+(K60*Costos!$K$7)</f>
        <v>0</v>
      </c>
      <c r="P60" s="109">
        <f>(J60*Costos!$J$8)+(K60*Costos!$K$8)</f>
        <v>0</v>
      </c>
      <c r="Q60" s="89">
        <f t="shared" si="1"/>
        <v>0</v>
      </c>
      <c r="S60" s="21"/>
      <c r="T60" s="21"/>
    </row>
    <row r="61" spans="2:20" x14ac:dyDescent="0.25">
      <c r="B61" s="79"/>
      <c r="C61" s="86"/>
      <c r="D61" s="86"/>
      <c r="E61" s="86"/>
      <c r="F61" s="86"/>
      <c r="G61" s="86"/>
      <c r="H61" s="85"/>
      <c r="I61" s="85"/>
      <c r="J61" s="111"/>
      <c r="K61" s="111"/>
      <c r="L61" s="109">
        <f>(J61*Costos!$J$4)+(K61*Costos!$K$4)</f>
        <v>0</v>
      </c>
      <c r="M61" s="109">
        <f>(J61*Costos!$J$5)+(K61*Costos!$K$5)</f>
        <v>0</v>
      </c>
      <c r="N61" s="109">
        <f>(J61*Costos!$J$6)+(K61*Costos!$K$6)</f>
        <v>0</v>
      </c>
      <c r="O61" s="109">
        <f>(J61*Costos!$J$7)+(K61*Costos!$K$7)</f>
        <v>0</v>
      </c>
      <c r="P61" s="109">
        <f>(J61*Costos!$J$8)+(K61*Costos!$K$8)</f>
        <v>0</v>
      </c>
      <c r="Q61" s="89">
        <f t="shared" si="1"/>
        <v>0</v>
      </c>
      <c r="S61" s="21"/>
      <c r="T61" s="21"/>
    </row>
    <row r="62" spans="2:20" x14ac:dyDescent="0.25">
      <c r="B62" s="79"/>
      <c r="C62" s="86"/>
      <c r="D62" s="86"/>
      <c r="E62" s="86"/>
      <c r="F62" s="86"/>
      <c r="G62" s="86"/>
      <c r="H62" s="85"/>
      <c r="I62" s="85"/>
      <c r="J62" s="111"/>
      <c r="K62" s="111"/>
      <c r="L62" s="109">
        <f>(J62*Costos!$J$4)+(K62*Costos!$K$4)</f>
        <v>0</v>
      </c>
      <c r="M62" s="109">
        <f>(J62*Costos!$J$5)+(K62*Costos!$K$5)</f>
        <v>0</v>
      </c>
      <c r="N62" s="109">
        <f>(J62*Costos!$J$6)+(K62*Costos!$K$6)</f>
        <v>0</v>
      </c>
      <c r="O62" s="109">
        <f>(J62*Costos!$J$7)+(K62*Costos!$K$7)</f>
        <v>0</v>
      </c>
      <c r="P62" s="109">
        <f>(J62*Costos!$J$8)+(K62*Costos!$K$8)</f>
        <v>0</v>
      </c>
      <c r="Q62" s="89">
        <f t="shared" si="1"/>
        <v>0</v>
      </c>
      <c r="S62" s="21"/>
      <c r="T62" s="21"/>
    </row>
    <row r="63" spans="2:20" x14ac:dyDescent="0.25">
      <c r="B63" s="79"/>
      <c r="C63" s="86"/>
      <c r="D63" s="86"/>
      <c r="E63" s="86"/>
      <c r="F63" s="86"/>
      <c r="G63" s="86"/>
      <c r="H63" s="85"/>
      <c r="I63" s="85"/>
      <c r="J63" s="111"/>
      <c r="K63" s="111"/>
      <c r="L63" s="109">
        <f>(J63*Costos!$J$4)+(K63*Costos!$K$4)</f>
        <v>0</v>
      </c>
      <c r="M63" s="109">
        <f>(J63*Costos!$J$5)+(K63*Costos!$K$5)</f>
        <v>0</v>
      </c>
      <c r="N63" s="109">
        <f>(J63*Costos!$J$6)+(K63*Costos!$K$6)</f>
        <v>0</v>
      </c>
      <c r="O63" s="109">
        <f>(J63*Costos!$J$7)+(K63*Costos!$K$7)</f>
        <v>0</v>
      </c>
      <c r="P63" s="109">
        <f>(J63*Costos!$J$8)+(K63*Costos!$K$8)</f>
        <v>0</v>
      </c>
      <c r="Q63" s="89">
        <f t="shared" si="1"/>
        <v>0</v>
      </c>
      <c r="S63" s="21"/>
      <c r="T63" s="21"/>
    </row>
    <row r="64" spans="2:20" x14ac:dyDescent="0.25">
      <c r="B64" s="79"/>
      <c r="C64" s="86"/>
      <c r="D64" s="86"/>
      <c r="E64" s="86"/>
      <c r="F64" s="86"/>
      <c r="G64" s="86"/>
      <c r="H64" s="85"/>
      <c r="I64" s="85"/>
      <c r="J64" s="111"/>
      <c r="K64" s="111"/>
      <c r="L64" s="109">
        <f>(J64*Costos!$J$4)+(K64*Costos!$K$4)</f>
        <v>0</v>
      </c>
      <c r="M64" s="109">
        <f>(J64*Costos!$J$5)+(K64*Costos!$K$5)</f>
        <v>0</v>
      </c>
      <c r="N64" s="109">
        <f>(J64*Costos!$J$6)+(K64*Costos!$K$6)</f>
        <v>0</v>
      </c>
      <c r="O64" s="109">
        <f>(J64*Costos!$J$7)+(K64*Costos!$K$7)</f>
        <v>0</v>
      </c>
      <c r="P64" s="109">
        <f>(J64*Costos!$J$8)+(K64*Costos!$K$8)</f>
        <v>0</v>
      </c>
      <c r="Q64" s="89">
        <f t="shared" si="1"/>
        <v>0</v>
      </c>
      <c r="S64" s="21"/>
      <c r="T64" s="21"/>
    </row>
    <row r="65" spans="2:20" x14ac:dyDescent="0.25">
      <c r="B65" s="79" t="s">
        <v>93</v>
      </c>
      <c r="C65" s="117"/>
      <c r="D65" s="117"/>
      <c r="E65" s="117"/>
      <c r="F65" s="117" t="s">
        <v>67</v>
      </c>
      <c r="G65" s="117"/>
      <c r="H65" s="118"/>
      <c r="I65" s="118"/>
      <c r="J65" s="119">
        <f>SUM(J10:J64)*0.1</f>
        <v>6.7</v>
      </c>
      <c r="K65" s="119">
        <f>SUM(K10:K64)*0.1</f>
        <v>0.5</v>
      </c>
      <c r="L65" s="109">
        <f>(J65*Costos!$J$4)+(K65*Costos!$K$4)</f>
        <v>129.53477443609023</v>
      </c>
      <c r="M65" s="109">
        <f>(J65*Costos!$J$5)+(K65*Costos!$K$5)</f>
        <v>215.89129072681703</v>
      </c>
      <c r="N65" s="109">
        <f>(J65*Costos!$J$6)+(K65*Costos!$K$6)</f>
        <v>259.06954887218046</v>
      </c>
      <c r="O65" s="109">
        <f>(J65*Costos!$J$7)+(K65*Costos!$K$7)</f>
        <v>630</v>
      </c>
      <c r="P65" s="109">
        <f>(J65*Costos!$J$8)+(K65*Costos!$K$8)</f>
        <v>900</v>
      </c>
      <c r="Q65" s="89">
        <f t="shared" si="1"/>
        <v>630</v>
      </c>
      <c r="S65" s="21"/>
      <c r="T65" s="21"/>
    </row>
    <row r="66" spans="2:20" x14ac:dyDescent="0.25">
      <c r="B66" s="91" t="s">
        <v>94</v>
      </c>
      <c r="C66" s="92"/>
      <c r="D66" s="92"/>
      <c r="E66" s="92"/>
      <c r="F66" s="92"/>
      <c r="G66" s="92"/>
      <c r="H66" s="92"/>
      <c r="I66" s="92"/>
      <c r="J66" s="96"/>
      <c r="K66" s="96"/>
      <c r="L66" s="95">
        <f>P4</f>
        <v>19.8</v>
      </c>
      <c r="M66" s="120">
        <f>Costos!J6</f>
        <v>34.774436090225564</v>
      </c>
      <c r="N66" s="120"/>
      <c r="O66" s="120"/>
      <c r="P66" s="120"/>
      <c r="Q66" s="97">
        <f>L66*M66</f>
        <v>688.53383458646613</v>
      </c>
      <c r="S66" s="21"/>
      <c r="T66" s="21"/>
    </row>
    <row r="67" spans="2:20" x14ac:dyDescent="0.25">
      <c r="B67" s="121" t="s">
        <v>10</v>
      </c>
      <c r="C67" s="122"/>
      <c r="D67" s="122"/>
      <c r="E67" s="122"/>
      <c r="F67" s="122"/>
      <c r="G67" s="122"/>
      <c r="H67" s="122"/>
      <c r="I67" s="122"/>
      <c r="J67" s="123">
        <f>SUM(J10:J66)</f>
        <v>73.7</v>
      </c>
      <c r="K67" s="123">
        <f>SUM(K10:K66)</f>
        <v>5.5</v>
      </c>
      <c r="L67" s="124"/>
      <c r="M67" s="124"/>
      <c r="N67" s="124"/>
      <c r="O67" s="124"/>
      <c r="P67" s="124"/>
      <c r="Q67" s="125"/>
      <c r="R67" s="126"/>
      <c r="S67" s="21"/>
      <c r="T67" s="21"/>
    </row>
    <row r="68" spans="2:20" x14ac:dyDescent="0.25">
      <c r="B68" s="84" t="s">
        <v>95</v>
      </c>
      <c r="C68" s="85"/>
      <c r="D68" s="85"/>
      <c r="E68" s="85"/>
      <c r="F68" s="85"/>
      <c r="G68" s="85"/>
      <c r="H68" s="86">
        <v>0</v>
      </c>
      <c r="I68" s="85"/>
      <c r="J68" s="87"/>
      <c r="K68" s="87"/>
      <c r="L68" s="88"/>
      <c r="M68" s="88"/>
      <c r="N68" s="88"/>
      <c r="O68" s="88"/>
      <c r="P68" s="88"/>
      <c r="Q68" s="89">
        <f>((40+70)+10)*H68</f>
        <v>0</v>
      </c>
      <c r="S68" s="21"/>
      <c r="T68" s="21"/>
    </row>
    <row r="69" spans="2:20" x14ac:dyDescent="0.25">
      <c r="B69" s="91" t="s">
        <v>96</v>
      </c>
      <c r="C69" s="92"/>
      <c r="D69" s="92"/>
      <c r="E69" s="92"/>
      <c r="F69" s="92"/>
      <c r="G69" s="92"/>
      <c r="H69" s="127">
        <v>0</v>
      </c>
      <c r="I69" s="92"/>
      <c r="J69" s="94"/>
      <c r="K69" s="94"/>
      <c r="L69" s="120"/>
      <c r="M69" s="120"/>
      <c r="N69" s="120"/>
      <c r="O69" s="120"/>
      <c r="P69" s="120"/>
      <c r="Q69" s="97">
        <f>H69*200</f>
        <v>0</v>
      </c>
      <c r="S69" s="128"/>
      <c r="T69" s="21"/>
    </row>
    <row r="70" spans="2:20" x14ac:dyDescent="0.25">
      <c r="B70" s="129"/>
      <c r="C70" s="130"/>
      <c r="D70" s="130"/>
      <c r="E70" s="130"/>
      <c r="F70" s="130"/>
      <c r="G70" s="130"/>
      <c r="H70" s="131"/>
      <c r="I70" s="130"/>
      <c r="J70" s="132"/>
      <c r="K70" s="132"/>
      <c r="L70" s="133"/>
      <c r="M70" s="133"/>
      <c r="N70" s="133"/>
      <c r="O70" s="133"/>
      <c r="P70" s="133"/>
      <c r="Q70" s="134"/>
      <c r="R70" s="135">
        <f>SUM(Q4:Q69)</f>
        <v>5433.338639567668</v>
      </c>
      <c r="S70" s="128" t="s">
        <v>97</v>
      </c>
      <c r="T70" s="21"/>
    </row>
    <row r="71" spans="2:20" x14ac:dyDescent="0.25">
      <c r="B71" s="136" t="s">
        <v>98</v>
      </c>
      <c r="C71" s="107"/>
      <c r="D71" s="107"/>
      <c r="E71" s="107"/>
      <c r="F71" s="107"/>
      <c r="G71" s="107"/>
      <c r="H71" s="106">
        <v>4</v>
      </c>
      <c r="I71" s="106">
        <v>3</v>
      </c>
      <c r="J71" s="80"/>
      <c r="K71" s="80"/>
      <c r="L71" s="109"/>
      <c r="M71" s="109"/>
      <c r="N71" s="109"/>
      <c r="O71" s="109"/>
      <c r="P71" s="109"/>
      <c r="Q71" s="110">
        <f>Costos!K5*(H71*I71)*3</f>
        <v>1564.8496240601501</v>
      </c>
      <c r="S71" s="128"/>
      <c r="T71" s="21"/>
    </row>
    <row r="72" spans="2:20" x14ac:dyDescent="0.25">
      <c r="B72" s="84" t="s">
        <v>99</v>
      </c>
      <c r="C72" s="85"/>
      <c r="D72" s="85"/>
      <c r="E72" s="85"/>
      <c r="F72" s="85"/>
      <c r="G72" s="85"/>
      <c r="H72" s="86">
        <v>20</v>
      </c>
      <c r="I72" s="85"/>
      <c r="J72" s="87"/>
      <c r="K72" s="87"/>
      <c r="L72" s="88">
        <v>40</v>
      </c>
      <c r="M72" s="88"/>
      <c r="N72" s="88"/>
      <c r="O72" s="88"/>
      <c r="P72" s="88"/>
      <c r="Q72" s="89">
        <f>L72*H72</f>
        <v>800</v>
      </c>
      <c r="S72" s="128"/>
      <c r="T72" s="21"/>
    </row>
    <row r="73" spans="2:20" x14ac:dyDescent="0.25">
      <c r="B73" s="84" t="s">
        <v>100</v>
      </c>
      <c r="C73" s="85"/>
      <c r="D73" s="85"/>
      <c r="E73" s="85"/>
      <c r="F73" s="85"/>
      <c r="G73" s="85"/>
      <c r="H73" s="86">
        <v>14</v>
      </c>
      <c r="I73" s="85"/>
      <c r="J73" s="87"/>
      <c r="K73" s="87"/>
      <c r="L73" s="88">
        <v>50</v>
      </c>
      <c r="M73" s="88"/>
      <c r="N73" s="88"/>
      <c r="O73" s="88"/>
      <c r="P73" s="88"/>
      <c r="Q73" s="89">
        <f>L73*H73</f>
        <v>700</v>
      </c>
      <c r="S73" s="48"/>
      <c r="T73" s="21"/>
    </row>
    <row r="74" spans="2:20" x14ac:dyDescent="0.25">
      <c r="B74" s="137" t="s">
        <v>101</v>
      </c>
      <c r="C74" s="118"/>
      <c r="D74" s="118"/>
      <c r="E74" s="118"/>
      <c r="F74" s="118"/>
      <c r="G74" s="118"/>
      <c r="H74" s="117">
        <v>6</v>
      </c>
      <c r="I74" s="117">
        <v>4</v>
      </c>
      <c r="J74" s="138"/>
      <c r="K74" s="138"/>
      <c r="L74" s="139"/>
      <c r="M74" s="139"/>
      <c r="N74" s="139"/>
      <c r="O74" s="139"/>
      <c r="P74" s="139"/>
      <c r="Q74" s="140">
        <f>H74*I74*Costos!K5</f>
        <v>1043.2330827067667</v>
      </c>
      <c r="S74" s="128"/>
      <c r="T74" s="21"/>
    </row>
    <row r="75" spans="2:20" x14ac:dyDescent="0.25">
      <c r="B75" s="141" t="s">
        <v>102</v>
      </c>
      <c r="C75" s="142"/>
      <c r="D75" s="142"/>
      <c r="E75" s="142"/>
      <c r="F75" s="142"/>
      <c r="G75" s="142"/>
      <c r="H75" s="143">
        <v>0</v>
      </c>
      <c r="I75" s="144"/>
      <c r="J75" s="145"/>
      <c r="K75" s="145"/>
      <c r="L75" s="146">
        <v>20</v>
      </c>
      <c r="M75" s="147"/>
      <c r="N75" s="147"/>
      <c r="O75" s="147"/>
      <c r="P75" s="147"/>
      <c r="Q75" s="148">
        <f>H75*L75</f>
        <v>0</v>
      </c>
      <c r="R75" s="48">
        <f>SUM(Q71:Q75)</f>
        <v>4108.0827067669161</v>
      </c>
      <c r="S75" s="128" t="s">
        <v>103</v>
      </c>
      <c r="T75" s="21"/>
    </row>
    <row r="76" spans="2:20" x14ac:dyDescent="0.25">
      <c r="B76" s="136" t="s">
        <v>104</v>
      </c>
      <c r="C76" s="107"/>
      <c r="D76" s="107"/>
      <c r="E76" s="107"/>
      <c r="F76" s="107"/>
      <c r="G76" s="107"/>
      <c r="H76" s="106">
        <v>16</v>
      </c>
      <c r="I76" s="107"/>
      <c r="J76" s="80"/>
      <c r="K76" s="80"/>
      <c r="L76" s="109">
        <v>70</v>
      </c>
      <c r="M76" s="109"/>
      <c r="N76" s="109"/>
      <c r="O76" s="109"/>
      <c r="P76" s="109"/>
      <c r="Q76" s="110">
        <f>H76*L76</f>
        <v>1120</v>
      </c>
      <c r="S76" s="128"/>
      <c r="T76" s="21"/>
    </row>
    <row r="77" spans="2:20" x14ac:dyDescent="0.25">
      <c r="B77" s="149"/>
      <c r="C77" s="150"/>
      <c r="D77" s="150"/>
      <c r="E77" s="150"/>
      <c r="F77" s="150"/>
      <c r="G77" s="150"/>
      <c r="H77" s="150"/>
      <c r="I77" s="150"/>
      <c r="J77" s="150"/>
      <c r="K77" s="150"/>
      <c r="L77" s="150"/>
      <c r="M77" s="150"/>
      <c r="N77" s="150"/>
      <c r="O77" s="150"/>
      <c r="P77" s="150"/>
      <c r="Q77" s="151"/>
      <c r="R77" s="48">
        <f>SUM(Q76:Q76)</f>
        <v>1120</v>
      </c>
      <c r="S77" s="128" t="s">
        <v>105</v>
      </c>
    </row>
    <row r="78" spans="2:20" x14ac:dyDescent="0.25">
      <c r="B78" s="128"/>
      <c r="C78" s="128"/>
      <c r="D78" s="128"/>
      <c r="E78" s="128"/>
      <c r="F78" s="128"/>
      <c r="G78" s="128"/>
      <c r="H78" s="128"/>
      <c r="I78" s="128"/>
      <c r="J78" s="152"/>
      <c r="K78" s="152"/>
      <c r="L78" s="48"/>
      <c r="M78" s="48"/>
      <c r="N78" s="48"/>
      <c r="O78" s="48"/>
      <c r="P78" s="48"/>
      <c r="Q78" s="48"/>
      <c r="R78" s="153"/>
    </row>
    <row r="79" spans="2:20" x14ac:dyDescent="0.25">
      <c r="B79" s="128"/>
      <c r="C79" s="128"/>
      <c r="D79" s="128"/>
      <c r="E79" s="128"/>
      <c r="F79" s="128"/>
      <c r="G79" s="128"/>
      <c r="H79" s="128"/>
      <c r="I79" s="128"/>
      <c r="J79" s="152"/>
      <c r="K79" s="152"/>
      <c r="L79" s="48"/>
      <c r="M79" s="48"/>
      <c r="N79" s="48"/>
      <c r="O79" s="48"/>
      <c r="P79" s="48"/>
      <c r="Q79" s="48"/>
    </row>
    <row r="80" spans="2:20" x14ac:dyDescent="0.25">
      <c r="R80" s="135">
        <f>SUM(R70:R77)</f>
        <v>10661.421346334584</v>
      </c>
      <c r="S80" s="128" t="s">
        <v>18</v>
      </c>
    </row>
    <row r="82" spans="2:19" hidden="1" x14ac:dyDescent="0.25">
      <c r="Q82" s="21"/>
      <c r="R82">
        <v>40000</v>
      </c>
      <c r="S82" s="21" t="s">
        <v>106</v>
      </c>
    </row>
    <row r="83" spans="2:19" hidden="1" x14ac:dyDescent="0.25">
      <c r="Q83" s="21"/>
      <c r="R83" s="154">
        <f>R80/R82</f>
        <v>0.26653553365836458</v>
      </c>
      <c r="S83" s="21" t="s">
        <v>107</v>
      </c>
    </row>
    <row r="84" spans="2:19" x14ac:dyDescent="0.25">
      <c r="Q84" s="21"/>
    </row>
    <row r="86" spans="2:19" x14ac:dyDescent="0.25">
      <c r="B86" s="853" t="s">
        <v>14</v>
      </c>
      <c r="C86" s="853"/>
      <c r="D86" s="853"/>
      <c r="E86" s="853"/>
      <c r="F86" s="853"/>
      <c r="G86" s="853"/>
      <c r="H86" s="853"/>
      <c r="I86" s="853"/>
      <c r="J86" s="155" t="s">
        <v>108</v>
      </c>
      <c r="K86" s="155" t="s">
        <v>109</v>
      </c>
      <c r="L86" s="156"/>
      <c r="M86" s="156"/>
      <c r="N86" s="156"/>
      <c r="O86" s="156"/>
      <c r="P86" s="156"/>
      <c r="Q86" s="157" t="s">
        <v>15</v>
      </c>
    </row>
    <row r="87" spans="2:19" x14ac:dyDescent="0.25">
      <c r="B87" s="854" t="s">
        <v>110</v>
      </c>
      <c r="C87" s="854"/>
      <c r="D87" s="854"/>
      <c r="E87" s="854"/>
      <c r="F87" s="854"/>
      <c r="G87" s="854"/>
      <c r="H87" s="854"/>
      <c r="I87" s="854"/>
      <c r="J87" s="158">
        <f>J67</f>
        <v>73.7</v>
      </c>
      <c r="K87" s="158">
        <f>K67</f>
        <v>5.5</v>
      </c>
      <c r="L87" s="159"/>
      <c r="M87" s="159"/>
      <c r="N87" s="159"/>
      <c r="O87" s="159"/>
      <c r="P87" s="159"/>
      <c r="Q87" s="160">
        <f>R70</f>
        <v>5433.338639567668</v>
      </c>
    </row>
    <row r="88" spans="2:19" x14ac:dyDescent="0.25">
      <c r="B88" s="161" t="s">
        <v>17</v>
      </c>
      <c r="C88" s="162"/>
      <c r="D88" s="162"/>
      <c r="E88" s="162"/>
      <c r="F88" s="162"/>
      <c r="G88" s="162"/>
      <c r="H88" s="162"/>
      <c r="I88" s="163"/>
      <c r="J88" s="164"/>
      <c r="K88" s="165"/>
      <c r="L88" s="166"/>
      <c r="M88" s="166"/>
      <c r="N88" s="166"/>
      <c r="O88" s="166"/>
      <c r="P88" s="166"/>
      <c r="Q88" s="167"/>
    </row>
    <row r="89" spans="2:19" x14ac:dyDescent="0.25">
      <c r="B89" s="168" t="str">
        <f>B71</f>
        <v>Mantenimiento Correctivo (Gestión Directa SONDA en Smartnet o Carepack)</v>
      </c>
      <c r="C89" s="169"/>
      <c r="D89" s="169"/>
      <c r="E89" s="169"/>
      <c r="F89" s="169"/>
      <c r="G89" s="169"/>
      <c r="H89" s="169"/>
      <c r="I89" s="170"/>
      <c r="J89" s="158" t="s">
        <v>111</v>
      </c>
      <c r="K89" s="171" t="s">
        <v>111</v>
      </c>
      <c r="L89" s="159"/>
      <c r="M89" s="159"/>
      <c r="N89" s="159"/>
      <c r="O89" s="159"/>
      <c r="P89" s="159"/>
      <c r="Q89" s="160">
        <f>Q71</f>
        <v>1564.8496240601501</v>
      </c>
    </row>
    <row r="90" spans="2:19" x14ac:dyDescent="0.25">
      <c r="B90" s="855" t="str">
        <f>B74</f>
        <v xml:space="preserve">Mantenimiento Preventivo: 1 visita anual por 3 años </v>
      </c>
      <c r="C90" s="855"/>
      <c r="D90" s="855"/>
      <c r="E90" s="855"/>
      <c r="F90" s="855"/>
      <c r="G90" s="855"/>
      <c r="H90" s="855"/>
      <c r="I90" s="855"/>
      <c r="J90" s="171" t="s">
        <v>111</v>
      </c>
      <c r="K90" s="171" t="s">
        <v>111</v>
      </c>
      <c r="L90" s="159"/>
      <c r="M90" s="159"/>
      <c r="N90" s="159"/>
      <c r="O90" s="159"/>
      <c r="P90" s="159"/>
      <c r="Q90" s="160">
        <f>Q74</f>
        <v>1043.2330827067667</v>
      </c>
    </row>
    <row r="91" spans="2:19" x14ac:dyDescent="0.25">
      <c r="B91" s="168" t="str">
        <f>B72</f>
        <v>Bolsa de Horas de Soporte N1</v>
      </c>
      <c r="C91" s="169"/>
      <c r="D91" s="169"/>
      <c r="E91" s="169"/>
      <c r="F91" s="169"/>
      <c r="G91" s="169"/>
      <c r="H91" s="169"/>
      <c r="I91" s="170"/>
      <c r="J91" s="158">
        <f>H71</f>
        <v>4</v>
      </c>
      <c r="K91" s="171"/>
      <c r="L91" s="159"/>
      <c r="M91" s="159"/>
      <c r="N91" s="159"/>
      <c r="O91" s="159"/>
      <c r="P91" s="159"/>
      <c r="Q91" s="160">
        <f>Q72</f>
        <v>800</v>
      </c>
    </row>
    <row r="92" spans="2:19" x14ac:dyDescent="0.25">
      <c r="B92" s="168" t="str">
        <f>B73</f>
        <v>Bolsa de Horas de Soporte N2 y N3</v>
      </c>
      <c r="C92" s="169"/>
      <c r="D92" s="169"/>
      <c r="E92" s="169"/>
      <c r="F92" s="169"/>
      <c r="G92" s="169"/>
      <c r="H92" s="169"/>
      <c r="I92" s="170"/>
      <c r="J92" s="158">
        <f>H72</f>
        <v>20</v>
      </c>
      <c r="K92" s="171"/>
      <c r="L92" s="159"/>
      <c r="M92" s="159"/>
      <c r="N92" s="159"/>
      <c r="O92" s="159"/>
      <c r="P92" s="159"/>
      <c r="Q92" s="160">
        <f>Q73</f>
        <v>700</v>
      </c>
    </row>
    <row r="93" spans="2:19" x14ac:dyDescent="0.25">
      <c r="B93" s="856" t="str">
        <f>B76</f>
        <v>Taller</v>
      </c>
      <c r="C93" s="856"/>
      <c r="D93" s="856"/>
      <c r="E93" s="856"/>
      <c r="F93" s="856"/>
      <c r="G93" s="856"/>
      <c r="H93" s="856"/>
      <c r="I93" s="856"/>
      <c r="J93" s="172">
        <f>H76</f>
        <v>16</v>
      </c>
      <c r="K93" s="173"/>
      <c r="L93" s="174"/>
      <c r="M93" s="174"/>
      <c r="N93" s="174"/>
      <c r="O93" s="174"/>
      <c r="P93" s="174"/>
      <c r="Q93" s="175">
        <f>Q76</f>
        <v>1120</v>
      </c>
    </row>
    <row r="94" spans="2:19" ht="13.8" x14ac:dyDescent="0.25">
      <c r="B94" s="44"/>
      <c r="C94" s="44"/>
      <c r="D94" s="44"/>
      <c r="E94" s="44"/>
      <c r="F94" s="44"/>
      <c r="G94" s="44"/>
      <c r="H94" s="44"/>
      <c r="I94" s="44"/>
      <c r="J94" s="45"/>
      <c r="K94" s="176" t="s">
        <v>18</v>
      </c>
      <c r="L94" s="177">
        <f>SUM(L86:L93)</f>
        <v>0</v>
      </c>
      <c r="M94" s="178"/>
      <c r="N94" s="178"/>
      <c r="O94" s="178"/>
      <c r="P94" s="178"/>
      <c r="Q94" s="179">
        <f>SUM(Q87:Q93)</f>
        <v>10661.421346334584</v>
      </c>
    </row>
    <row r="95" spans="2:19" ht="13.8" x14ac:dyDescent="0.25">
      <c r="B95" s="44"/>
      <c r="C95" s="44"/>
      <c r="D95" s="44"/>
      <c r="E95" s="44"/>
      <c r="F95" s="44"/>
      <c r="G95" s="44"/>
      <c r="H95" s="44"/>
      <c r="I95" s="44"/>
      <c r="J95" s="45"/>
      <c r="K95" s="180" t="s">
        <v>19</v>
      </c>
      <c r="L95" s="181">
        <f>'Detalle Servicios (2)'!Y106</f>
        <v>0</v>
      </c>
      <c r="M95" s="166"/>
      <c r="N95" s="166"/>
      <c r="O95" s="166"/>
      <c r="P95" s="166"/>
      <c r="Q95" s="182">
        <v>8241.16392857143</v>
      </c>
      <c r="S95" s="21" t="s">
        <v>112</v>
      </c>
    </row>
    <row r="96" spans="2:19" ht="13.8" x14ac:dyDescent="0.25">
      <c r="B96" s="44"/>
      <c r="C96" s="44"/>
      <c r="D96" s="44"/>
      <c r="E96" s="44"/>
      <c r="F96" s="44"/>
      <c r="G96" s="44"/>
      <c r="H96" s="44"/>
      <c r="I96" s="44"/>
      <c r="J96" s="45"/>
      <c r="K96" s="180" t="s">
        <v>20</v>
      </c>
      <c r="L96" s="181">
        <f>L94-L95</f>
        <v>0</v>
      </c>
      <c r="M96" s="166"/>
      <c r="N96" s="166"/>
      <c r="O96" s="166"/>
      <c r="P96" s="166"/>
      <c r="Q96" s="183">
        <f>$Q$94-$Q$95</f>
        <v>2420.2574177631541</v>
      </c>
    </row>
    <row r="97" spans="2:19" ht="13.8" x14ac:dyDescent="0.25">
      <c r="K97" s="180" t="s">
        <v>21</v>
      </c>
      <c r="L97" s="184">
        <f>Costos!R12</f>
        <v>0</v>
      </c>
      <c r="M97" s="55"/>
      <c r="N97" s="55"/>
      <c r="O97" s="55"/>
      <c r="P97" s="55"/>
      <c r="Q97" s="185">
        <f>Costos!J2</f>
        <v>0.2</v>
      </c>
    </row>
    <row r="98" spans="2:19" ht="13.8" x14ac:dyDescent="0.25">
      <c r="K98" s="180" t="s">
        <v>22</v>
      </c>
      <c r="L98" s="186">
        <f>SUM(J70+K70)/8</f>
        <v>0</v>
      </c>
      <c r="M98" s="55"/>
      <c r="N98" s="55"/>
      <c r="O98" s="55"/>
      <c r="P98" s="55"/>
      <c r="Q98" s="187">
        <v>9</v>
      </c>
      <c r="S98" s="21" t="s">
        <v>113</v>
      </c>
    </row>
    <row r="99" spans="2:19" ht="13.8" x14ac:dyDescent="0.25">
      <c r="B99" s="128" t="s">
        <v>114</v>
      </c>
      <c r="K99" s="180" t="s">
        <v>115</v>
      </c>
      <c r="L99" s="55"/>
      <c r="M99" s="55"/>
      <c r="N99" s="55"/>
      <c r="O99" s="55"/>
      <c r="P99" s="55"/>
      <c r="Q99" s="188">
        <v>40000</v>
      </c>
      <c r="S99" s="21" t="s">
        <v>116</v>
      </c>
    </row>
    <row r="100" spans="2:19" ht="26.4" x14ac:dyDescent="0.25">
      <c r="B100" s="189" t="s">
        <v>117</v>
      </c>
      <c r="K100" s="190" t="s">
        <v>118</v>
      </c>
      <c r="L100" s="191"/>
      <c r="M100" s="191"/>
      <c r="N100" s="191"/>
      <c r="O100" s="191"/>
      <c r="P100" s="191"/>
      <c r="Q100" s="192">
        <f>Q94/Q99</f>
        <v>0.26653553365836458</v>
      </c>
      <c r="S100" s="21" t="s">
        <v>119</v>
      </c>
    </row>
    <row r="101" spans="2:19" ht="26.4" x14ac:dyDescent="0.25">
      <c r="B101" s="189" t="s">
        <v>120</v>
      </c>
    </row>
    <row r="102" spans="2:19" ht="26.4" x14ac:dyDescent="0.25">
      <c r="B102" s="193" t="s">
        <v>121</v>
      </c>
    </row>
    <row r="103" spans="2:19" ht="26.4" x14ac:dyDescent="0.25">
      <c r="B103" s="193" t="s">
        <v>122</v>
      </c>
    </row>
    <row r="104" spans="2:19" x14ac:dyDescent="0.25">
      <c r="B104" s="193" t="s">
        <v>123</v>
      </c>
    </row>
    <row r="105" spans="2:19" ht="26.4" x14ac:dyDescent="0.25">
      <c r="B105" s="193" t="s">
        <v>124</v>
      </c>
    </row>
    <row r="106" spans="2:19" x14ac:dyDescent="0.25">
      <c r="B106" s="193" t="s">
        <v>125</v>
      </c>
    </row>
    <row r="107" spans="2:19" x14ac:dyDescent="0.25">
      <c r="B107" s="193" t="s">
        <v>126</v>
      </c>
    </row>
    <row r="108" spans="2:19" ht="26.4" x14ac:dyDescent="0.25">
      <c r="B108" s="193" t="s">
        <v>127</v>
      </c>
    </row>
    <row r="109" spans="2:19" x14ac:dyDescent="0.25">
      <c r="B109" s="193" t="s">
        <v>128</v>
      </c>
    </row>
    <row r="110" spans="2:19" x14ac:dyDescent="0.25">
      <c r="B110" s="193" t="s">
        <v>129</v>
      </c>
    </row>
    <row r="111" spans="2:19" x14ac:dyDescent="0.25">
      <c r="B111" s="193"/>
    </row>
  </sheetData>
  <mergeCells count="5">
    <mergeCell ref="B2:Q2"/>
    <mergeCell ref="B86:I86"/>
    <mergeCell ref="B87:I87"/>
    <mergeCell ref="B90:I90"/>
    <mergeCell ref="B93:I93"/>
  </mergeCells>
  <dataValidations count="2">
    <dataValidation type="list" operator="equal" allowBlank="1" showInputMessage="1" showErrorMessage="1" sqref="B4" xr:uid="{00000000-0002-0000-0300-000000000000}">
      <formula1>PMS</formula1>
      <formula2>0</formula2>
    </dataValidation>
    <dataValidation type="list" operator="equal" allowBlank="1" showInputMessage="1" showErrorMessage="1" sqref="I5:I6 I9" xr:uid="{00000000-0002-0000-0300-000001000000}">
      <formula1>Transp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2"/>
  <dimension ref="A2:H87"/>
  <sheetViews>
    <sheetView zoomScaleNormal="100" workbookViewId="0">
      <selection activeCell="A6" sqref="A6"/>
    </sheetView>
  </sheetViews>
  <sheetFormatPr baseColWidth="10" defaultColWidth="10.6640625" defaultRowHeight="13.2" x14ac:dyDescent="0.25"/>
  <cols>
    <col min="3" max="3" width="23.6640625" customWidth="1"/>
    <col min="4" max="4" width="18.44140625" customWidth="1"/>
    <col min="5" max="5" width="20.6640625" customWidth="1"/>
    <col min="6" max="6" width="15.6640625" customWidth="1"/>
    <col min="8" max="8" width="26.33203125" customWidth="1"/>
    <col min="11" max="11" width="17.33203125" customWidth="1"/>
    <col min="12" max="12" width="13" customWidth="1"/>
  </cols>
  <sheetData>
    <row r="2" spans="1:8" ht="13.8" x14ac:dyDescent="0.25">
      <c r="B2" s="21" t="s">
        <v>204</v>
      </c>
      <c r="D2" s="359"/>
      <c r="E2" s="359"/>
      <c r="F2" s="359"/>
      <c r="G2" s="359"/>
    </row>
    <row r="3" spans="1:8" ht="13.8" x14ac:dyDescent="0.25">
      <c r="A3" s="21" t="s">
        <v>205</v>
      </c>
      <c r="B3" s="21" t="s">
        <v>206</v>
      </c>
      <c r="C3" s="21" t="s">
        <v>207</v>
      </c>
      <c r="D3" s="360" t="s">
        <v>208</v>
      </c>
      <c r="E3" s="360"/>
      <c r="F3" s="361"/>
      <c r="G3" s="362"/>
      <c r="H3" s="363"/>
    </row>
    <row r="4" spans="1:8" ht="13.8" x14ac:dyDescent="0.25">
      <c r="A4" s="364" t="s">
        <v>209</v>
      </c>
      <c r="B4" s="360"/>
      <c r="C4" s="360"/>
      <c r="D4" s="360">
        <v>16</v>
      </c>
      <c r="E4" s="360"/>
      <c r="F4" s="361"/>
      <c r="G4" s="362"/>
    </row>
    <row r="5" spans="1:8" x14ac:dyDescent="0.25">
      <c r="A5" s="364" t="s">
        <v>210</v>
      </c>
      <c r="B5" s="365"/>
      <c r="C5" s="365"/>
      <c r="D5" s="365"/>
      <c r="E5" s="365"/>
      <c r="F5" s="365"/>
      <c r="G5" s="365"/>
    </row>
    <row r="6" spans="1:8" x14ac:dyDescent="0.25">
      <c r="A6" s="21" t="s">
        <v>211</v>
      </c>
      <c r="B6" s="366"/>
      <c r="C6" s="366"/>
      <c r="D6" s="367"/>
      <c r="E6" s="366"/>
      <c r="F6" s="366"/>
      <c r="G6" s="366"/>
    </row>
    <row r="7" spans="1:8" x14ac:dyDescent="0.25">
      <c r="A7" s="21" t="s">
        <v>212</v>
      </c>
      <c r="B7" s="368"/>
      <c r="C7" s="368"/>
      <c r="D7" s="367"/>
      <c r="E7" s="368"/>
      <c r="F7" s="368"/>
      <c r="G7" s="366"/>
    </row>
    <row r="8" spans="1:8" x14ac:dyDescent="0.25">
      <c r="A8" s="21" t="s">
        <v>213</v>
      </c>
      <c r="B8" s="367"/>
      <c r="C8" s="367"/>
      <c r="D8" s="367"/>
      <c r="E8" s="367"/>
      <c r="F8" s="367"/>
      <c r="G8" s="366"/>
    </row>
    <row r="9" spans="1:8" x14ac:dyDescent="0.25">
      <c r="A9" s="21" t="s">
        <v>214</v>
      </c>
      <c r="B9" s="369"/>
      <c r="C9" s="369"/>
      <c r="D9" s="367"/>
      <c r="E9" s="369"/>
      <c r="F9" s="369"/>
      <c r="G9" s="366"/>
    </row>
    <row r="10" spans="1:8" x14ac:dyDescent="0.25">
      <c r="A10" s="21" t="s">
        <v>215</v>
      </c>
      <c r="B10" s="367"/>
      <c r="C10" s="367"/>
      <c r="D10" s="367"/>
      <c r="E10" s="367"/>
      <c r="F10" s="367"/>
      <c r="G10" s="366"/>
    </row>
    <row r="11" spans="1:8" x14ac:dyDescent="0.25">
      <c r="A11" s="21" t="s">
        <v>216</v>
      </c>
      <c r="B11" s="366"/>
      <c r="C11" s="366"/>
      <c r="D11" s="367"/>
      <c r="E11" s="366"/>
      <c r="F11" s="366"/>
      <c r="G11" s="366"/>
    </row>
    <row r="12" spans="1:8" x14ac:dyDescent="0.25">
      <c r="A12" s="21" t="s">
        <v>217</v>
      </c>
      <c r="B12" s="368"/>
      <c r="C12" s="368"/>
      <c r="D12" s="367"/>
      <c r="E12" s="368"/>
      <c r="F12" s="368"/>
      <c r="G12" s="366"/>
    </row>
    <row r="13" spans="1:8" x14ac:dyDescent="0.25">
      <c r="A13" s="21" t="s">
        <v>218</v>
      </c>
      <c r="B13" s="367"/>
      <c r="C13" s="367"/>
      <c r="D13" s="367"/>
      <c r="E13" s="367"/>
      <c r="F13" s="367"/>
      <c r="G13" s="366"/>
    </row>
    <row r="14" spans="1:8" x14ac:dyDescent="0.25">
      <c r="A14" s="21" t="s">
        <v>219</v>
      </c>
      <c r="B14" s="369"/>
      <c r="C14" s="369"/>
      <c r="D14" s="367"/>
      <c r="E14" s="369"/>
      <c r="F14" s="369"/>
      <c r="G14" s="370"/>
    </row>
    <row r="15" spans="1:8" x14ac:dyDescent="0.25">
      <c r="A15" s="21" t="s">
        <v>220</v>
      </c>
      <c r="B15" s="366"/>
      <c r="C15" s="366"/>
      <c r="D15" s="367"/>
      <c r="E15" s="366"/>
      <c r="F15" s="366"/>
      <c r="G15" s="369"/>
    </row>
    <row r="16" spans="1:8" x14ac:dyDescent="0.25">
      <c r="A16" s="21" t="s">
        <v>221</v>
      </c>
      <c r="B16" s="368"/>
      <c r="C16" s="368"/>
      <c r="D16" s="367"/>
      <c r="E16" s="368"/>
      <c r="F16" s="368"/>
      <c r="G16" s="369"/>
    </row>
    <row r="17" spans="1:8" x14ac:dyDescent="0.25">
      <c r="A17" s="21" t="s">
        <v>222</v>
      </c>
      <c r="B17" s="367"/>
      <c r="C17" s="367"/>
      <c r="D17" s="367"/>
      <c r="E17" s="367"/>
      <c r="F17" s="367"/>
      <c r="G17" s="369"/>
    </row>
    <row r="18" spans="1:8" x14ac:dyDescent="0.25">
      <c r="A18" s="21" t="s">
        <v>223</v>
      </c>
      <c r="B18" s="369"/>
      <c r="C18" s="369"/>
      <c r="D18" s="367"/>
      <c r="E18" s="369"/>
      <c r="F18" s="369"/>
      <c r="G18" s="369"/>
    </row>
    <row r="19" spans="1:8" x14ac:dyDescent="0.25">
      <c r="A19" s="21" t="s">
        <v>224</v>
      </c>
      <c r="B19" s="857"/>
      <c r="C19" s="857"/>
      <c r="D19" s="367"/>
      <c r="E19" s="857"/>
      <c r="F19" s="857"/>
      <c r="G19" s="369"/>
    </row>
    <row r="20" spans="1:8" x14ac:dyDescent="0.25">
      <c r="A20" s="21" t="s">
        <v>225</v>
      </c>
      <c r="B20" s="857"/>
      <c r="C20" s="857"/>
      <c r="D20" s="367"/>
      <c r="E20" s="857"/>
      <c r="F20" s="857"/>
      <c r="G20" s="369"/>
    </row>
    <row r="21" spans="1:8" x14ac:dyDescent="0.25">
      <c r="A21" s="21" t="s">
        <v>226</v>
      </c>
      <c r="B21" s="366"/>
      <c r="C21" s="366"/>
      <c r="D21" s="367"/>
      <c r="E21" s="366"/>
      <c r="F21" s="366"/>
      <c r="G21" s="371"/>
    </row>
    <row r="22" spans="1:8" x14ac:dyDescent="0.25">
      <c r="A22" s="21" t="s">
        <v>227</v>
      </c>
      <c r="B22" s="367"/>
      <c r="C22" s="367"/>
      <c r="D22" s="367"/>
      <c r="E22" s="367"/>
      <c r="F22" s="367"/>
      <c r="G22" s="372"/>
    </row>
    <row r="23" spans="1:8" x14ac:dyDescent="0.25">
      <c r="A23" s="21" t="s">
        <v>228</v>
      </c>
      <c r="B23" s="369"/>
      <c r="C23" s="369"/>
      <c r="D23" s="367"/>
      <c r="E23" s="369"/>
      <c r="F23" s="369"/>
      <c r="G23" s="369"/>
    </row>
    <row r="24" spans="1:8" x14ac:dyDescent="0.25">
      <c r="A24" s="21" t="s">
        <v>229</v>
      </c>
      <c r="B24" s="369"/>
      <c r="C24" s="369"/>
      <c r="D24" s="367"/>
      <c r="E24" s="369"/>
      <c r="F24" s="369"/>
      <c r="G24" s="369"/>
    </row>
    <row r="25" spans="1:8" ht="13.8" x14ac:dyDescent="0.25">
      <c r="A25" s="21" t="s">
        <v>230</v>
      </c>
      <c r="B25" s="360"/>
      <c r="C25" s="360"/>
      <c r="D25" s="373"/>
      <c r="E25" s="373"/>
      <c r="F25" s="374"/>
      <c r="G25" s="362"/>
    </row>
    <row r="26" spans="1:8" ht="13.8" x14ac:dyDescent="0.25">
      <c r="A26" s="21" t="s">
        <v>231</v>
      </c>
      <c r="B26" s="360"/>
      <c r="C26" s="360"/>
      <c r="D26" s="373"/>
      <c r="E26" s="373"/>
      <c r="F26" s="374"/>
      <c r="G26" s="362"/>
    </row>
    <row r="27" spans="1:8" ht="13.8" x14ac:dyDescent="0.25">
      <c r="A27" s="21" t="s">
        <v>232</v>
      </c>
      <c r="B27" s="360"/>
      <c r="C27" s="360"/>
      <c r="D27" s="373"/>
      <c r="E27" s="373"/>
      <c r="F27" s="374"/>
      <c r="H27" s="362"/>
    </row>
    <row r="28" spans="1:8" ht="13.8" x14ac:dyDescent="0.25">
      <c r="A28" s="21" t="s">
        <v>233</v>
      </c>
      <c r="B28" s="360"/>
      <c r="C28" s="360"/>
      <c r="D28" s="373"/>
      <c r="E28" s="373"/>
      <c r="F28" s="374"/>
      <c r="G28" s="362"/>
    </row>
    <row r="29" spans="1:8" ht="13.8" x14ac:dyDescent="0.25">
      <c r="A29" s="21" t="s">
        <v>234</v>
      </c>
      <c r="B29" s="360"/>
      <c r="C29" s="360"/>
      <c r="D29" s="373"/>
      <c r="E29" s="373"/>
      <c r="F29" s="374"/>
      <c r="G29" s="362"/>
    </row>
    <row r="30" spans="1:8" ht="13.8" x14ac:dyDescent="0.25">
      <c r="A30" s="21" t="s">
        <v>235</v>
      </c>
      <c r="B30" s="360"/>
      <c r="C30" s="360"/>
      <c r="D30" s="373"/>
      <c r="E30" s="373"/>
      <c r="F30" s="374"/>
      <c r="G30" s="362"/>
    </row>
    <row r="31" spans="1:8" ht="13.8" x14ac:dyDescent="0.25">
      <c r="A31" s="21" t="s">
        <v>236</v>
      </c>
      <c r="B31" s="360"/>
      <c r="C31" s="373"/>
      <c r="D31" s="373"/>
      <c r="E31" s="373"/>
      <c r="F31" s="374"/>
      <c r="G31" s="362"/>
    </row>
    <row r="32" spans="1:8" ht="13.8" x14ac:dyDescent="0.25">
      <c r="A32" s="21" t="s">
        <v>237</v>
      </c>
      <c r="B32" s="360"/>
      <c r="C32" s="373"/>
      <c r="D32" s="373"/>
      <c r="E32" s="373"/>
      <c r="F32" s="374"/>
      <c r="G32" s="362"/>
    </row>
    <row r="33" spans="1:7" ht="13.8" x14ac:dyDescent="0.25">
      <c r="A33" s="21" t="s">
        <v>238</v>
      </c>
      <c r="B33" s="360"/>
      <c r="C33" s="373"/>
      <c r="D33" s="373"/>
      <c r="E33" s="373"/>
      <c r="F33" s="374"/>
      <c r="G33" s="362"/>
    </row>
    <row r="34" spans="1:7" ht="13.8" x14ac:dyDescent="0.25">
      <c r="A34" s="21" t="s">
        <v>239</v>
      </c>
      <c r="B34" s="360"/>
      <c r="C34" s="373"/>
      <c r="D34" s="373"/>
      <c r="E34" s="373"/>
      <c r="F34" s="374"/>
      <c r="G34" s="362"/>
    </row>
    <row r="35" spans="1:7" ht="13.8" x14ac:dyDescent="0.25">
      <c r="A35" s="21" t="s">
        <v>240</v>
      </c>
      <c r="B35" s="360"/>
      <c r="C35" s="373"/>
      <c r="D35" s="373"/>
      <c r="E35" s="373"/>
      <c r="F35" s="374"/>
      <c r="G35" s="362"/>
    </row>
    <row r="36" spans="1:7" ht="13.8" x14ac:dyDescent="0.25">
      <c r="A36" s="21" t="s">
        <v>237</v>
      </c>
      <c r="B36" s="360"/>
      <c r="C36" s="373"/>
      <c r="D36" s="373"/>
      <c r="E36" s="373"/>
      <c r="F36" s="374"/>
      <c r="G36" s="362"/>
    </row>
    <row r="37" spans="1:7" ht="13.8" x14ac:dyDescent="0.25">
      <c r="A37" s="21" t="s">
        <v>241</v>
      </c>
      <c r="B37" s="360"/>
      <c r="C37" s="373"/>
      <c r="D37" s="373"/>
      <c r="E37" s="373"/>
      <c r="F37" s="374"/>
      <c r="G37" s="362"/>
    </row>
    <row r="38" spans="1:7" ht="13.8" x14ac:dyDescent="0.25">
      <c r="A38" s="21" t="s">
        <v>242</v>
      </c>
      <c r="B38" s="360"/>
      <c r="C38" s="373"/>
      <c r="D38" s="373"/>
      <c r="E38" s="373"/>
      <c r="F38" s="374"/>
      <c r="G38" s="362"/>
    </row>
    <row r="39" spans="1:7" ht="13.8" x14ac:dyDescent="0.25">
      <c r="A39" s="21" t="s">
        <v>243</v>
      </c>
      <c r="B39" s="360"/>
      <c r="C39" s="373"/>
      <c r="D39" s="373"/>
      <c r="E39" s="373"/>
      <c r="F39" s="374"/>
      <c r="G39" s="362"/>
    </row>
    <row r="40" spans="1:7" ht="13.8" x14ac:dyDescent="0.25">
      <c r="A40" s="21" t="s">
        <v>244</v>
      </c>
      <c r="B40" s="360"/>
      <c r="C40" s="373"/>
      <c r="D40" s="373"/>
      <c r="E40" s="373"/>
      <c r="F40" s="374"/>
      <c r="G40" s="362"/>
    </row>
    <row r="41" spans="1:7" ht="13.8" x14ac:dyDescent="0.25">
      <c r="A41" s="21" t="s">
        <v>245</v>
      </c>
      <c r="B41" s="360"/>
      <c r="C41" s="373"/>
      <c r="D41" s="373"/>
      <c r="E41" s="373"/>
      <c r="F41" s="374"/>
      <c r="G41" s="362"/>
    </row>
    <row r="42" spans="1:7" ht="13.8" x14ac:dyDescent="0.25">
      <c r="A42" s="21" t="s">
        <v>246</v>
      </c>
      <c r="B42" s="360"/>
      <c r="C42" s="373"/>
      <c r="D42" s="373"/>
      <c r="E42" s="373"/>
      <c r="F42" s="374"/>
      <c r="G42" s="362"/>
    </row>
    <row r="43" spans="1:7" ht="13.8" x14ac:dyDescent="0.25">
      <c r="A43" s="21" t="s">
        <v>247</v>
      </c>
      <c r="B43" s="360"/>
      <c r="C43" s="373"/>
      <c r="D43" s="373"/>
      <c r="E43" s="373"/>
      <c r="F43" s="374"/>
      <c r="G43" s="362"/>
    </row>
    <row r="44" spans="1:7" ht="13.8" x14ac:dyDescent="0.25">
      <c r="A44" s="21" t="s">
        <v>248</v>
      </c>
      <c r="B44" s="360"/>
      <c r="C44" s="373"/>
      <c r="D44" s="373"/>
      <c r="E44" s="373"/>
      <c r="F44" s="374"/>
      <c r="G44" s="362"/>
    </row>
    <row r="45" spans="1:7" ht="13.8" x14ac:dyDescent="0.25">
      <c r="A45" s="21" t="s">
        <v>249</v>
      </c>
      <c r="B45" s="360"/>
      <c r="C45" s="373"/>
      <c r="D45" s="373"/>
      <c r="E45" s="373"/>
      <c r="F45" s="374"/>
      <c r="G45" s="362"/>
    </row>
    <row r="46" spans="1:7" ht="13.8" x14ac:dyDescent="0.25">
      <c r="A46" s="21" t="s">
        <v>250</v>
      </c>
      <c r="B46" s="360"/>
      <c r="C46" s="373"/>
      <c r="D46" s="373"/>
      <c r="E46" s="373"/>
      <c r="F46" s="374"/>
      <c r="G46" s="362"/>
    </row>
    <row r="47" spans="1:7" ht="13.8" x14ac:dyDescent="0.25">
      <c r="A47" s="21"/>
      <c r="B47" s="360"/>
      <c r="C47" s="373"/>
      <c r="D47" s="373"/>
      <c r="E47" s="373"/>
      <c r="F47" s="374"/>
      <c r="G47" s="362"/>
    </row>
    <row r="48" spans="1:7" ht="13.8" x14ac:dyDescent="0.25">
      <c r="A48" s="21"/>
      <c r="B48" s="360"/>
      <c r="C48" s="373"/>
      <c r="D48" s="373"/>
      <c r="E48" s="373"/>
      <c r="F48" s="374"/>
      <c r="G48" s="362"/>
    </row>
    <row r="49" spans="1:7" ht="13.8" x14ac:dyDescent="0.25">
      <c r="A49" s="21"/>
      <c r="B49" s="360"/>
      <c r="C49" s="373"/>
      <c r="D49" s="373"/>
      <c r="E49" s="373"/>
      <c r="F49" s="374"/>
      <c r="G49" s="362"/>
    </row>
    <row r="50" spans="1:7" ht="13.8" x14ac:dyDescent="0.25">
      <c r="A50" s="21"/>
      <c r="B50" s="360"/>
      <c r="C50" s="373"/>
      <c r="D50" s="373"/>
      <c r="E50" s="373"/>
      <c r="F50" s="374"/>
      <c r="G50" s="362"/>
    </row>
    <row r="51" spans="1:7" ht="13.8" x14ac:dyDescent="0.25">
      <c r="A51" s="21"/>
      <c r="B51" s="360"/>
      <c r="C51" s="373"/>
      <c r="D51" s="373"/>
      <c r="E51" s="373"/>
      <c r="F51" s="374"/>
      <c r="G51" s="362"/>
    </row>
    <row r="52" spans="1:7" ht="13.8" x14ac:dyDescent="0.25">
      <c r="A52" s="21"/>
      <c r="B52" s="360"/>
      <c r="C52" s="373"/>
      <c r="D52" s="373"/>
      <c r="E52" s="373"/>
      <c r="F52" s="374"/>
      <c r="G52" s="362"/>
    </row>
    <row r="53" spans="1:7" ht="13.8" x14ac:dyDescent="0.25">
      <c r="A53" s="21"/>
      <c r="B53" s="360"/>
      <c r="C53" s="373"/>
      <c r="D53" s="373"/>
      <c r="E53" s="373"/>
      <c r="F53" s="374"/>
      <c r="G53" s="362"/>
    </row>
    <row r="54" spans="1:7" ht="13.8" x14ac:dyDescent="0.25">
      <c r="A54" s="21"/>
      <c r="B54" s="360"/>
      <c r="C54" s="373"/>
      <c r="D54" s="373"/>
      <c r="E54" s="373"/>
      <c r="F54" s="374"/>
      <c r="G54" s="362"/>
    </row>
    <row r="55" spans="1:7" ht="13.8" x14ac:dyDescent="0.25">
      <c r="A55" s="21"/>
      <c r="B55" s="360"/>
      <c r="C55" s="373"/>
      <c r="D55" s="373"/>
      <c r="E55" s="373"/>
      <c r="F55" s="374"/>
      <c r="G55" s="362"/>
    </row>
    <row r="56" spans="1:7" ht="13.8" x14ac:dyDescent="0.25">
      <c r="A56" s="21"/>
      <c r="B56" s="360"/>
      <c r="C56" s="373"/>
      <c r="D56" s="373"/>
      <c r="E56" s="373"/>
      <c r="F56" s="374"/>
      <c r="G56" s="362"/>
    </row>
    <row r="57" spans="1:7" ht="13.8" x14ac:dyDescent="0.25">
      <c r="A57" s="21"/>
      <c r="B57" s="360"/>
      <c r="C57" s="373"/>
      <c r="D57" s="373"/>
      <c r="E57" s="373"/>
      <c r="F57" s="374"/>
      <c r="G57" s="362"/>
    </row>
    <row r="58" spans="1:7" ht="13.8" x14ac:dyDescent="0.25">
      <c r="A58" s="21"/>
      <c r="B58" s="360"/>
      <c r="C58" s="373"/>
      <c r="D58" s="373"/>
      <c r="E58" s="373"/>
      <c r="F58" s="374"/>
      <c r="G58" s="362"/>
    </row>
    <row r="59" spans="1:7" ht="13.8" x14ac:dyDescent="0.25">
      <c r="A59" s="21"/>
      <c r="B59" s="360"/>
      <c r="C59" s="373"/>
      <c r="D59" s="373"/>
      <c r="E59" s="373"/>
      <c r="F59" s="374"/>
      <c r="G59" s="362"/>
    </row>
    <row r="60" spans="1:7" ht="13.8" x14ac:dyDescent="0.25">
      <c r="A60" s="21"/>
      <c r="B60" s="360"/>
      <c r="C60" s="373"/>
      <c r="D60" s="373"/>
      <c r="E60" s="373"/>
      <c r="F60" s="374"/>
      <c r="G60" s="362"/>
    </row>
    <row r="61" spans="1:7" ht="13.8" x14ac:dyDescent="0.25">
      <c r="A61" s="21"/>
      <c r="B61" s="360"/>
      <c r="C61" s="373"/>
      <c r="D61" s="373"/>
      <c r="E61" s="373"/>
      <c r="F61" s="374"/>
      <c r="G61" s="362"/>
    </row>
    <row r="62" spans="1:7" ht="13.8" x14ac:dyDescent="0.25">
      <c r="A62" s="21"/>
      <c r="B62" s="360"/>
      <c r="C62" s="373"/>
      <c r="D62" s="373"/>
      <c r="E62" s="373"/>
      <c r="F62" s="374"/>
      <c r="G62" s="362"/>
    </row>
    <row r="63" spans="1:7" ht="13.8" x14ac:dyDescent="0.25">
      <c r="A63" s="21"/>
      <c r="B63" s="360"/>
      <c r="C63" s="373"/>
      <c r="D63" s="373"/>
      <c r="E63" s="373"/>
      <c r="F63" s="374"/>
      <c r="G63" s="362"/>
    </row>
    <row r="64" spans="1:7" ht="13.8" x14ac:dyDescent="0.25">
      <c r="A64" s="21"/>
      <c r="B64" s="360"/>
      <c r="C64" s="373"/>
      <c r="D64" s="373"/>
      <c r="E64" s="373"/>
      <c r="F64" s="374"/>
      <c r="G64" s="362"/>
    </row>
    <row r="65" spans="1:7" ht="13.8" x14ac:dyDescent="0.25">
      <c r="A65" s="21"/>
      <c r="B65" s="360"/>
      <c r="C65" s="373"/>
      <c r="D65" s="373"/>
      <c r="E65" s="373"/>
      <c r="F65" s="374"/>
      <c r="G65" s="362"/>
    </row>
    <row r="66" spans="1:7" ht="13.8" x14ac:dyDescent="0.25">
      <c r="A66" s="21"/>
      <c r="B66" s="360"/>
      <c r="C66" s="373"/>
      <c r="D66" s="373"/>
      <c r="E66" s="373"/>
      <c r="F66" s="374"/>
      <c r="G66" s="362"/>
    </row>
    <row r="67" spans="1:7" ht="13.8" x14ac:dyDescent="0.25">
      <c r="A67" s="21"/>
      <c r="B67" s="360"/>
      <c r="C67" s="373"/>
      <c r="D67" s="373"/>
      <c r="E67" s="373"/>
      <c r="F67" s="374"/>
      <c r="G67" s="362"/>
    </row>
    <row r="68" spans="1:7" ht="13.8" x14ac:dyDescent="0.25">
      <c r="A68" s="21"/>
      <c r="B68" s="360"/>
      <c r="C68" s="373"/>
      <c r="D68" s="373"/>
      <c r="E68" s="373"/>
      <c r="F68" s="374"/>
      <c r="G68" s="362"/>
    </row>
    <row r="69" spans="1:7" ht="13.8" x14ac:dyDescent="0.25">
      <c r="A69" s="21"/>
      <c r="B69" s="360"/>
      <c r="C69" s="373"/>
      <c r="D69" s="373"/>
      <c r="E69" s="373"/>
      <c r="F69" s="374"/>
      <c r="G69" s="362"/>
    </row>
    <row r="70" spans="1:7" ht="13.8" x14ac:dyDescent="0.25">
      <c r="A70" s="21"/>
      <c r="B70" s="360"/>
      <c r="C70" s="373"/>
      <c r="D70" s="373"/>
      <c r="E70" s="373"/>
      <c r="F70" s="374"/>
      <c r="G70" s="362"/>
    </row>
    <row r="71" spans="1:7" ht="13.8" x14ac:dyDescent="0.25">
      <c r="A71" s="21"/>
      <c r="B71" s="360"/>
      <c r="C71" s="373"/>
      <c r="D71" s="373"/>
      <c r="E71" s="373"/>
      <c r="F71" s="374"/>
      <c r="G71" s="362"/>
    </row>
    <row r="72" spans="1:7" ht="13.8" x14ac:dyDescent="0.25">
      <c r="A72" s="21"/>
      <c r="B72" s="360"/>
      <c r="C72" s="373"/>
      <c r="D72" s="373"/>
      <c r="E72" s="373"/>
      <c r="F72" s="374"/>
      <c r="G72" s="362"/>
    </row>
    <row r="73" spans="1:7" ht="13.8" x14ac:dyDescent="0.25">
      <c r="A73" s="21"/>
      <c r="B73" s="360"/>
      <c r="C73" s="373"/>
      <c r="D73" s="373"/>
      <c r="E73" s="373"/>
      <c r="F73" s="374"/>
      <c r="G73" s="362"/>
    </row>
    <row r="74" spans="1:7" ht="13.8" x14ac:dyDescent="0.25">
      <c r="A74" s="21"/>
      <c r="B74" s="360"/>
      <c r="C74" s="373"/>
      <c r="D74" s="373"/>
      <c r="E74" s="373"/>
      <c r="F74" s="374"/>
      <c r="G74" s="362"/>
    </row>
    <row r="75" spans="1:7" ht="13.8" x14ac:dyDescent="0.25">
      <c r="A75" s="21"/>
      <c r="B75" s="360"/>
      <c r="C75" s="373"/>
      <c r="D75" s="373"/>
      <c r="E75" s="373"/>
      <c r="F75" s="374"/>
      <c r="G75" s="362"/>
    </row>
    <row r="76" spans="1:7" ht="13.8" x14ac:dyDescent="0.25">
      <c r="A76" s="21"/>
      <c r="B76" s="360"/>
      <c r="C76" s="373"/>
      <c r="D76" s="373"/>
      <c r="E76" s="373"/>
      <c r="F76" s="374"/>
      <c r="G76" s="362"/>
    </row>
    <row r="77" spans="1:7" ht="13.8" x14ac:dyDescent="0.25">
      <c r="A77" s="21"/>
      <c r="B77" s="360"/>
      <c r="C77" s="373"/>
      <c r="D77" s="373"/>
      <c r="E77" s="373"/>
      <c r="F77" s="374"/>
      <c r="G77" s="362"/>
    </row>
    <row r="78" spans="1:7" ht="13.8" x14ac:dyDescent="0.25">
      <c r="A78" s="21"/>
      <c r="B78" s="360"/>
      <c r="C78" s="373"/>
      <c r="D78" s="373"/>
      <c r="E78" s="373"/>
      <c r="F78" s="374"/>
      <c r="G78" s="362"/>
    </row>
    <row r="79" spans="1:7" ht="13.8" x14ac:dyDescent="0.25">
      <c r="A79" s="21"/>
      <c r="B79" s="360"/>
      <c r="C79" s="373"/>
      <c r="D79" s="373"/>
      <c r="E79" s="373"/>
      <c r="F79" s="374"/>
      <c r="G79" s="362"/>
    </row>
    <row r="80" spans="1:7" ht="13.8" x14ac:dyDescent="0.25">
      <c r="A80" s="21"/>
      <c r="B80" s="360"/>
      <c r="C80" s="373"/>
      <c r="D80" s="373"/>
      <c r="E80" s="373"/>
      <c r="F80" s="374"/>
      <c r="G80" s="362"/>
    </row>
    <row r="81" spans="1:7" ht="13.8" x14ac:dyDescent="0.25">
      <c r="A81" s="21"/>
      <c r="B81" s="360"/>
      <c r="C81" s="373"/>
      <c r="D81" s="373"/>
      <c r="E81" s="373"/>
      <c r="F81" s="374"/>
      <c r="G81" s="362"/>
    </row>
    <row r="82" spans="1:7" ht="13.8" x14ac:dyDescent="0.25">
      <c r="A82" s="21"/>
      <c r="B82" s="360"/>
      <c r="C82" s="373"/>
      <c r="D82" s="373"/>
      <c r="E82" s="373"/>
      <c r="F82" s="374"/>
      <c r="G82" s="362"/>
    </row>
    <row r="83" spans="1:7" ht="13.8" x14ac:dyDescent="0.25">
      <c r="A83" s="21"/>
      <c r="B83" s="360"/>
      <c r="C83" s="373"/>
      <c r="D83" s="373"/>
      <c r="E83" s="373"/>
      <c r="F83" s="374"/>
      <c r="G83" s="362"/>
    </row>
    <row r="84" spans="1:7" ht="13.8" x14ac:dyDescent="0.25">
      <c r="A84" s="21"/>
      <c r="B84" s="360"/>
      <c r="C84" s="373"/>
      <c r="D84" s="373"/>
      <c r="E84" s="373"/>
      <c r="F84" s="374"/>
      <c r="G84" s="362"/>
    </row>
    <row r="85" spans="1:7" ht="13.8" x14ac:dyDescent="0.25">
      <c r="A85" s="21"/>
      <c r="B85" s="360"/>
      <c r="C85" s="373"/>
      <c r="D85" s="373"/>
      <c r="E85" s="373"/>
      <c r="F85" s="374"/>
      <c r="G85" s="362"/>
    </row>
    <row r="86" spans="1:7" ht="13.8" x14ac:dyDescent="0.25">
      <c r="A86" s="21"/>
      <c r="B86" s="360"/>
      <c r="C86" s="373"/>
      <c r="D86" s="373"/>
      <c r="E86" s="373"/>
      <c r="F86" s="374"/>
      <c r="G86" s="362"/>
    </row>
    <row r="87" spans="1:7" ht="13.8" x14ac:dyDescent="0.25">
      <c r="A87" s="21"/>
      <c r="B87" s="360"/>
      <c r="C87" s="373"/>
      <c r="D87" s="373"/>
      <c r="E87" s="373"/>
      <c r="F87" s="374"/>
      <c r="G87" s="362"/>
    </row>
  </sheetData>
  <mergeCells count="4">
    <mergeCell ref="B19:B20"/>
    <mergeCell ref="C19:C20"/>
    <mergeCell ref="E19:E20"/>
    <mergeCell ref="F19:F20"/>
  </mergeCells>
  <pageMargins left="0.7" right="0.7" top="0.75" bottom="0.75" header="0.511811023622047" footer="0.511811023622047"/>
  <pageSetup orientation="portrait" horizontalDpi="300" verticalDpi="30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3"/>
  <dimension ref="B2:G64"/>
  <sheetViews>
    <sheetView zoomScaleNormal="100" workbookViewId="0">
      <selection activeCell="F4" sqref="F4"/>
    </sheetView>
  </sheetViews>
  <sheetFormatPr baseColWidth="10" defaultColWidth="10.6640625" defaultRowHeight="13.2" x14ac:dyDescent="0.25"/>
  <cols>
    <col min="5" max="5" width="25.6640625" customWidth="1"/>
  </cols>
  <sheetData>
    <row r="2" spans="2:7" x14ac:dyDescent="0.25">
      <c r="B2" s="375" t="s">
        <v>251</v>
      </c>
      <c r="C2" s="376" t="s">
        <v>252</v>
      </c>
      <c r="D2" s="376" t="s">
        <v>253</v>
      </c>
      <c r="E2" s="376" t="s">
        <v>254</v>
      </c>
      <c r="F2" s="377" t="s">
        <v>255</v>
      </c>
      <c r="G2" s="376" t="s">
        <v>256</v>
      </c>
    </row>
    <row r="3" spans="2:7" ht="24" x14ac:dyDescent="0.25">
      <c r="B3" s="378">
        <v>1</v>
      </c>
      <c r="C3" s="379" t="s">
        <v>257</v>
      </c>
      <c r="D3" s="379" t="s">
        <v>257</v>
      </c>
      <c r="E3" s="379" t="s">
        <v>258</v>
      </c>
      <c r="F3" s="379">
        <v>1</v>
      </c>
      <c r="G3" s="379" t="s">
        <v>259</v>
      </c>
    </row>
    <row r="4" spans="2:7" ht="24" x14ac:dyDescent="0.25">
      <c r="B4" s="378">
        <v>2</v>
      </c>
      <c r="C4" s="379" t="s">
        <v>210</v>
      </c>
      <c r="D4" s="379" t="s">
        <v>210</v>
      </c>
      <c r="E4" s="379" t="s">
        <v>260</v>
      </c>
      <c r="F4" s="379">
        <v>1</v>
      </c>
      <c r="G4" s="379" t="s">
        <v>259</v>
      </c>
    </row>
    <row r="5" spans="2:7" ht="24" x14ac:dyDescent="0.25">
      <c r="B5" s="378">
        <v>3</v>
      </c>
      <c r="C5" s="379" t="s">
        <v>210</v>
      </c>
      <c r="D5" s="379" t="s">
        <v>210</v>
      </c>
      <c r="E5" s="379" t="s">
        <v>261</v>
      </c>
      <c r="F5" s="379">
        <v>1</v>
      </c>
      <c r="G5" s="379" t="s">
        <v>259</v>
      </c>
    </row>
    <row r="6" spans="2:7" ht="36" x14ac:dyDescent="0.25">
      <c r="B6" s="378">
        <v>4</v>
      </c>
      <c r="C6" s="379" t="s">
        <v>262</v>
      </c>
      <c r="D6" s="379" t="s">
        <v>262</v>
      </c>
      <c r="E6" s="379" t="s">
        <v>263</v>
      </c>
      <c r="F6" s="379">
        <v>1</v>
      </c>
      <c r="G6" s="379" t="s">
        <v>259</v>
      </c>
    </row>
    <row r="7" spans="2:7" ht="36" x14ac:dyDescent="0.25">
      <c r="B7" s="378">
        <v>5</v>
      </c>
      <c r="C7" s="379" t="s">
        <v>212</v>
      </c>
      <c r="D7" s="379" t="s">
        <v>212</v>
      </c>
      <c r="E7" s="379" t="s">
        <v>264</v>
      </c>
      <c r="F7" s="379">
        <v>1</v>
      </c>
      <c r="G7" s="379" t="s">
        <v>259</v>
      </c>
    </row>
    <row r="8" spans="2:7" ht="24" x14ac:dyDescent="0.25">
      <c r="B8" s="378">
        <v>6</v>
      </c>
      <c r="C8" s="379" t="s">
        <v>213</v>
      </c>
      <c r="D8" s="379" t="s">
        <v>213</v>
      </c>
      <c r="E8" s="379" t="s">
        <v>265</v>
      </c>
      <c r="F8" s="379">
        <v>1</v>
      </c>
      <c r="G8" s="379" t="s">
        <v>259</v>
      </c>
    </row>
    <row r="9" spans="2:7" ht="24" x14ac:dyDescent="0.25">
      <c r="B9" s="378">
        <v>7</v>
      </c>
      <c r="C9" s="379" t="s">
        <v>214</v>
      </c>
      <c r="D9" s="379" t="s">
        <v>214</v>
      </c>
      <c r="E9" s="379" t="s">
        <v>266</v>
      </c>
      <c r="F9" s="379">
        <v>1</v>
      </c>
      <c r="G9" s="379" t="s">
        <v>259</v>
      </c>
    </row>
    <row r="10" spans="2:7" x14ac:dyDescent="0.25">
      <c r="B10" s="378">
        <v>8</v>
      </c>
      <c r="C10" s="379" t="s">
        <v>215</v>
      </c>
      <c r="D10" s="379" t="s">
        <v>215</v>
      </c>
      <c r="E10" s="379" t="s">
        <v>267</v>
      </c>
      <c r="F10" s="379">
        <v>1</v>
      </c>
      <c r="G10" s="379" t="s">
        <v>259</v>
      </c>
    </row>
    <row r="11" spans="2:7" ht="24" x14ac:dyDescent="0.25">
      <c r="B11" s="378">
        <v>9</v>
      </c>
      <c r="C11" s="379" t="s">
        <v>216</v>
      </c>
      <c r="D11" s="379" t="s">
        <v>216</v>
      </c>
      <c r="E11" s="379" t="s">
        <v>268</v>
      </c>
      <c r="F11" s="379">
        <v>1</v>
      </c>
      <c r="G11" s="379" t="s">
        <v>259</v>
      </c>
    </row>
    <row r="12" spans="2:7" ht="24" x14ac:dyDescent="0.25">
      <c r="B12" s="378">
        <v>10</v>
      </c>
      <c r="C12" s="379" t="s">
        <v>217</v>
      </c>
      <c r="D12" s="379" t="s">
        <v>217</v>
      </c>
      <c r="E12" s="379" t="s">
        <v>269</v>
      </c>
      <c r="F12" s="379">
        <v>1</v>
      </c>
      <c r="G12" s="379" t="s">
        <v>259</v>
      </c>
    </row>
    <row r="13" spans="2:7" ht="36" x14ac:dyDescent="0.25">
      <c r="B13" s="378">
        <v>11</v>
      </c>
      <c r="C13" s="379" t="s">
        <v>270</v>
      </c>
      <c r="D13" s="379" t="s">
        <v>217</v>
      </c>
      <c r="E13" s="379" t="s">
        <v>271</v>
      </c>
      <c r="F13" s="379">
        <v>1</v>
      </c>
      <c r="G13" s="379" t="s">
        <v>259</v>
      </c>
    </row>
    <row r="14" spans="2:7" ht="24" x14ac:dyDescent="0.25">
      <c r="B14" s="378">
        <v>12</v>
      </c>
      <c r="C14" s="379" t="s">
        <v>272</v>
      </c>
      <c r="D14" s="379" t="s">
        <v>218</v>
      </c>
      <c r="E14" s="379" t="s">
        <v>273</v>
      </c>
      <c r="F14" s="379">
        <v>1</v>
      </c>
      <c r="G14" s="379" t="s">
        <v>259</v>
      </c>
    </row>
    <row r="15" spans="2:7" ht="24" x14ac:dyDescent="0.25">
      <c r="B15" s="378">
        <v>13</v>
      </c>
      <c r="C15" s="379" t="s">
        <v>219</v>
      </c>
      <c r="D15" s="379" t="s">
        <v>219</v>
      </c>
      <c r="E15" s="379" t="s">
        <v>274</v>
      </c>
      <c r="F15" s="379">
        <v>1</v>
      </c>
      <c r="G15" s="379" t="s">
        <v>259</v>
      </c>
    </row>
    <row r="16" spans="2:7" ht="36" x14ac:dyDescent="0.25">
      <c r="B16" s="378">
        <v>14</v>
      </c>
      <c r="C16" s="379" t="s">
        <v>220</v>
      </c>
      <c r="D16" s="379" t="s">
        <v>220</v>
      </c>
      <c r="E16" s="379" t="s">
        <v>275</v>
      </c>
      <c r="F16" s="379">
        <v>1</v>
      </c>
      <c r="G16" s="379" t="s">
        <v>259</v>
      </c>
    </row>
    <row r="17" spans="2:7" ht="36" x14ac:dyDescent="0.25">
      <c r="B17" s="378">
        <v>15</v>
      </c>
      <c r="C17" s="379" t="s">
        <v>276</v>
      </c>
      <c r="D17" s="379" t="s">
        <v>276</v>
      </c>
      <c r="E17" s="379" t="s">
        <v>277</v>
      </c>
      <c r="F17" s="379">
        <v>1</v>
      </c>
      <c r="G17" s="379" t="s">
        <v>259</v>
      </c>
    </row>
    <row r="18" spans="2:7" ht="36" x14ac:dyDescent="0.25">
      <c r="B18" s="378">
        <v>16</v>
      </c>
      <c r="C18" s="379" t="s">
        <v>222</v>
      </c>
      <c r="D18" s="379" t="s">
        <v>222</v>
      </c>
      <c r="E18" s="379" t="s">
        <v>278</v>
      </c>
      <c r="F18" s="379">
        <v>1</v>
      </c>
      <c r="G18" s="379" t="s">
        <v>259</v>
      </c>
    </row>
    <row r="19" spans="2:7" ht="24" x14ac:dyDescent="0.25">
      <c r="B19" s="378">
        <v>17</v>
      </c>
      <c r="C19" s="379" t="s">
        <v>279</v>
      </c>
      <c r="D19" s="379" t="s">
        <v>223</v>
      </c>
      <c r="E19" s="379" t="s">
        <v>280</v>
      </c>
      <c r="F19" s="379">
        <v>1</v>
      </c>
      <c r="G19" s="379" t="s">
        <v>259</v>
      </c>
    </row>
    <row r="20" spans="2:7" ht="48" x14ac:dyDescent="0.25">
      <c r="B20" s="378">
        <v>18</v>
      </c>
      <c r="C20" s="379" t="s">
        <v>224</v>
      </c>
      <c r="D20" s="379" t="s">
        <v>224</v>
      </c>
      <c r="E20" s="379" t="s">
        <v>281</v>
      </c>
      <c r="F20" s="379">
        <v>1</v>
      </c>
      <c r="G20" s="379" t="s">
        <v>259</v>
      </c>
    </row>
    <row r="21" spans="2:7" ht="36" x14ac:dyDescent="0.25">
      <c r="B21" s="378">
        <v>19</v>
      </c>
      <c r="C21" s="379" t="s">
        <v>282</v>
      </c>
      <c r="D21" s="379" t="s">
        <v>225</v>
      </c>
      <c r="E21" s="379" t="s">
        <v>283</v>
      </c>
      <c r="F21" s="379">
        <v>1</v>
      </c>
      <c r="G21" s="379" t="s">
        <v>259</v>
      </c>
    </row>
    <row r="22" spans="2:7" ht="24" x14ac:dyDescent="0.25">
      <c r="B22" s="378">
        <v>20</v>
      </c>
      <c r="C22" s="379" t="s">
        <v>226</v>
      </c>
      <c r="D22" s="379" t="s">
        <v>226</v>
      </c>
      <c r="E22" s="379" t="s">
        <v>284</v>
      </c>
      <c r="F22" s="379">
        <v>1</v>
      </c>
      <c r="G22" s="379" t="s">
        <v>259</v>
      </c>
    </row>
    <row r="23" spans="2:7" ht="24" x14ac:dyDescent="0.25">
      <c r="B23" s="378">
        <v>21</v>
      </c>
      <c r="C23" s="379" t="s">
        <v>227</v>
      </c>
      <c r="D23" s="379" t="s">
        <v>227</v>
      </c>
      <c r="E23" s="379" t="s">
        <v>285</v>
      </c>
      <c r="F23" s="379">
        <v>1</v>
      </c>
      <c r="G23" s="379" t="s">
        <v>259</v>
      </c>
    </row>
    <row r="24" spans="2:7" ht="24" x14ac:dyDescent="0.25">
      <c r="B24" s="378">
        <v>22</v>
      </c>
      <c r="C24" s="379" t="s">
        <v>286</v>
      </c>
      <c r="D24" s="379" t="s">
        <v>286</v>
      </c>
      <c r="E24" s="379" t="s">
        <v>287</v>
      </c>
      <c r="F24" s="379">
        <v>1</v>
      </c>
      <c r="G24" s="379" t="s">
        <v>259</v>
      </c>
    </row>
    <row r="25" spans="2:7" ht="24" x14ac:dyDescent="0.25">
      <c r="B25" s="378">
        <v>23</v>
      </c>
      <c r="C25" s="379" t="s">
        <v>229</v>
      </c>
      <c r="D25" s="379" t="s">
        <v>229</v>
      </c>
      <c r="E25" s="379" t="s">
        <v>288</v>
      </c>
      <c r="F25" s="379">
        <v>1</v>
      </c>
      <c r="G25" s="379" t="s">
        <v>259</v>
      </c>
    </row>
    <row r="26" spans="2:7" ht="48" x14ac:dyDescent="0.25">
      <c r="B26" s="378">
        <v>24</v>
      </c>
      <c r="C26" s="379" t="s">
        <v>289</v>
      </c>
      <c r="D26" s="379" t="s">
        <v>289</v>
      </c>
      <c r="E26" s="379" t="s">
        <v>290</v>
      </c>
      <c r="F26" s="379">
        <v>1</v>
      </c>
      <c r="G26" s="379" t="s">
        <v>259</v>
      </c>
    </row>
    <row r="27" spans="2:7" ht="24" x14ac:dyDescent="0.25">
      <c r="B27" s="378">
        <v>25</v>
      </c>
      <c r="C27" s="379" t="s">
        <v>230</v>
      </c>
      <c r="D27" s="379" t="s">
        <v>230</v>
      </c>
      <c r="E27" s="379" t="s">
        <v>291</v>
      </c>
      <c r="F27" s="379">
        <v>1</v>
      </c>
      <c r="G27" s="379" t="s">
        <v>259</v>
      </c>
    </row>
    <row r="28" spans="2:7" ht="48" x14ac:dyDescent="0.25">
      <c r="B28" s="378">
        <v>26</v>
      </c>
      <c r="C28" s="379" t="s">
        <v>292</v>
      </c>
      <c r="D28" s="379" t="s">
        <v>292</v>
      </c>
      <c r="E28" s="379" t="s">
        <v>293</v>
      </c>
      <c r="F28" s="379">
        <v>1</v>
      </c>
      <c r="G28" s="379" t="s">
        <v>259</v>
      </c>
    </row>
    <row r="29" spans="2:7" ht="24" x14ac:dyDescent="0.25">
      <c r="B29" s="378">
        <v>27</v>
      </c>
      <c r="C29" s="379" t="s">
        <v>232</v>
      </c>
      <c r="D29" s="379" t="s">
        <v>232</v>
      </c>
      <c r="E29" s="379" t="s">
        <v>294</v>
      </c>
      <c r="F29" s="379">
        <v>1</v>
      </c>
      <c r="G29" s="379" t="s">
        <v>259</v>
      </c>
    </row>
    <row r="30" spans="2:7" ht="24" x14ac:dyDescent="0.25">
      <c r="B30" s="378">
        <v>28</v>
      </c>
      <c r="C30" s="379" t="s">
        <v>233</v>
      </c>
      <c r="D30" s="379" t="s">
        <v>233</v>
      </c>
      <c r="E30" s="379" t="s">
        <v>295</v>
      </c>
      <c r="F30" s="379">
        <v>1</v>
      </c>
      <c r="G30" s="379" t="s">
        <v>259</v>
      </c>
    </row>
    <row r="31" spans="2:7" ht="24" x14ac:dyDescent="0.25">
      <c r="B31" s="378">
        <v>29</v>
      </c>
      <c r="C31" s="379" t="s">
        <v>296</v>
      </c>
      <c r="D31" s="379" t="s">
        <v>234</v>
      </c>
      <c r="E31" s="379" t="s">
        <v>297</v>
      </c>
      <c r="F31" s="379">
        <v>1</v>
      </c>
      <c r="G31" s="379" t="s">
        <v>259</v>
      </c>
    </row>
    <row r="32" spans="2:7" ht="24" x14ac:dyDescent="0.25">
      <c r="B32" s="378">
        <v>30</v>
      </c>
      <c r="C32" s="379" t="s">
        <v>235</v>
      </c>
      <c r="D32" s="379" t="s">
        <v>235</v>
      </c>
      <c r="E32" s="379" t="s">
        <v>298</v>
      </c>
      <c r="F32" s="379">
        <v>1</v>
      </c>
      <c r="G32" s="379" t="s">
        <v>259</v>
      </c>
    </row>
    <row r="33" spans="2:7" ht="24" x14ac:dyDescent="0.25">
      <c r="B33" s="378">
        <v>31</v>
      </c>
      <c r="C33" s="379" t="s">
        <v>236</v>
      </c>
      <c r="D33" s="379" t="s">
        <v>236</v>
      </c>
      <c r="E33" s="379" t="s">
        <v>299</v>
      </c>
      <c r="F33" s="379">
        <v>1</v>
      </c>
      <c r="G33" s="379" t="s">
        <v>259</v>
      </c>
    </row>
    <row r="34" spans="2:7" ht="36" x14ac:dyDescent="0.25">
      <c r="B34" s="378">
        <v>32</v>
      </c>
      <c r="C34" s="379" t="s">
        <v>300</v>
      </c>
      <c r="D34" s="379" t="s">
        <v>237</v>
      </c>
      <c r="E34" s="379" t="s">
        <v>301</v>
      </c>
      <c r="F34" s="379">
        <v>1</v>
      </c>
      <c r="G34" s="379" t="s">
        <v>259</v>
      </c>
    </row>
    <row r="35" spans="2:7" ht="24" x14ac:dyDescent="0.25">
      <c r="B35" s="378">
        <v>33</v>
      </c>
      <c r="C35" s="379" t="s">
        <v>238</v>
      </c>
      <c r="D35" s="379" t="s">
        <v>238</v>
      </c>
      <c r="E35" s="379" t="s">
        <v>302</v>
      </c>
      <c r="F35" s="379">
        <v>1</v>
      </c>
      <c r="G35" s="379" t="s">
        <v>259</v>
      </c>
    </row>
    <row r="36" spans="2:7" ht="24" x14ac:dyDescent="0.25">
      <c r="B36" s="378">
        <v>34</v>
      </c>
      <c r="C36" s="379" t="s">
        <v>239</v>
      </c>
      <c r="D36" s="379" t="s">
        <v>239</v>
      </c>
      <c r="E36" s="379" t="s">
        <v>303</v>
      </c>
      <c r="F36" s="379">
        <v>1</v>
      </c>
      <c r="G36" s="379" t="s">
        <v>259</v>
      </c>
    </row>
    <row r="37" spans="2:7" ht="24" x14ac:dyDescent="0.25">
      <c r="B37" s="378">
        <v>35</v>
      </c>
      <c r="C37" s="379" t="s">
        <v>240</v>
      </c>
      <c r="D37" s="379" t="s">
        <v>240</v>
      </c>
      <c r="E37" s="379" t="s">
        <v>304</v>
      </c>
      <c r="F37" s="379">
        <v>1</v>
      </c>
      <c r="G37" s="379" t="s">
        <v>259</v>
      </c>
    </row>
    <row r="38" spans="2:7" ht="24" x14ac:dyDescent="0.25">
      <c r="B38" s="378">
        <v>36</v>
      </c>
      <c r="C38" s="379" t="s">
        <v>237</v>
      </c>
      <c r="D38" s="379" t="s">
        <v>237</v>
      </c>
      <c r="E38" s="379" t="s">
        <v>305</v>
      </c>
      <c r="F38" s="379">
        <v>1</v>
      </c>
      <c r="G38" s="379" t="s">
        <v>259</v>
      </c>
    </row>
    <row r="39" spans="2:7" ht="36" x14ac:dyDescent="0.25">
      <c r="B39" s="378">
        <v>37</v>
      </c>
      <c r="C39" s="379" t="s">
        <v>306</v>
      </c>
      <c r="D39" s="379" t="s">
        <v>307</v>
      </c>
      <c r="E39" s="379" t="s">
        <v>308</v>
      </c>
      <c r="F39" s="379">
        <v>1</v>
      </c>
      <c r="G39" s="379" t="s">
        <v>259</v>
      </c>
    </row>
    <row r="40" spans="2:7" ht="48" x14ac:dyDescent="0.25">
      <c r="B40" s="378">
        <v>38</v>
      </c>
      <c r="C40" s="379" t="s">
        <v>241</v>
      </c>
      <c r="D40" s="379" t="s">
        <v>241</v>
      </c>
      <c r="E40" s="379" t="s">
        <v>309</v>
      </c>
      <c r="F40" s="379">
        <v>1</v>
      </c>
      <c r="G40" s="379" t="s">
        <v>259</v>
      </c>
    </row>
    <row r="41" spans="2:7" ht="36" x14ac:dyDescent="0.25">
      <c r="B41" s="378">
        <v>39</v>
      </c>
      <c r="C41" s="379" t="s">
        <v>310</v>
      </c>
      <c r="D41" s="379" t="s">
        <v>307</v>
      </c>
      <c r="E41" s="379" t="s">
        <v>311</v>
      </c>
      <c r="F41" s="379">
        <v>1</v>
      </c>
      <c r="G41" s="379" t="s">
        <v>259</v>
      </c>
    </row>
    <row r="42" spans="2:7" ht="36" x14ac:dyDescent="0.25">
      <c r="B42" s="378">
        <v>40</v>
      </c>
      <c r="C42" s="379" t="s">
        <v>312</v>
      </c>
      <c r="D42" s="379" t="s">
        <v>307</v>
      </c>
      <c r="E42" s="379" t="s">
        <v>313</v>
      </c>
      <c r="F42" s="379">
        <v>1</v>
      </c>
      <c r="G42" s="379" t="s">
        <v>259</v>
      </c>
    </row>
    <row r="43" spans="2:7" ht="24" x14ac:dyDescent="0.25">
      <c r="B43" s="378">
        <v>41</v>
      </c>
      <c r="C43" s="379" t="s">
        <v>314</v>
      </c>
      <c r="D43" s="379" t="s">
        <v>314</v>
      </c>
      <c r="E43" s="379" t="s">
        <v>315</v>
      </c>
      <c r="F43" s="379">
        <v>1</v>
      </c>
      <c r="G43" s="379" t="s">
        <v>259</v>
      </c>
    </row>
    <row r="44" spans="2:7" ht="48" x14ac:dyDescent="0.25">
      <c r="B44" s="378">
        <v>42</v>
      </c>
      <c r="C44" s="379" t="s">
        <v>316</v>
      </c>
      <c r="D44" s="379" t="s">
        <v>307</v>
      </c>
      <c r="E44" s="379" t="s">
        <v>317</v>
      </c>
      <c r="F44" s="379">
        <v>1</v>
      </c>
      <c r="G44" s="379" t="s">
        <v>318</v>
      </c>
    </row>
    <row r="45" spans="2:7" ht="48" x14ac:dyDescent="0.25">
      <c r="B45" s="378">
        <v>43</v>
      </c>
      <c r="C45" s="379" t="s">
        <v>319</v>
      </c>
      <c r="D45" s="379" t="s">
        <v>307</v>
      </c>
      <c r="E45" s="379" t="s">
        <v>317</v>
      </c>
      <c r="F45" s="379">
        <v>1</v>
      </c>
      <c r="G45" s="379" t="s">
        <v>318</v>
      </c>
    </row>
    <row r="46" spans="2:7" ht="36" x14ac:dyDescent="0.25">
      <c r="B46" s="378">
        <v>44</v>
      </c>
      <c r="C46" s="379" t="s">
        <v>320</v>
      </c>
      <c r="D46" s="379" t="s">
        <v>243</v>
      </c>
      <c r="E46" s="379" t="s">
        <v>321</v>
      </c>
      <c r="F46" s="379">
        <v>1</v>
      </c>
      <c r="G46" s="379" t="s">
        <v>259</v>
      </c>
    </row>
    <row r="47" spans="2:7" ht="24" x14ac:dyDescent="0.25">
      <c r="B47" s="378">
        <v>45</v>
      </c>
      <c r="C47" s="379" t="s">
        <v>322</v>
      </c>
      <c r="D47" s="379" t="s">
        <v>323</v>
      </c>
      <c r="E47" s="379" t="s">
        <v>324</v>
      </c>
      <c r="F47" s="379">
        <v>1</v>
      </c>
      <c r="G47" s="379" t="s">
        <v>259</v>
      </c>
    </row>
    <row r="48" spans="2:7" ht="24" x14ac:dyDescent="0.25">
      <c r="B48" s="378">
        <v>46</v>
      </c>
      <c r="C48" s="379" t="s">
        <v>325</v>
      </c>
      <c r="D48" s="379" t="s">
        <v>323</v>
      </c>
      <c r="E48" s="379" t="s">
        <v>326</v>
      </c>
      <c r="F48" s="379">
        <v>1</v>
      </c>
      <c r="G48" s="379" t="s">
        <v>259</v>
      </c>
    </row>
    <row r="49" spans="2:7" ht="36" x14ac:dyDescent="0.25">
      <c r="B49" s="378">
        <v>47</v>
      </c>
      <c r="C49" s="379" t="s">
        <v>244</v>
      </c>
      <c r="D49" s="379" t="s">
        <v>244</v>
      </c>
      <c r="E49" s="379" t="s">
        <v>327</v>
      </c>
      <c r="F49" s="379">
        <v>1</v>
      </c>
      <c r="G49" s="379" t="s">
        <v>259</v>
      </c>
    </row>
    <row r="50" spans="2:7" ht="24" x14ac:dyDescent="0.25">
      <c r="B50" s="378">
        <v>48</v>
      </c>
      <c r="C50" s="379" t="s">
        <v>328</v>
      </c>
      <c r="D50" s="379" t="s">
        <v>323</v>
      </c>
      <c r="E50" s="379" t="s">
        <v>329</v>
      </c>
      <c r="F50" s="379">
        <v>1</v>
      </c>
      <c r="G50" s="379" t="s">
        <v>259</v>
      </c>
    </row>
    <row r="51" spans="2:7" ht="24" x14ac:dyDescent="0.25">
      <c r="B51" s="378">
        <v>49</v>
      </c>
      <c r="C51" s="379" t="s">
        <v>245</v>
      </c>
      <c r="D51" s="379" t="s">
        <v>245</v>
      </c>
      <c r="E51" s="379" t="s">
        <v>330</v>
      </c>
      <c r="F51" s="379">
        <v>1</v>
      </c>
      <c r="G51" s="379" t="s">
        <v>259</v>
      </c>
    </row>
    <row r="52" spans="2:7" ht="24" x14ac:dyDescent="0.25">
      <c r="B52" s="378">
        <v>50</v>
      </c>
      <c r="C52" s="379" t="s">
        <v>331</v>
      </c>
      <c r="D52" s="379" t="s">
        <v>323</v>
      </c>
      <c r="E52" s="379" t="s">
        <v>332</v>
      </c>
      <c r="F52" s="379">
        <v>1</v>
      </c>
      <c r="G52" s="379" t="s">
        <v>318</v>
      </c>
    </row>
    <row r="53" spans="2:7" ht="24" x14ac:dyDescent="0.25">
      <c r="B53" s="378">
        <v>51</v>
      </c>
      <c r="C53" s="379" t="s">
        <v>333</v>
      </c>
      <c r="D53" s="379" t="s">
        <v>323</v>
      </c>
      <c r="E53" s="379" t="s">
        <v>332</v>
      </c>
      <c r="F53" s="379">
        <v>1</v>
      </c>
      <c r="G53" s="379" t="s">
        <v>318</v>
      </c>
    </row>
    <row r="54" spans="2:7" ht="24" x14ac:dyDescent="0.25">
      <c r="B54" s="378">
        <v>52</v>
      </c>
      <c r="C54" s="379" t="s">
        <v>334</v>
      </c>
      <c r="D54" s="379" t="s">
        <v>323</v>
      </c>
      <c r="E54" s="379" t="s">
        <v>335</v>
      </c>
      <c r="F54" s="379">
        <v>1</v>
      </c>
      <c r="G54" s="380" t="s">
        <v>259</v>
      </c>
    </row>
    <row r="55" spans="2:7" ht="36" x14ac:dyDescent="0.25">
      <c r="B55" s="378">
        <v>53</v>
      </c>
      <c r="C55" s="379" t="s">
        <v>336</v>
      </c>
      <c r="D55" s="379" t="s">
        <v>323</v>
      </c>
      <c r="E55" s="379" t="s">
        <v>337</v>
      </c>
      <c r="F55" s="379">
        <v>1</v>
      </c>
      <c r="G55" s="379" t="s">
        <v>259</v>
      </c>
    </row>
    <row r="56" spans="2:7" ht="36" x14ac:dyDescent="0.25">
      <c r="B56" s="378">
        <v>54</v>
      </c>
      <c r="C56" s="379" t="s">
        <v>338</v>
      </c>
      <c r="D56" s="379" t="s">
        <v>323</v>
      </c>
      <c r="E56" s="379" t="s">
        <v>339</v>
      </c>
      <c r="F56" s="379">
        <v>1</v>
      </c>
      <c r="G56" s="380" t="s">
        <v>340</v>
      </c>
    </row>
    <row r="57" spans="2:7" ht="24" x14ac:dyDescent="0.25">
      <c r="B57" s="378">
        <v>55</v>
      </c>
      <c r="C57" s="379" t="s">
        <v>246</v>
      </c>
      <c r="D57" s="379" t="s">
        <v>246</v>
      </c>
      <c r="E57" s="379" t="s">
        <v>341</v>
      </c>
      <c r="F57" s="379">
        <v>1</v>
      </c>
      <c r="G57" s="379" t="s">
        <v>259</v>
      </c>
    </row>
    <row r="58" spans="2:7" ht="24" x14ac:dyDescent="0.25">
      <c r="B58" s="378">
        <v>56</v>
      </c>
      <c r="C58" s="379" t="s">
        <v>247</v>
      </c>
      <c r="D58" s="379" t="s">
        <v>247</v>
      </c>
      <c r="E58" s="379" t="s">
        <v>342</v>
      </c>
      <c r="F58" s="379">
        <v>1</v>
      </c>
      <c r="G58" s="380" t="s">
        <v>259</v>
      </c>
    </row>
    <row r="59" spans="2:7" ht="24" x14ac:dyDescent="0.25">
      <c r="B59" s="378">
        <v>57</v>
      </c>
      <c r="C59" s="379" t="s">
        <v>218</v>
      </c>
      <c r="D59" s="379" t="s">
        <v>218</v>
      </c>
      <c r="E59" s="379" t="s">
        <v>343</v>
      </c>
      <c r="F59" s="379">
        <v>1</v>
      </c>
      <c r="G59" s="379" t="s">
        <v>259</v>
      </c>
    </row>
    <row r="60" spans="2:7" ht="24" x14ac:dyDescent="0.25">
      <c r="B60" s="378">
        <v>58</v>
      </c>
      <c r="C60" s="379" t="s">
        <v>234</v>
      </c>
      <c r="D60" s="379" t="s">
        <v>234</v>
      </c>
      <c r="E60" s="379" t="s">
        <v>344</v>
      </c>
      <c r="F60" s="379">
        <v>1</v>
      </c>
      <c r="G60" s="380" t="s">
        <v>259</v>
      </c>
    </row>
    <row r="61" spans="2:7" ht="24" x14ac:dyDescent="0.25">
      <c r="B61" s="378">
        <v>59</v>
      </c>
      <c r="C61" s="379" t="s">
        <v>248</v>
      </c>
      <c r="D61" s="379" t="s">
        <v>248</v>
      </c>
      <c r="E61" s="379" t="s">
        <v>345</v>
      </c>
      <c r="F61" s="379">
        <v>1</v>
      </c>
      <c r="G61" s="379" t="s">
        <v>259</v>
      </c>
    </row>
    <row r="62" spans="2:7" ht="24" x14ac:dyDescent="0.25">
      <c r="B62" s="378">
        <v>60</v>
      </c>
      <c r="C62" s="379" t="s">
        <v>346</v>
      </c>
      <c r="D62" s="379" t="s">
        <v>346</v>
      </c>
      <c r="E62" s="379" t="s">
        <v>347</v>
      </c>
      <c r="F62" s="379">
        <v>1</v>
      </c>
      <c r="G62" s="380" t="s">
        <v>259</v>
      </c>
    </row>
    <row r="63" spans="2:7" ht="24" x14ac:dyDescent="0.25">
      <c r="B63" s="378">
        <v>61</v>
      </c>
      <c r="C63" s="379" t="s">
        <v>249</v>
      </c>
      <c r="D63" s="379" t="s">
        <v>249</v>
      </c>
      <c r="E63" s="379" t="s">
        <v>348</v>
      </c>
      <c r="F63" s="379">
        <v>1</v>
      </c>
      <c r="G63" s="379" t="s">
        <v>259</v>
      </c>
    </row>
    <row r="64" spans="2:7" ht="60" x14ac:dyDescent="0.25">
      <c r="B64" s="378">
        <v>62</v>
      </c>
      <c r="C64" s="379" t="s">
        <v>250</v>
      </c>
      <c r="D64" s="379" t="s">
        <v>250</v>
      </c>
      <c r="E64" s="379" t="s">
        <v>349</v>
      </c>
      <c r="F64" s="379">
        <v>1</v>
      </c>
      <c r="G64" s="380" t="s">
        <v>259</v>
      </c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4"/>
  <dimension ref="A4:E21"/>
  <sheetViews>
    <sheetView zoomScaleNormal="100" workbookViewId="0">
      <selection activeCell="E11" sqref="E11"/>
    </sheetView>
  </sheetViews>
  <sheetFormatPr baseColWidth="10" defaultColWidth="11.44140625" defaultRowHeight="13.2" x14ac:dyDescent="0.25"/>
  <cols>
    <col min="1" max="1" width="14.6640625" customWidth="1"/>
    <col min="4" max="4" width="14.44140625" customWidth="1"/>
    <col min="5" max="5" width="12.6640625" customWidth="1"/>
  </cols>
  <sheetData>
    <row r="4" spans="1:5" x14ac:dyDescent="0.25">
      <c r="A4" s="381"/>
      <c r="B4" s="81"/>
      <c r="C4" s="81"/>
      <c r="D4" s="382" t="s">
        <v>350</v>
      </c>
      <c r="E4" s="383" t="s">
        <v>18</v>
      </c>
    </row>
    <row r="5" spans="1:5" ht="12.75" customHeight="1" x14ac:dyDescent="0.25">
      <c r="A5" s="858" t="s">
        <v>351</v>
      </c>
      <c r="B5" s="858"/>
      <c r="C5" s="858"/>
      <c r="D5" s="108">
        <v>15</v>
      </c>
      <c r="E5" s="384">
        <f>D5*65</f>
        <v>975</v>
      </c>
    </row>
    <row r="6" spans="1:5" ht="12.75" customHeight="1" x14ac:dyDescent="0.25">
      <c r="A6" s="859" t="s">
        <v>352</v>
      </c>
      <c r="B6" s="859"/>
      <c r="C6" s="859"/>
      <c r="D6" s="385"/>
      <c r="E6" s="386"/>
    </row>
    <row r="7" spans="1:5" x14ac:dyDescent="0.25">
      <c r="A7" s="387"/>
      <c r="E7" s="388"/>
    </row>
    <row r="8" spans="1:5" x14ac:dyDescent="0.25">
      <c r="A8" s="389" t="s">
        <v>353</v>
      </c>
      <c r="B8" s="389" t="s">
        <v>354</v>
      </c>
      <c r="C8" s="389" t="s">
        <v>355</v>
      </c>
      <c r="D8" s="389" t="s">
        <v>356</v>
      </c>
      <c r="E8" s="389" t="s">
        <v>357</v>
      </c>
    </row>
    <row r="9" spans="1:5" x14ac:dyDescent="0.25">
      <c r="A9" s="390" t="s">
        <v>358</v>
      </c>
      <c r="B9" s="390" t="s">
        <v>359</v>
      </c>
      <c r="C9" s="390" t="s">
        <v>360</v>
      </c>
      <c r="D9" s="390" t="s">
        <v>361</v>
      </c>
      <c r="E9" s="390" t="s">
        <v>362</v>
      </c>
    </row>
    <row r="10" spans="1:5" x14ac:dyDescent="0.25">
      <c r="A10" s="391" t="s">
        <v>363</v>
      </c>
      <c r="B10" s="391" t="s">
        <v>364</v>
      </c>
      <c r="C10" s="391" t="s">
        <v>365</v>
      </c>
      <c r="D10" s="391" t="s">
        <v>366</v>
      </c>
      <c r="E10" s="391" t="s">
        <v>367</v>
      </c>
    </row>
    <row r="11" spans="1:5" x14ac:dyDescent="0.25">
      <c r="A11" s="391" t="s">
        <v>368</v>
      </c>
      <c r="B11" s="391" t="s">
        <v>369</v>
      </c>
      <c r="C11" s="391" t="s">
        <v>370</v>
      </c>
      <c r="D11" s="391" t="s">
        <v>371</v>
      </c>
      <c r="E11" s="391" t="s">
        <v>372</v>
      </c>
    </row>
    <row r="12" spans="1:5" x14ac:dyDescent="0.25">
      <c r="A12" s="391" t="s">
        <v>373</v>
      </c>
      <c r="B12" s="391"/>
      <c r="C12" s="391" t="s">
        <v>374</v>
      </c>
      <c r="D12" s="391" t="s">
        <v>375</v>
      </c>
      <c r="E12" s="391" t="s">
        <v>376</v>
      </c>
    </row>
    <row r="13" spans="1:5" x14ac:dyDescent="0.25">
      <c r="A13" s="391" t="s">
        <v>377</v>
      </c>
      <c r="B13" s="391"/>
      <c r="C13" s="391" t="s">
        <v>378</v>
      </c>
      <c r="D13" s="391"/>
      <c r="E13" s="391" t="s">
        <v>379</v>
      </c>
    </row>
    <row r="14" spans="1:5" x14ac:dyDescent="0.25">
      <c r="A14" s="391" t="s">
        <v>380</v>
      </c>
      <c r="B14" s="391"/>
      <c r="C14" s="391" t="s">
        <v>381</v>
      </c>
      <c r="D14" s="391"/>
      <c r="E14" s="392" t="s">
        <v>382</v>
      </c>
    </row>
    <row r="15" spans="1:5" x14ac:dyDescent="0.25">
      <c r="A15" s="391"/>
      <c r="B15" s="391"/>
      <c r="C15" s="391" t="s">
        <v>383</v>
      </c>
      <c r="D15" s="391"/>
      <c r="E15" s="391"/>
    </row>
    <row r="16" spans="1:5" x14ac:dyDescent="0.25">
      <c r="A16" s="391"/>
      <c r="B16" s="391"/>
      <c r="C16" s="391" t="s">
        <v>384</v>
      </c>
      <c r="D16" s="391"/>
      <c r="E16" s="391"/>
    </row>
    <row r="17" spans="1:5" x14ac:dyDescent="0.25">
      <c r="A17" s="391"/>
      <c r="B17" s="391"/>
      <c r="C17" s="391" t="s">
        <v>385</v>
      </c>
      <c r="D17" s="391"/>
      <c r="E17" s="391"/>
    </row>
    <row r="18" spans="1:5" x14ac:dyDescent="0.25">
      <c r="A18" s="391"/>
      <c r="B18" s="391"/>
      <c r="C18" s="391" t="s">
        <v>358</v>
      </c>
      <c r="D18" s="391"/>
      <c r="E18" s="391"/>
    </row>
    <row r="19" spans="1:5" x14ac:dyDescent="0.25">
      <c r="A19" s="391"/>
      <c r="B19" s="391"/>
      <c r="C19" s="391" t="s">
        <v>386</v>
      </c>
      <c r="D19" s="391"/>
      <c r="E19" s="391"/>
    </row>
    <row r="20" spans="1:5" x14ac:dyDescent="0.25">
      <c r="A20" s="393"/>
      <c r="B20" s="393"/>
      <c r="C20" s="393" t="s">
        <v>387</v>
      </c>
      <c r="D20" s="393"/>
      <c r="E20" s="393"/>
    </row>
    <row r="21" spans="1:5" ht="39.75" customHeight="1" x14ac:dyDescent="0.25">
      <c r="A21" s="860" t="s">
        <v>388</v>
      </c>
      <c r="B21" s="860"/>
      <c r="C21" s="860"/>
      <c r="D21" s="860"/>
      <c r="E21" s="860"/>
    </row>
  </sheetData>
  <mergeCells count="3">
    <mergeCell ref="A5:C5"/>
    <mergeCell ref="A6:C6"/>
    <mergeCell ref="A21:E21"/>
  </mergeCells>
  <pageMargins left="0.7" right="0.7" top="0.75" bottom="0.75" header="0.511811023622047" footer="0.511811023622047"/>
  <pageSetup paperSize="9" orientation="portrait" horizontalDpi="300" verticalDpi="30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6"/>
  <dimension ref="A2:H20"/>
  <sheetViews>
    <sheetView zoomScaleNormal="100" workbookViewId="0">
      <selection activeCell="A27" sqref="A27"/>
    </sheetView>
  </sheetViews>
  <sheetFormatPr baseColWidth="10" defaultColWidth="11.44140625" defaultRowHeight="13.2" x14ac:dyDescent="0.25"/>
  <cols>
    <col min="1" max="1" width="63.44140625" customWidth="1"/>
    <col min="2" max="2" width="27.109375" customWidth="1"/>
  </cols>
  <sheetData>
    <row r="2" spans="1:8" x14ac:dyDescent="0.25">
      <c r="A2" s="3" t="s">
        <v>409</v>
      </c>
      <c r="H2" s="2"/>
    </row>
    <row r="3" spans="1:8" x14ac:dyDescent="0.25">
      <c r="A3" s="3" t="s">
        <v>410</v>
      </c>
      <c r="H3" s="2"/>
    </row>
    <row r="4" spans="1:8" x14ac:dyDescent="0.25">
      <c r="A4" s="3" t="s">
        <v>411</v>
      </c>
      <c r="H4" s="2"/>
    </row>
    <row r="5" spans="1:8" x14ac:dyDescent="0.25">
      <c r="A5" s="3" t="s">
        <v>412</v>
      </c>
      <c r="H5" s="2"/>
    </row>
    <row r="6" spans="1:8" x14ac:dyDescent="0.25">
      <c r="A6" s="402" t="s">
        <v>14</v>
      </c>
      <c r="B6" s="403" t="s">
        <v>7</v>
      </c>
      <c r="H6" s="2"/>
    </row>
    <row r="7" spans="1:8" x14ac:dyDescent="0.25">
      <c r="A7" s="404"/>
      <c r="B7" s="405"/>
      <c r="H7" s="2"/>
    </row>
    <row r="8" spans="1:8" x14ac:dyDescent="0.25">
      <c r="A8" s="28" t="s">
        <v>11</v>
      </c>
      <c r="B8" s="30"/>
      <c r="H8" s="2"/>
    </row>
    <row r="9" spans="1:8" x14ac:dyDescent="0.25">
      <c r="A9" s="31" t="str">
        <f>'Detalle Servicios'!B4</f>
        <v>Gestión de Proyecto 1</v>
      </c>
      <c r="B9" s="33">
        <f>'Detalle Servicios'!X5</f>
        <v>1283.5595238095236</v>
      </c>
      <c r="H9" s="2"/>
    </row>
    <row r="10" spans="1:8" x14ac:dyDescent="0.25">
      <c r="A10" s="31" t="str">
        <f>'Detalle Servicios'!B79</f>
        <v>Bolsa de Horas de Soporte</v>
      </c>
      <c r="B10" s="33">
        <f>'Detalle Servicios'!X79</f>
        <v>1912.5939849624058</v>
      </c>
      <c r="H10" s="2"/>
    </row>
    <row r="11" spans="1:8" x14ac:dyDescent="0.25">
      <c r="A11" s="31" t="str">
        <f>'Detalle Servicios'!B80</f>
        <v xml:space="preserve">Mantenimiento Preventivo: </v>
      </c>
      <c r="B11" s="33">
        <f>'Detalle Servicios'!X80</f>
        <v>0</v>
      </c>
      <c r="D11" s="153"/>
      <c r="H11" s="2"/>
    </row>
    <row r="12" spans="1:8" x14ac:dyDescent="0.25">
      <c r="A12" s="31" t="str">
        <f>'Detalle Servicios'!B81</f>
        <v>Materiales Mantenimiento</v>
      </c>
      <c r="B12" s="36">
        <f>+'Detalle Servicios'!X81</f>
        <v>80</v>
      </c>
      <c r="H12" s="2"/>
    </row>
    <row r="13" spans="1:8" x14ac:dyDescent="0.25">
      <c r="A13" s="34"/>
      <c r="B13" s="36"/>
      <c r="H13" s="2"/>
    </row>
    <row r="14" spans="1:8" x14ac:dyDescent="0.25">
      <c r="A14" s="406"/>
      <c r="B14" s="407"/>
      <c r="H14" s="2"/>
    </row>
    <row r="15" spans="1:8" x14ac:dyDescent="0.25">
      <c r="A15" s="12"/>
      <c r="B15" s="408"/>
      <c r="H15" s="2"/>
    </row>
    <row r="16" spans="1:8" x14ac:dyDescent="0.25">
      <c r="A16" s="409"/>
      <c r="B16" s="410"/>
      <c r="H16" s="2"/>
    </row>
    <row r="17" spans="1:8" x14ac:dyDescent="0.25">
      <c r="A17" s="12"/>
      <c r="B17" s="410"/>
      <c r="H17" s="2"/>
    </row>
    <row r="18" spans="1:8" ht="15.6" x14ac:dyDescent="0.3">
      <c r="A18" s="411" t="s">
        <v>12</v>
      </c>
      <c r="B18" s="412">
        <f>SUM(B7:B17)</f>
        <v>3276.1535087719294</v>
      </c>
      <c r="H18" s="2"/>
    </row>
    <row r="19" spans="1:8" x14ac:dyDescent="0.25">
      <c r="H19" s="2"/>
    </row>
    <row r="20" spans="1:8" x14ac:dyDescent="0.25">
      <c r="H20" s="2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5"/>
  <dimension ref="B4:H20"/>
  <sheetViews>
    <sheetView zoomScaleNormal="100" workbookViewId="0">
      <selection activeCell="K27" sqref="K27"/>
    </sheetView>
  </sheetViews>
  <sheetFormatPr baseColWidth="10" defaultColWidth="11.44140625" defaultRowHeight="13.2" x14ac:dyDescent="0.25"/>
  <cols>
    <col min="4" max="4" width="14" customWidth="1"/>
    <col min="5" max="5" width="12.44140625" customWidth="1"/>
    <col min="6" max="7" width="13.44140625" customWidth="1"/>
    <col min="9" max="9" width="12.44140625" customWidth="1"/>
  </cols>
  <sheetData>
    <row r="4" spans="2:8" x14ac:dyDescent="0.25">
      <c r="B4" s="394"/>
      <c r="C4" s="395" t="s">
        <v>389</v>
      </c>
      <c r="D4" s="395" t="s">
        <v>390</v>
      </c>
      <c r="E4" s="395" t="s">
        <v>391</v>
      </c>
      <c r="F4" s="395" t="s">
        <v>392</v>
      </c>
      <c r="G4" s="395" t="s">
        <v>393</v>
      </c>
      <c r="H4" s="395" t="s">
        <v>21</v>
      </c>
    </row>
    <row r="5" spans="2:8" x14ac:dyDescent="0.25">
      <c r="B5" s="394" t="s">
        <v>394</v>
      </c>
      <c r="C5" s="395">
        <v>0</v>
      </c>
      <c r="D5" s="395">
        <f>C5*0.8</f>
        <v>0</v>
      </c>
      <c r="E5" s="396">
        <v>2600</v>
      </c>
      <c r="F5" s="396">
        <f>+E5*1.48</f>
        <v>3848</v>
      </c>
      <c r="G5" s="396">
        <f>+F5*D5</f>
        <v>0</v>
      </c>
      <c r="H5" s="395"/>
    </row>
    <row r="6" spans="2:8" x14ac:dyDescent="0.25">
      <c r="B6" s="394" t="s">
        <v>395</v>
      </c>
      <c r="C6" s="395">
        <v>0.5</v>
      </c>
      <c r="D6" s="395">
        <f>C6*0.5</f>
        <v>0.25</v>
      </c>
      <c r="E6" s="396">
        <v>1500</v>
      </c>
      <c r="F6" s="396">
        <f>+E6*1.48</f>
        <v>2220</v>
      </c>
      <c r="G6" s="396">
        <f>+F6*D6</f>
        <v>555</v>
      </c>
      <c r="H6" s="395"/>
    </row>
    <row r="7" spans="2:8" x14ac:dyDescent="0.25">
      <c r="B7" s="394" t="s">
        <v>396</v>
      </c>
      <c r="C7" s="395">
        <v>0</v>
      </c>
      <c r="D7" s="395">
        <f>C7*0.2</f>
        <v>0</v>
      </c>
      <c r="E7" s="396">
        <v>850</v>
      </c>
      <c r="F7" s="396">
        <f>+E7*1.48</f>
        <v>1258</v>
      </c>
      <c r="G7" s="396">
        <f>+F7*D7</f>
        <v>0</v>
      </c>
      <c r="H7" s="395"/>
    </row>
    <row r="8" spans="2:8" x14ac:dyDescent="0.25">
      <c r="B8" s="395" t="s">
        <v>397</v>
      </c>
      <c r="C8" s="395">
        <v>0.5</v>
      </c>
      <c r="D8" s="395">
        <f>+C8*0.2</f>
        <v>0.1</v>
      </c>
      <c r="E8" s="396">
        <v>1500</v>
      </c>
      <c r="F8" s="396">
        <f>+E8*1.48</f>
        <v>2220</v>
      </c>
      <c r="G8" s="396">
        <f>+F8*D8</f>
        <v>222</v>
      </c>
      <c r="H8" s="395"/>
    </row>
    <row r="9" spans="2:8" x14ac:dyDescent="0.25">
      <c r="B9" s="55" t="s">
        <v>398</v>
      </c>
      <c r="C9" s="55"/>
      <c r="D9" s="55"/>
      <c r="E9" s="55"/>
      <c r="F9" s="55"/>
      <c r="G9" s="396">
        <v>3000</v>
      </c>
      <c r="H9" s="395"/>
    </row>
    <row r="10" spans="2:8" x14ac:dyDescent="0.25">
      <c r="B10" s="67" t="s">
        <v>399</v>
      </c>
      <c r="C10" s="55"/>
      <c r="D10" s="55"/>
      <c r="E10" s="55"/>
      <c r="F10" s="55"/>
      <c r="G10" s="396">
        <v>6000</v>
      </c>
      <c r="H10" s="395"/>
    </row>
    <row r="11" spans="2:8" x14ac:dyDescent="0.25">
      <c r="B11" s="67" t="s">
        <v>400</v>
      </c>
      <c r="C11" s="55"/>
      <c r="D11" s="55"/>
      <c r="E11" s="55"/>
      <c r="F11" s="55"/>
      <c r="G11" s="395"/>
      <c r="H11" s="395"/>
    </row>
    <row r="12" spans="2:8" x14ac:dyDescent="0.25">
      <c r="B12" s="55"/>
      <c r="C12" s="55"/>
      <c r="D12" s="55"/>
      <c r="E12" s="55"/>
      <c r="F12" s="55"/>
      <c r="G12" s="395"/>
      <c r="H12" s="395"/>
    </row>
    <row r="13" spans="2:8" x14ac:dyDescent="0.25">
      <c r="B13" s="394"/>
      <c r="C13" s="395"/>
      <c r="D13" s="395"/>
      <c r="E13" s="395"/>
      <c r="F13" s="395"/>
      <c r="G13" s="395"/>
      <c r="H13" s="395"/>
    </row>
    <row r="14" spans="2:8" x14ac:dyDescent="0.25">
      <c r="B14" s="394"/>
      <c r="C14" s="395"/>
      <c r="D14" s="395"/>
      <c r="E14" s="395"/>
      <c r="F14" s="395"/>
      <c r="G14" s="396">
        <f>+SUM(G5:G13)</f>
        <v>9777</v>
      </c>
      <c r="H14" s="397">
        <v>0.35</v>
      </c>
    </row>
    <row r="15" spans="2:8" x14ac:dyDescent="0.25">
      <c r="B15" s="394"/>
      <c r="C15" s="395"/>
      <c r="D15" s="395"/>
      <c r="E15" s="395"/>
      <c r="F15" s="395" t="s">
        <v>401</v>
      </c>
      <c r="G15" s="396">
        <f>+G14/(1-H14)</f>
        <v>15041.538461538461</v>
      </c>
      <c r="H15" s="395"/>
    </row>
    <row r="16" spans="2:8" x14ac:dyDescent="0.25">
      <c r="B16" s="395" t="s">
        <v>402</v>
      </c>
      <c r="C16" s="398" t="s">
        <v>403</v>
      </c>
      <c r="D16" s="395"/>
      <c r="E16" s="395"/>
      <c r="F16" s="395"/>
      <c r="G16" s="399">
        <v>2166.1989795918398</v>
      </c>
      <c r="H16" s="55"/>
    </row>
    <row r="17" spans="2:8" x14ac:dyDescent="0.25">
      <c r="B17" s="395" t="s">
        <v>404</v>
      </c>
      <c r="C17" s="395" t="s">
        <v>405</v>
      </c>
      <c r="D17" s="395"/>
      <c r="E17" s="395"/>
      <c r="F17" s="395"/>
      <c r="G17" s="400">
        <v>5885</v>
      </c>
      <c r="H17" s="55"/>
    </row>
    <row r="18" spans="2:8" x14ac:dyDescent="0.25">
      <c r="B18" s="395" t="s">
        <v>406</v>
      </c>
      <c r="C18" s="395">
        <v>1</v>
      </c>
      <c r="D18" s="395"/>
      <c r="E18" s="395"/>
      <c r="F18" s="395"/>
      <c r="G18" s="400">
        <v>2800</v>
      </c>
      <c r="H18" s="55"/>
    </row>
    <row r="19" spans="2:8" x14ac:dyDescent="0.25">
      <c r="B19" s="395" t="s">
        <v>407</v>
      </c>
      <c r="C19" s="395"/>
      <c r="D19" s="395"/>
      <c r="E19" s="395"/>
      <c r="F19" s="395"/>
      <c r="G19" s="55"/>
      <c r="H19" s="55"/>
    </row>
    <row r="20" spans="2:8" x14ac:dyDescent="0.25">
      <c r="B20" s="55"/>
      <c r="C20" s="55"/>
      <c r="D20" s="55"/>
      <c r="E20" s="55"/>
      <c r="F20" s="55" t="s">
        <v>408</v>
      </c>
      <c r="G20" s="401">
        <f>SUM(G15:G19)</f>
        <v>25892.737441130303</v>
      </c>
      <c r="H20" s="55"/>
    </row>
  </sheetData>
  <pageMargins left="0.7" right="0.7" top="0.75" bottom="0.75" header="0.511811023622047" footer="0.511811023622047"/>
  <pageSetup paperSize="9" orientation="portrait" horizontalDpi="300" verticalDpi="300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6"/>
  <dimension ref="A2:BE132"/>
  <sheetViews>
    <sheetView topLeftCell="B4" zoomScale="70" zoomScaleNormal="70" workbookViewId="0">
      <selection activeCell="K70" sqref="K70"/>
    </sheetView>
  </sheetViews>
  <sheetFormatPr baseColWidth="10" defaultColWidth="9.33203125" defaultRowHeight="13.2" x14ac:dyDescent="0.25"/>
  <cols>
    <col min="1" max="1" width="5.6640625" customWidth="1"/>
    <col min="2" max="2" width="66.33203125" customWidth="1"/>
    <col min="3" max="3" width="7.44140625" customWidth="1"/>
    <col min="4" max="4" width="8.33203125" customWidth="1"/>
    <col min="5" max="5" width="11.6640625" customWidth="1"/>
    <col min="6" max="9" width="11.5546875" customWidth="1"/>
    <col min="10" max="10" width="16.6640625" customWidth="1"/>
    <col min="11" max="11" width="18" customWidth="1"/>
    <col min="12" max="12" width="16.33203125" customWidth="1"/>
    <col min="13" max="13" width="12.88671875" hidden="1" customWidth="1"/>
    <col min="14" max="14" width="12" style="194" hidden="1" customWidth="1"/>
    <col min="15" max="15" width="12" hidden="1" customWidth="1"/>
    <col min="16" max="16" width="11.5546875" style="194" hidden="1" customWidth="1"/>
    <col min="17" max="17" width="11.5546875" hidden="1" customWidth="1"/>
    <col min="18" max="18" width="12" style="194" hidden="1" customWidth="1"/>
    <col min="19" max="19" width="14.44140625" hidden="1" customWidth="1"/>
    <col min="20" max="20" width="12.88671875" style="194" hidden="1" customWidth="1"/>
    <col min="21" max="21" width="14.44140625" hidden="1" customWidth="1"/>
    <col min="22" max="22" width="12.5546875" style="194" hidden="1" customWidth="1"/>
    <col min="23" max="23" width="15.109375" style="194" hidden="1" customWidth="1"/>
    <col min="24" max="24" width="15.109375" customWidth="1"/>
    <col min="25" max="25" width="11.44140625" hidden="1" customWidth="1"/>
    <col min="26" max="26" width="14.33203125" hidden="1" customWidth="1"/>
    <col min="27" max="27" width="11" hidden="1" customWidth="1"/>
    <col min="28" max="28" width="12" hidden="1" customWidth="1"/>
    <col min="29" max="29" width="11.88671875" hidden="1" customWidth="1"/>
    <col min="30" max="30" width="12" hidden="1" customWidth="1"/>
    <col min="31" max="31" width="11.88671875" hidden="1" customWidth="1"/>
    <col min="32" max="32" width="12.88671875" hidden="1" customWidth="1"/>
    <col min="33" max="33" width="12" hidden="1" customWidth="1"/>
    <col min="34" max="35" width="12.88671875" hidden="1" customWidth="1"/>
    <col min="36" max="36" width="13.5546875" hidden="1" customWidth="1"/>
    <col min="37" max="37" width="15.33203125" customWidth="1"/>
    <col min="38" max="38" width="16.5546875" hidden="1" customWidth="1"/>
    <col min="39" max="39" width="11.88671875" style="128" hidden="1" customWidth="1"/>
    <col min="40" max="40" width="11.88671875" hidden="1" customWidth="1"/>
    <col min="41" max="41" width="12.88671875" hidden="1" customWidth="1"/>
    <col min="42" max="42" width="11.88671875" hidden="1" customWidth="1"/>
    <col min="43" max="43" width="12.88671875" hidden="1" customWidth="1"/>
    <col min="44" max="44" width="11.88671875" hidden="1" customWidth="1"/>
    <col min="45" max="48" width="12.88671875" hidden="1" customWidth="1"/>
    <col min="49" max="49" width="11.88671875" hidden="1" customWidth="1"/>
    <col min="50" max="50" width="11.88671875" customWidth="1"/>
    <col min="51" max="51" width="52.109375" customWidth="1"/>
    <col min="52" max="53" width="11.88671875" customWidth="1"/>
    <col min="55" max="55" width="42.5546875" customWidth="1"/>
  </cols>
  <sheetData>
    <row r="2" spans="2:53" ht="66.75" customHeight="1" x14ac:dyDescent="0.25">
      <c r="B2" s="195"/>
      <c r="C2" s="196"/>
      <c r="D2" s="196"/>
      <c r="E2" s="196"/>
      <c r="F2" s="196"/>
      <c r="G2" s="196"/>
      <c r="H2" s="196"/>
      <c r="I2" s="196"/>
      <c r="J2" s="196"/>
      <c r="K2" s="196"/>
      <c r="L2" s="196"/>
      <c r="M2" s="861" t="s">
        <v>130</v>
      </c>
      <c r="N2" s="861"/>
      <c r="O2" s="861"/>
      <c r="P2" s="861"/>
      <c r="Q2" s="861"/>
      <c r="R2" s="861"/>
      <c r="S2" s="861"/>
      <c r="T2" s="861"/>
      <c r="U2" s="861"/>
      <c r="V2" s="861"/>
      <c r="W2" s="861"/>
      <c r="X2" s="861"/>
      <c r="Y2" s="197"/>
      <c r="Z2" s="861" t="s">
        <v>131</v>
      </c>
      <c r="AA2" s="861"/>
      <c r="AB2" s="861"/>
      <c r="AC2" s="861"/>
      <c r="AD2" s="861"/>
      <c r="AE2" s="861"/>
      <c r="AF2" s="861"/>
      <c r="AG2" s="861"/>
      <c r="AH2" s="861"/>
      <c r="AI2" s="861"/>
      <c r="AJ2" s="861"/>
      <c r="AK2" s="861"/>
      <c r="AL2" s="197"/>
      <c r="AM2" s="861" t="s">
        <v>132</v>
      </c>
      <c r="AN2" s="861"/>
      <c r="AO2" s="861"/>
      <c r="AP2" s="861"/>
      <c r="AQ2" s="861"/>
      <c r="AR2" s="861"/>
      <c r="AS2" s="861"/>
      <c r="AT2" s="861"/>
      <c r="AU2" s="861"/>
      <c r="AV2" s="861"/>
      <c r="AW2" s="861"/>
      <c r="AX2" s="861"/>
    </row>
    <row r="3" spans="2:53" ht="27" customHeight="1" x14ac:dyDescent="0.25">
      <c r="B3" s="78" t="s">
        <v>54</v>
      </c>
      <c r="C3" s="78" t="s">
        <v>55</v>
      </c>
      <c r="D3" s="78" t="s">
        <v>56</v>
      </c>
      <c r="E3" s="78" t="s">
        <v>57</v>
      </c>
      <c r="F3" s="78" t="s">
        <v>58</v>
      </c>
      <c r="G3" s="78" t="s">
        <v>59</v>
      </c>
      <c r="H3" s="78"/>
      <c r="I3" s="78" t="s">
        <v>60</v>
      </c>
      <c r="J3" s="78" t="s">
        <v>61</v>
      </c>
      <c r="K3" s="78" t="s">
        <v>133</v>
      </c>
      <c r="L3" s="78" t="s">
        <v>134</v>
      </c>
      <c r="M3" s="78"/>
      <c r="N3" s="198" t="s">
        <v>135</v>
      </c>
      <c r="O3" s="78"/>
      <c r="P3" s="198" t="s">
        <v>135</v>
      </c>
      <c r="Q3" s="78"/>
      <c r="R3" s="198" t="s">
        <v>135</v>
      </c>
      <c r="S3" s="78"/>
      <c r="T3" s="198" t="s">
        <v>135</v>
      </c>
      <c r="U3" s="78"/>
      <c r="V3" s="198" t="s">
        <v>135</v>
      </c>
      <c r="W3" s="198" t="s">
        <v>136</v>
      </c>
      <c r="X3" s="78" t="s">
        <v>18</v>
      </c>
      <c r="Y3" s="197"/>
      <c r="Z3" s="78"/>
      <c r="AA3" s="198" t="s">
        <v>135</v>
      </c>
      <c r="AB3" s="78"/>
      <c r="AC3" s="198" t="s">
        <v>135</v>
      </c>
      <c r="AD3" s="78"/>
      <c r="AE3" s="198" t="s">
        <v>135</v>
      </c>
      <c r="AF3" s="78"/>
      <c r="AG3" s="198" t="s">
        <v>135</v>
      </c>
      <c r="AH3" s="78"/>
      <c r="AI3" s="198" t="s">
        <v>135</v>
      </c>
      <c r="AJ3" s="198" t="s">
        <v>136</v>
      </c>
      <c r="AK3" s="78" t="s">
        <v>18</v>
      </c>
      <c r="AL3" s="197"/>
      <c r="AM3" s="78"/>
      <c r="AN3" s="198" t="s">
        <v>135</v>
      </c>
      <c r="AO3" s="78"/>
      <c r="AP3" s="198" t="s">
        <v>135</v>
      </c>
      <c r="AQ3" s="78"/>
      <c r="AR3" s="198" t="s">
        <v>135</v>
      </c>
      <c r="AS3" s="78"/>
      <c r="AT3" s="198" t="s">
        <v>135</v>
      </c>
      <c r="AU3" s="78"/>
      <c r="AV3" s="198" t="s">
        <v>135</v>
      </c>
      <c r="AW3" s="198" t="s">
        <v>136</v>
      </c>
      <c r="AX3" s="78" t="s">
        <v>18</v>
      </c>
      <c r="AY3" s="199">
        <v>0.4</v>
      </c>
    </row>
    <row r="4" spans="2:53" x14ac:dyDescent="0.25">
      <c r="B4" s="79" t="s">
        <v>42</v>
      </c>
      <c r="C4" s="80"/>
      <c r="D4" s="80"/>
      <c r="E4" s="80"/>
      <c r="F4" s="80"/>
      <c r="G4" s="80"/>
      <c r="H4" s="80"/>
      <c r="I4" s="80"/>
      <c r="J4" s="81"/>
      <c r="K4" s="80"/>
      <c r="L4" s="80"/>
      <c r="M4" s="82">
        <f>($U$4*Costos!$J$11)</f>
        <v>137.1240234375</v>
      </c>
      <c r="N4" s="200">
        <f>($U$4*Costos!$G$11)</f>
        <v>109.69921875</v>
      </c>
      <c r="O4" s="82">
        <f>($U$4*Costos!$J$12)</f>
        <v>160.89218750000001</v>
      </c>
      <c r="P4" s="200">
        <f>($U$4*Costos!$G$12)</f>
        <v>128.71375</v>
      </c>
      <c r="Q4" s="80"/>
      <c r="R4" s="201"/>
      <c r="S4" s="80"/>
      <c r="T4" s="201"/>
      <c r="U4" s="80">
        <f>SUM($J$8:$K$71)*0.25</f>
        <v>6.3250000000000002</v>
      </c>
      <c r="V4" s="201">
        <f>SUM($J$8:$K$71)*0.25</f>
        <v>6.3250000000000002</v>
      </c>
      <c r="W4" s="202">
        <f>IF($B$4="Gestión de Proyecto 1",N4,P4)</f>
        <v>109.69921875</v>
      </c>
      <c r="X4" s="203">
        <f>IF($B$4="Gestión de Proyecto 1",M4,O4)</f>
        <v>137.1240234375</v>
      </c>
      <c r="Y4" s="197"/>
      <c r="Z4" s="204"/>
      <c r="AA4" s="204"/>
      <c r="AB4" s="204"/>
      <c r="AC4" s="204"/>
      <c r="AD4" s="205"/>
      <c r="AE4" s="205"/>
      <c r="AF4" s="205"/>
      <c r="AG4" s="205"/>
      <c r="AH4" s="205"/>
      <c r="AI4" s="205"/>
      <c r="AJ4" s="206"/>
      <c r="AK4" s="206"/>
      <c r="AL4" s="197"/>
      <c r="AM4" s="207"/>
      <c r="AN4" s="204"/>
      <c r="AO4" s="204"/>
      <c r="AP4" s="204"/>
      <c r="AQ4" s="205"/>
      <c r="AR4" s="205"/>
      <c r="AS4" s="205"/>
      <c r="AT4" s="205"/>
      <c r="AU4" s="205"/>
      <c r="AV4" s="205"/>
      <c r="AW4" s="206"/>
      <c r="AX4" s="206"/>
      <c r="AY4" t="s">
        <v>137</v>
      </c>
    </row>
    <row r="5" spans="2:53" x14ac:dyDescent="0.25">
      <c r="B5" s="84" t="s">
        <v>64</v>
      </c>
      <c r="C5" s="85"/>
      <c r="D5" s="85"/>
      <c r="E5" s="85"/>
      <c r="F5" s="85"/>
      <c r="G5" s="85"/>
      <c r="H5" s="85"/>
      <c r="I5" s="85"/>
      <c r="J5" s="87"/>
      <c r="K5" s="87"/>
      <c r="L5" s="87"/>
      <c r="M5" s="90">
        <f>SUM($J$8:$J$80,J82/Costos!G5)</f>
        <v>115.8</v>
      </c>
      <c r="N5" s="208">
        <f>SUM($J$8:$J$80)</f>
        <v>115.8</v>
      </c>
      <c r="O5" s="90">
        <f>SUM($K$8:$L$80,K82/Costos!H5,'Detalle Servicios'!L82/Costos!I5)</f>
        <v>248.5</v>
      </c>
      <c r="P5" s="208">
        <f>SUM($K$8:$L$80)</f>
        <v>248.5</v>
      </c>
      <c r="Q5" s="90">
        <f>$M$5/7</f>
        <v>16.542857142857141</v>
      </c>
      <c r="R5" s="208">
        <f>$M$5/7</f>
        <v>16.542857142857141</v>
      </c>
      <c r="S5" s="90">
        <f>$O$5/6</f>
        <v>41.416666666666664</v>
      </c>
      <c r="T5" s="208">
        <f>$O$5/6</f>
        <v>41.416666666666664</v>
      </c>
      <c r="U5" s="88"/>
      <c r="V5" s="209"/>
      <c r="W5" s="210">
        <f>($R$5*15)+($T$5*25)</f>
        <v>1283.5595238095236</v>
      </c>
      <c r="X5" s="211">
        <f>($Q$5*15)+($S$5*25)</f>
        <v>1283.5595238095236</v>
      </c>
      <c r="Y5" s="197"/>
      <c r="Z5" s="212"/>
      <c r="AA5" s="212"/>
      <c r="AB5" s="212"/>
      <c r="AC5" s="212"/>
      <c r="AD5" s="212"/>
      <c r="AE5" s="212"/>
      <c r="AF5" s="212"/>
      <c r="AG5" s="212"/>
      <c r="AH5" s="213"/>
      <c r="AI5" s="213"/>
      <c r="AJ5" s="214"/>
      <c r="AK5" s="214"/>
      <c r="AL5" s="197"/>
      <c r="AM5" s="215"/>
      <c r="AN5" s="212"/>
      <c r="AO5" s="212"/>
      <c r="AP5" s="212"/>
      <c r="AQ5" s="212"/>
      <c r="AR5" s="212"/>
      <c r="AS5" s="212"/>
      <c r="AT5" s="212"/>
      <c r="AU5" s="213"/>
      <c r="AV5" s="213"/>
      <c r="AW5" s="214"/>
      <c r="AX5" s="214"/>
      <c r="AY5" s="216">
        <f>X5/10</f>
        <v>128.35595238095237</v>
      </c>
    </row>
    <row r="6" spans="2:53" x14ac:dyDescent="0.25">
      <c r="B6" s="91" t="s">
        <v>65</v>
      </c>
      <c r="C6" s="92"/>
      <c r="D6" s="92"/>
      <c r="E6" s="92"/>
      <c r="F6" s="92"/>
      <c r="G6" s="92"/>
      <c r="H6" s="92"/>
      <c r="I6" s="92"/>
      <c r="J6" s="93"/>
      <c r="K6" s="94"/>
      <c r="L6" s="94"/>
      <c r="M6" s="95"/>
      <c r="N6" s="217"/>
      <c r="O6" s="95"/>
      <c r="P6" s="217"/>
      <c r="Q6" s="95"/>
      <c r="R6" s="217"/>
      <c r="S6" s="95"/>
      <c r="T6" s="217"/>
      <c r="U6" s="96">
        <f>$U$4</f>
        <v>6.3250000000000002</v>
      </c>
      <c r="V6" s="218">
        <f>$U$4</f>
        <v>6.3250000000000002</v>
      </c>
      <c r="W6" s="219">
        <f>$U$6*Costos!$G$5</f>
        <v>146.63220551378447</v>
      </c>
      <c r="X6" s="220">
        <f>$U$6*Costos!$J$5</f>
        <v>183.29025689223056</v>
      </c>
      <c r="Y6" s="197"/>
      <c r="Z6" s="212"/>
      <c r="AA6" s="212"/>
      <c r="AB6" s="212"/>
      <c r="AC6" s="212"/>
      <c r="AD6" s="212"/>
      <c r="AE6" s="212"/>
      <c r="AF6" s="212"/>
      <c r="AG6" s="212"/>
      <c r="AH6" s="221"/>
      <c r="AI6" s="221"/>
      <c r="AJ6" s="214"/>
      <c r="AK6" s="214"/>
      <c r="AL6" s="197"/>
      <c r="AM6" s="215"/>
      <c r="AN6" s="212"/>
      <c r="AO6" s="212"/>
      <c r="AP6" s="212"/>
      <c r="AQ6" s="212"/>
      <c r="AR6" s="212"/>
      <c r="AS6" s="212"/>
      <c r="AT6" s="212"/>
      <c r="AU6" s="221"/>
      <c r="AV6" s="221"/>
      <c r="AW6" s="214"/>
      <c r="AX6" s="214"/>
      <c r="AY6" s="222"/>
    </row>
    <row r="7" spans="2:53" x14ac:dyDescent="0.25">
      <c r="B7" s="98"/>
      <c r="C7" s="99"/>
      <c r="D7" s="99"/>
      <c r="E7" s="99"/>
      <c r="F7" s="99"/>
      <c r="G7" s="99"/>
      <c r="H7" s="99"/>
      <c r="I7" s="99"/>
      <c r="J7" s="100"/>
      <c r="K7" s="101"/>
      <c r="L7" s="101"/>
      <c r="M7" s="102"/>
      <c r="N7" s="223"/>
      <c r="O7" s="102"/>
      <c r="P7" s="223"/>
      <c r="Q7" s="102"/>
      <c r="R7" s="223"/>
      <c r="S7" s="102"/>
      <c r="T7" s="223"/>
      <c r="U7" s="103"/>
      <c r="V7" s="224"/>
      <c r="W7" s="225"/>
      <c r="X7" s="104"/>
      <c r="Y7" s="197"/>
      <c r="Z7" s="102"/>
      <c r="AA7" s="223"/>
      <c r="AB7" s="102"/>
      <c r="AC7" s="223"/>
      <c r="AD7" s="102"/>
      <c r="AE7" s="223"/>
      <c r="AF7" s="102"/>
      <c r="AG7" s="223"/>
      <c r="AH7" s="103"/>
      <c r="AI7" s="224"/>
      <c r="AJ7" s="225"/>
      <c r="AK7" s="104"/>
      <c r="AL7" s="197"/>
      <c r="AM7" s="226"/>
      <c r="AN7" s="223"/>
      <c r="AO7" s="102"/>
      <c r="AP7" s="223"/>
      <c r="AQ7" s="102"/>
      <c r="AR7" s="223"/>
      <c r="AS7" s="102"/>
      <c r="AT7" s="223"/>
      <c r="AU7" s="103"/>
      <c r="AV7" s="224"/>
      <c r="AW7" s="225"/>
      <c r="AX7" s="104"/>
    </row>
    <row r="8" spans="2:53" ht="26.4" x14ac:dyDescent="0.25">
      <c r="B8" s="105" t="s">
        <v>66</v>
      </c>
      <c r="C8" s="106" t="s">
        <v>67</v>
      </c>
      <c r="D8" s="106" t="s">
        <v>67</v>
      </c>
      <c r="E8" s="106"/>
      <c r="F8" s="106"/>
      <c r="G8" s="106"/>
      <c r="H8" s="107"/>
      <c r="I8" s="107"/>
      <c r="J8" s="108">
        <v>10</v>
      </c>
      <c r="K8" s="108"/>
      <c r="L8" s="108"/>
      <c r="M8" s="227">
        <f>($J8*Costos!$J$4)</f>
        <v>173.8721804511278</v>
      </c>
      <c r="N8" s="228">
        <f>($J8*Costos!$G$4)</f>
        <v>139.09774436090225</v>
      </c>
      <c r="O8" s="227">
        <f>($J8*Costos!$J$5)</f>
        <v>289.78696741854634</v>
      </c>
      <c r="P8" s="228">
        <f>($J8*Costos!$G$5)</f>
        <v>231.82957393483707</v>
      </c>
      <c r="Q8" s="227">
        <f>($J8*Costos!$J$6)</f>
        <v>347.74436090225561</v>
      </c>
      <c r="R8" s="228">
        <f>($J8*Costos!$G$6)</f>
        <v>278.19548872180451</v>
      </c>
      <c r="S8" s="227">
        <f>($J8*Costos!$J$7)</f>
        <v>875</v>
      </c>
      <c r="T8" s="228">
        <f>($J8*Costos!$G$7)</f>
        <v>700</v>
      </c>
      <c r="U8" s="227">
        <f>($J8*Costos!$J$8)</f>
        <v>1250</v>
      </c>
      <c r="V8" s="228">
        <f>($J8*Costos!$G$8)</f>
        <v>1000</v>
      </c>
      <c r="W8" s="229">
        <f t="shared" ref="W8:W39" si="0">IF($C8="x",N8,0)+IF($D8="x",P8,0)+IF($E8="x",R8,0)+IF($F8="x",T8,0)+IF($G8="x",V8,0)</f>
        <v>370.92731829573933</v>
      </c>
      <c r="X8" s="211">
        <f>IF($C8="x",M8,0)+IF($D8="x",O8,0)+IF($E8="x",Q8,0)+IF($F8="x",S8,0)+IF($G8="x",U8,0)</f>
        <v>463.65914786967414</v>
      </c>
      <c r="Y8" s="197"/>
      <c r="Z8" s="227">
        <f>($K8*Costos!$K$4)</f>
        <v>0</v>
      </c>
      <c r="AA8" s="228">
        <f>($K8*Costos!$H$4)</f>
        <v>0</v>
      </c>
      <c r="AB8" s="227">
        <f>($K8*Costos!$K$5)</f>
        <v>0</v>
      </c>
      <c r="AC8" s="228">
        <f>($K8*Costos!$H$5)</f>
        <v>0</v>
      </c>
      <c r="AD8" s="227">
        <f>($K8*Costos!$K$6)</f>
        <v>0</v>
      </c>
      <c r="AE8" s="228">
        <f>($K8*Costos!$H$6)</f>
        <v>0</v>
      </c>
      <c r="AF8" s="227">
        <f>($K8*Costos!$K$7)</f>
        <v>0</v>
      </c>
      <c r="AG8" s="228">
        <f>($K8*Costos!$H$7)</f>
        <v>0</v>
      </c>
      <c r="AH8" s="227">
        <f>($K8*Costos!$K$8)</f>
        <v>0</v>
      </c>
      <c r="AI8" s="228">
        <f>($K8*Costos!$H$8)</f>
        <v>0</v>
      </c>
      <c r="AJ8" s="229">
        <f t="shared" ref="AJ8:AJ39" si="1">IF($C8="x",AA8,0)+IF($D8="x",AC8,0)+IF($E8="x",AE8,0)+IF($F8="x",AG8,0)+IF($G8="x",AI8,0)</f>
        <v>0</v>
      </c>
      <c r="AK8" s="211">
        <f t="shared" ref="AK8:AK39" si="2">IF($C8="x",Z8,0)+IF($D8="x",AB8,0)+IF($E8="x",AD8,0)+IF($F8="x",AF8,0)+IF($G8="x",AH8,0)</f>
        <v>0</v>
      </c>
      <c r="AL8" s="197"/>
      <c r="AM8" s="230">
        <f>($L8*Costos!$L$4)</f>
        <v>0</v>
      </c>
      <c r="AN8" s="228">
        <f>($L8*Costos!$I$4)</f>
        <v>0</v>
      </c>
      <c r="AO8" s="227">
        <f>($L8*Costos!$L$5)</f>
        <v>0</v>
      </c>
      <c r="AP8" s="228">
        <f>($L8*Costos!$I$5)</f>
        <v>0</v>
      </c>
      <c r="AQ8" s="227">
        <f>($L8*Costos!$L$6)</f>
        <v>0</v>
      </c>
      <c r="AR8" s="228">
        <f>($L8*Costos!$I$6)</f>
        <v>0</v>
      </c>
      <c r="AS8" s="227">
        <f>($L8*Costos!$L$7)</f>
        <v>0</v>
      </c>
      <c r="AT8" s="228">
        <f>($L8*Costos!$I$7)</f>
        <v>0</v>
      </c>
      <c r="AU8" s="227">
        <f>($L8*Costos!$L$8)</f>
        <v>0</v>
      </c>
      <c r="AV8" s="228">
        <f>($L8*Costos!$I$8)</f>
        <v>0</v>
      </c>
      <c r="AW8" s="229">
        <f t="shared" ref="AW8:AW39" si="3">IF($C8="x",AN8,0)+IF($D8="x",AP8,0)+IF($E8="x",AR8,0)+IF($F8="x",AT8,0)+IF($G8="x",AV8,0)</f>
        <v>0</v>
      </c>
      <c r="AX8" s="211">
        <f t="shared" ref="AX8:AX39" si="4">IF($C8="x",AM8,0)+IF($D8="x",AO8,0)+IF($E8="x",AQ8,0)+IF($F8="x",AS8,0)+IF($G8="x",AU8,0)</f>
        <v>0</v>
      </c>
    </row>
    <row r="9" spans="2:53" x14ac:dyDescent="0.25">
      <c r="B9" s="114" t="s">
        <v>138</v>
      </c>
      <c r="C9" s="86" t="s">
        <v>67</v>
      </c>
      <c r="D9" s="86"/>
      <c r="E9" s="86"/>
      <c r="F9" s="86"/>
      <c r="G9" s="86"/>
      <c r="H9" s="85"/>
      <c r="I9" s="85"/>
      <c r="J9" s="111">
        <v>5</v>
      </c>
      <c r="K9" s="111"/>
      <c r="L9" s="111"/>
      <c r="M9" s="227">
        <f>($J9*Costos!$J$4)</f>
        <v>86.936090225563902</v>
      </c>
      <c r="N9" s="228">
        <f>($J9*Costos!$G$4)</f>
        <v>69.548872180451127</v>
      </c>
      <c r="O9" s="227">
        <f>($J9*Costos!$J$5)</f>
        <v>144.89348370927317</v>
      </c>
      <c r="P9" s="228">
        <f>($J9*Costos!$G$5)</f>
        <v>115.91478696741854</v>
      </c>
      <c r="Q9" s="227">
        <f>($J9*Costos!$J$6)</f>
        <v>173.8721804511278</v>
      </c>
      <c r="R9" s="228">
        <f>($J9*Costos!$G$6)</f>
        <v>139.09774436090225</v>
      </c>
      <c r="S9" s="227">
        <f>($J9*Costos!$J$7)</f>
        <v>437.5</v>
      </c>
      <c r="T9" s="228">
        <f>($J9*Costos!$G$7)</f>
        <v>350</v>
      </c>
      <c r="U9" s="227">
        <f>($J9*Costos!$J$8)</f>
        <v>625</v>
      </c>
      <c r="V9" s="228">
        <f>($J9*Costos!$G$8)</f>
        <v>500</v>
      </c>
      <c r="W9" s="229">
        <f t="shared" si="0"/>
        <v>69.548872180451127</v>
      </c>
      <c r="X9" s="211">
        <f t="shared" ref="X9:X39" si="5">IF($C9="x",M9,0)+IF($D9="x",O9,0)+IF($E9="x",Q9,0)+IF($F9="x",S9,0)+IF($G9="x",U9,0)</f>
        <v>86.936090225563902</v>
      </c>
      <c r="Y9" s="197"/>
      <c r="Z9" s="227">
        <f>($K9*Costos!$K$4)</f>
        <v>0</v>
      </c>
      <c r="AA9" s="228">
        <f>($K9*Costos!$H$4)</f>
        <v>0</v>
      </c>
      <c r="AB9" s="227">
        <f>($K9*Costos!$K$5)</f>
        <v>0</v>
      </c>
      <c r="AC9" s="228">
        <f>($K9*Costos!$H$5)</f>
        <v>0</v>
      </c>
      <c r="AD9" s="227">
        <f>($K9*Costos!$K$6)</f>
        <v>0</v>
      </c>
      <c r="AE9" s="228">
        <f>($K9*Costos!$H$6)</f>
        <v>0</v>
      </c>
      <c r="AF9" s="227">
        <f>($K9*Costos!$K$7)</f>
        <v>0</v>
      </c>
      <c r="AG9" s="228">
        <f>($K9*Costos!$H$7)</f>
        <v>0</v>
      </c>
      <c r="AH9" s="227">
        <f>($K9*Costos!$K$8)</f>
        <v>0</v>
      </c>
      <c r="AI9" s="228">
        <f>($K9*Costos!$H$8)</f>
        <v>0</v>
      </c>
      <c r="AJ9" s="229">
        <f t="shared" si="1"/>
        <v>0</v>
      </c>
      <c r="AK9" s="211">
        <f t="shared" si="2"/>
        <v>0</v>
      </c>
      <c r="AL9" s="197"/>
      <c r="AM9" s="230">
        <f>($L9*Costos!$L$4)</f>
        <v>0</v>
      </c>
      <c r="AN9" s="228">
        <f>($L9*Costos!$I$4)</f>
        <v>0</v>
      </c>
      <c r="AO9" s="227">
        <f>($L9*Costos!$L$5)</f>
        <v>0</v>
      </c>
      <c r="AP9" s="228">
        <f>($L9*Costos!$I$5)</f>
        <v>0</v>
      </c>
      <c r="AQ9" s="227">
        <f>($L9*Costos!$L$6)</f>
        <v>0</v>
      </c>
      <c r="AR9" s="228">
        <f>($L9*Costos!$I$6)</f>
        <v>0</v>
      </c>
      <c r="AS9" s="227">
        <f>($L9*Costos!$L$7)</f>
        <v>0</v>
      </c>
      <c r="AT9" s="228">
        <f>($L9*Costos!$I$7)</f>
        <v>0</v>
      </c>
      <c r="AU9" s="227">
        <f>($L9*Costos!$L$8)</f>
        <v>0</v>
      </c>
      <c r="AV9" s="228">
        <f>($L9*Costos!$I$8)</f>
        <v>0</v>
      </c>
      <c r="AW9" s="229">
        <f t="shared" si="3"/>
        <v>0</v>
      </c>
      <c r="AX9" s="211">
        <f t="shared" si="4"/>
        <v>0</v>
      </c>
    </row>
    <row r="10" spans="2:53" x14ac:dyDescent="0.25">
      <c r="B10" s="231"/>
      <c r="C10" s="86"/>
      <c r="D10" s="86"/>
      <c r="E10" s="86"/>
      <c r="F10" s="86"/>
      <c r="G10" s="86"/>
      <c r="H10" s="85"/>
      <c r="I10" s="85"/>
      <c r="J10" s="111"/>
      <c r="K10" s="111"/>
      <c r="L10" s="232"/>
      <c r="M10" s="227">
        <f>($J10*Costos!$J$4)</f>
        <v>0</v>
      </c>
      <c r="N10" s="228">
        <f>($J10*Costos!$G$4)</f>
        <v>0</v>
      </c>
      <c r="O10" s="227">
        <f>($J10*Costos!$J$5)</f>
        <v>0</v>
      </c>
      <c r="P10" s="228">
        <f>($J10*Costos!$G$5)</f>
        <v>0</v>
      </c>
      <c r="Q10" s="227">
        <f>($J10*Costos!$J$6)</f>
        <v>0</v>
      </c>
      <c r="R10" s="228">
        <f>($J10*Costos!$G$6)</f>
        <v>0</v>
      </c>
      <c r="S10" s="227">
        <f>($J10*Costos!$J$7)</f>
        <v>0</v>
      </c>
      <c r="T10" s="228">
        <f>($J10*Costos!$G$7)</f>
        <v>0</v>
      </c>
      <c r="U10" s="227">
        <f>($J10*Costos!$J$8)</f>
        <v>0</v>
      </c>
      <c r="V10" s="228">
        <f>($J10*Costos!$G$8)</f>
        <v>0</v>
      </c>
      <c r="W10" s="229">
        <f t="shared" si="0"/>
        <v>0</v>
      </c>
      <c r="X10" s="211">
        <f t="shared" si="5"/>
        <v>0</v>
      </c>
      <c r="Y10" s="197"/>
      <c r="Z10" s="227">
        <f>($K10*Costos!$K$4)</f>
        <v>0</v>
      </c>
      <c r="AA10" s="228">
        <f>($K10*Costos!$H$4)</f>
        <v>0</v>
      </c>
      <c r="AB10" s="227">
        <f>($K10*Costos!$K$5)</f>
        <v>0</v>
      </c>
      <c r="AC10" s="228">
        <f>($K10*Costos!$H$5)</f>
        <v>0</v>
      </c>
      <c r="AD10" s="227">
        <f>($K10*Costos!$K$6)</f>
        <v>0</v>
      </c>
      <c r="AE10" s="228">
        <f>($K10*Costos!$H$6)</f>
        <v>0</v>
      </c>
      <c r="AF10" s="227">
        <f>($K10*Costos!$K$7)</f>
        <v>0</v>
      </c>
      <c r="AG10" s="228">
        <f>($K10*Costos!$H$7)</f>
        <v>0</v>
      </c>
      <c r="AH10" s="227">
        <f>($K10*Costos!$K$8)</f>
        <v>0</v>
      </c>
      <c r="AI10" s="228">
        <f>($K10*Costos!$H$8)</f>
        <v>0</v>
      </c>
      <c r="AJ10" s="229">
        <f t="shared" si="1"/>
        <v>0</v>
      </c>
      <c r="AK10" s="211">
        <f t="shared" si="2"/>
        <v>0</v>
      </c>
      <c r="AL10" s="197"/>
      <c r="AM10" s="230">
        <f>($L10*Costos!$L$4)</f>
        <v>0</v>
      </c>
      <c r="AN10" s="228">
        <f>($L10*Costos!$I$4)</f>
        <v>0</v>
      </c>
      <c r="AO10" s="227">
        <f>($L10*Costos!$L$5)</f>
        <v>0</v>
      </c>
      <c r="AP10" s="228">
        <f>($L10*Costos!$I$5)</f>
        <v>0</v>
      </c>
      <c r="AQ10" s="227">
        <f>($L10*Costos!$L$6)</f>
        <v>0</v>
      </c>
      <c r="AR10" s="228">
        <f>($L10*Costos!$I$6)</f>
        <v>0</v>
      </c>
      <c r="AS10" s="227">
        <f>($L10*Costos!$L$7)</f>
        <v>0</v>
      </c>
      <c r="AT10" s="228">
        <f>($L10*Costos!$I$7)</f>
        <v>0</v>
      </c>
      <c r="AU10" s="227">
        <f>($L10*Costos!$L$8)</f>
        <v>0</v>
      </c>
      <c r="AV10" s="228">
        <f>($L10*Costos!$I$8)</f>
        <v>0</v>
      </c>
      <c r="AW10" s="229">
        <f t="shared" si="3"/>
        <v>0</v>
      </c>
      <c r="AX10" s="211">
        <f t="shared" si="4"/>
        <v>0</v>
      </c>
    </row>
    <row r="11" spans="2:53" x14ac:dyDescent="0.25">
      <c r="B11" s="233" t="s">
        <v>139</v>
      </c>
      <c r="C11" s="86"/>
      <c r="D11" s="86"/>
      <c r="E11" s="86" t="s">
        <v>67</v>
      </c>
      <c r="F11" s="86"/>
      <c r="G11" s="86"/>
      <c r="H11" s="85"/>
      <c r="I11" s="85"/>
      <c r="J11" s="111">
        <v>8</v>
      </c>
      <c r="K11" s="111"/>
      <c r="L11" s="232"/>
      <c r="M11" s="227">
        <f>($J11*Costos!$J$4)</f>
        <v>139.09774436090225</v>
      </c>
      <c r="N11" s="228">
        <f>($J11*Costos!$G$4)</f>
        <v>111.27819548872181</v>
      </c>
      <c r="O11" s="227">
        <f>($J11*Costos!$J$5)</f>
        <v>231.82957393483707</v>
      </c>
      <c r="P11" s="228">
        <f>($J11*Costos!$G$5)</f>
        <v>185.46365914786966</v>
      </c>
      <c r="Q11" s="227">
        <f>($J11*Costos!$J$6)</f>
        <v>278.19548872180451</v>
      </c>
      <c r="R11" s="228">
        <f>($J11*Costos!$G$6)</f>
        <v>222.55639097744361</v>
      </c>
      <c r="S11" s="227">
        <f>($J11*Costos!$J$7)</f>
        <v>700</v>
      </c>
      <c r="T11" s="228">
        <f>($J11*Costos!$G$7)</f>
        <v>560</v>
      </c>
      <c r="U11" s="227">
        <f>($J11*Costos!$J$8)</f>
        <v>1000</v>
      </c>
      <c r="V11" s="228">
        <f>($J11*Costos!$G$8)</f>
        <v>800</v>
      </c>
      <c r="W11" s="229">
        <f t="shared" si="0"/>
        <v>222.55639097744361</v>
      </c>
      <c r="X11" s="211">
        <f t="shared" si="5"/>
        <v>278.19548872180451</v>
      </c>
      <c r="Y11" s="197"/>
      <c r="Z11" s="227">
        <f>($K11*Costos!$K$4)</f>
        <v>0</v>
      </c>
      <c r="AA11" s="228">
        <f>($K11*Costos!$H$4)</f>
        <v>0</v>
      </c>
      <c r="AB11" s="227">
        <f>($K11*Costos!$K$5)</f>
        <v>0</v>
      </c>
      <c r="AC11" s="228">
        <f>($K11*Costos!$H$5)</f>
        <v>0</v>
      </c>
      <c r="AD11" s="227">
        <f>($K11*Costos!$K$6)</f>
        <v>0</v>
      </c>
      <c r="AE11" s="228">
        <f>($K11*Costos!$H$6)</f>
        <v>0</v>
      </c>
      <c r="AF11" s="227">
        <f>($K11*Costos!$K$7)</f>
        <v>0</v>
      </c>
      <c r="AG11" s="228">
        <f>($K11*Costos!$H$7)</f>
        <v>0</v>
      </c>
      <c r="AH11" s="227">
        <f>($K11*Costos!$K$8)</f>
        <v>0</v>
      </c>
      <c r="AI11" s="228">
        <f>($K11*Costos!$H$8)</f>
        <v>0</v>
      </c>
      <c r="AJ11" s="229">
        <f t="shared" si="1"/>
        <v>0</v>
      </c>
      <c r="AK11" s="211">
        <f t="shared" si="2"/>
        <v>0</v>
      </c>
      <c r="AL11" s="197"/>
      <c r="AM11" s="230">
        <f>($L11*Costos!$L$4)</f>
        <v>0</v>
      </c>
      <c r="AN11" s="228">
        <f>($L11*Costos!$I$4)</f>
        <v>0</v>
      </c>
      <c r="AO11" s="227">
        <f>($L11*Costos!$L$5)</f>
        <v>0</v>
      </c>
      <c r="AP11" s="228">
        <f>($L11*Costos!$I$5)</f>
        <v>0</v>
      </c>
      <c r="AQ11" s="227">
        <f>($L11*Costos!$L$6)</f>
        <v>0</v>
      </c>
      <c r="AR11" s="228">
        <f>($L11*Costos!$I$6)</f>
        <v>0</v>
      </c>
      <c r="AS11" s="227">
        <f>($L11*Costos!$L$7)</f>
        <v>0</v>
      </c>
      <c r="AT11" s="228">
        <f>($L11*Costos!$I$7)</f>
        <v>0</v>
      </c>
      <c r="AU11" s="227">
        <f>($L11*Costos!$L$8)</f>
        <v>0</v>
      </c>
      <c r="AV11" s="228">
        <f>($L11*Costos!$I$8)</f>
        <v>0</v>
      </c>
      <c r="AW11" s="229">
        <f t="shared" si="3"/>
        <v>0</v>
      </c>
      <c r="AX11" s="211">
        <f t="shared" si="4"/>
        <v>0</v>
      </c>
      <c r="AY11" s="111"/>
      <c r="AZ11" s="111"/>
      <c r="BA11" s="232"/>
    </row>
    <row r="12" spans="2:53" x14ac:dyDescent="0.25">
      <c r="B12" s="233"/>
      <c r="C12" s="86"/>
      <c r="D12" s="86"/>
      <c r="E12" s="86"/>
      <c r="F12" s="86"/>
      <c r="G12" s="86"/>
      <c r="H12" s="85"/>
      <c r="I12" s="85"/>
      <c r="J12" s="111"/>
      <c r="K12" s="111"/>
      <c r="L12" s="232"/>
      <c r="M12" s="227">
        <f>($J12*Costos!$J$4)</f>
        <v>0</v>
      </c>
      <c r="N12" s="228">
        <f>($J12*Costos!$G$4)</f>
        <v>0</v>
      </c>
      <c r="O12" s="227">
        <f>($J12*Costos!$J$5)</f>
        <v>0</v>
      </c>
      <c r="P12" s="228">
        <f>($J12*Costos!$G$5)</f>
        <v>0</v>
      </c>
      <c r="Q12" s="227">
        <f>($J12*Costos!$J$6)</f>
        <v>0</v>
      </c>
      <c r="R12" s="228">
        <f>($J12*Costos!$G$6)</f>
        <v>0</v>
      </c>
      <c r="S12" s="227">
        <f>($J12*Costos!$J$7)</f>
        <v>0</v>
      </c>
      <c r="T12" s="228">
        <f>($J12*Costos!$G$7)</f>
        <v>0</v>
      </c>
      <c r="U12" s="227">
        <f>($J12*Costos!$J$8)</f>
        <v>0</v>
      </c>
      <c r="V12" s="228">
        <f>($J12*Costos!$G$8)</f>
        <v>0</v>
      </c>
      <c r="W12" s="229">
        <f t="shared" si="0"/>
        <v>0</v>
      </c>
      <c r="X12" s="211">
        <f t="shared" si="5"/>
        <v>0</v>
      </c>
      <c r="Y12" s="197"/>
      <c r="Z12" s="227">
        <f>($K12*Costos!$K$4)</f>
        <v>0</v>
      </c>
      <c r="AA12" s="228">
        <f>($K12*Costos!$H$4)</f>
        <v>0</v>
      </c>
      <c r="AB12" s="227">
        <f>($K12*Costos!$K$5)</f>
        <v>0</v>
      </c>
      <c r="AC12" s="228">
        <f>($K12*Costos!$H$5)</f>
        <v>0</v>
      </c>
      <c r="AD12" s="227">
        <f>($K12*Costos!$K$6)</f>
        <v>0</v>
      </c>
      <c r="AE12" s="228">
        <f>($K12*Costos!$H$6)</f>
        <v>0</v>
      </c>
      <c r="AF12" s="227">
        <f>($K12*Costos!$K$7)</f>
        <v>0</v>
      </c>
      <c r="AG12" s="228">
        <f>($K12*Costos!$H$7)</f>
        <v>0</v>
      </c>
      <c r="AH12" s="227">
        <f>($K12*Costos!$K$8)</f>
        <v>0</v>
      </c>
      <c r="AI12" s="228">
        <f>($K12*Costos!$H$8)</f>
        <v>0</v>
      </c>
      <c r="AJ12" s="229">
        <f t="shared" si="1"/>
        <v>0</v>
      </c>
      <c r="AK12" s="211">
        <f t="shared" si="2"/>
        <v>0</v>
      </c>
      <c r="AL12" s="197"/>
      <c r="AM12" s="230">
        <f>($L12*Costos!$L$4)</f>
        <v>0</v>
      </c>
      <c r="AN12" s="228">
        <f>($L12*Costos!$I$4)</f>
        <v>0</v>
      </c>
      <c r="AO12" s="227">
        <f>($L12*Costos!$L$5)</f>
        <v>0</v>
      </c>
      <c r="AP12" s="228">
        <f>($L12*Costos!$I$5)</f>
        <v>0</v>
      </c>
      <c r="AQ12" s="227">
        <f>($L12*Costos!$L$6)</f>
        <v>0</v>
      </c>
      <c r="AR12" s="228">
        <f>($L12*Costos!$I$6)</f>
        <v>0</v>
      </c>
      <c r="AS12" s="227">
        <f>($L12*Costos!$L$7)</f>
        <v>0</v>
      </c>
      <c r="AT12" s="228">
        <f>($L12*Costos!$I$7)</f>
        <v>0</v>
      </c>
      <c r="AU12" s="227">
        <f>($L12*Costos!$L$8)</f>
        <v>0</v>
      </c>
      <c r="AV12" s="228">
        <f>($L12*Costos!$I$8)</f>
        <v>0</v>
      </c>
      <c r="AW12" s="229">
        <f t="shared" si="3"/>
        <v>0</v>
      </c>
      <c r="AX12" s="211">
        <f t="shared" si="4"/>
        <v>0</v>
      </c>
      <c r="AY12" s="111"/>
      <c r="AZ12" s="111"/>
      <c r="BA12" s="232"/>
    </row>
    <row r="13" spans="2:53" x14ac:dyDescent="0.25">
      <c r="B13" s="233"/>
      <c r="C13" s="86"/>
      <c r="D13" s="86"/>
      <c r="E13" s="86"/>
      <c r="F13" s="86"/>
      <c r="G13" s="86"/>
      <c r="H13" s="85"/>
      <c r="I13" s="85"/>
      <c r="J13" s="111"/>
      <c r="K13" s="111"/>
      <c r="L13" s="232"/>
      <c r="M13" s="227">
        <f>($J13*Costos!$J$4)</f>
        <v>0</v>
      </c>
      <c r="N13" s="228">
        <f>($J13*Costos!$G$4)</f>
        <v>0</v>
      </c>
      <c r="O13" s="227">
        <f>($J13*Costos!$J$5)</f>
        <v>0</v>
      </c>
      <c r="P13" s="228">
        <f>($J13*Costos!$G$5)</f>
        <v>0</v>
      </c>
      <c r="Q13" s="227">
        <f>($J13*Costos!$J$6)</f>
        <v>0</v>
      </c>
      <c r="R13" s="228">
        <f>($J13*Costos!$G$6)</f>
        <v>0</v>
      </c>
      <c r="S13" s="227">
        <f>($J13*Costos!$J$7)</f>
        <v>0</v>
      </c>
      <c r="T13" s="228">
        <f>($J13*Costos!$G$7)</f>
        <v>0</v>
      </c>
      <c r="U13" s="227">
        <f>($J13*Costos!$J$8)</f>
        <v>0</v>
      </c>
      <c r="V13" s="228">
        <f>($J13*Costos!$G$8)</f>
        <v>0</v>
      </c>
      <c r="W13" s="229">
        <f t="shared" si="0"/>
        <v>0</v>
      </c>
      <c r="X13" s="211">
        <f t="shared" si="5"/>
        <v>0</v>
      </c>
      <c r="Y13" s="197"/>
      <c r="Z13" s="227">
        <f>($K13*Costos!$K$4)</f>
        <v>0</v>
      </c>
      <c r="AA13" s="228">
        <f>($K13*Costos!$H$4)</f>
        <v>0</v>
      </c>
      <c r="AB13" s="227">
        <f>($K13*Costos!$K$5)</f>
        <v>0</v>
      </c>
      <c r="AC13" s="228">
        <f>($K13*Costos!$H$5)</f>
        <v>0</v>
      </c>
      <c r="AD13" s="227">
        <f>($K13*Costos!$K$6)</f>
        <v>0</v>
      </c>
      <c r="AE13" s="228">
        <f>($K13*Costos!$H$6)</f>
        <v>0</v>
      </c>
      <c r="AF13" s="227">
        <f>($K13*Costos!$K$7)</f>
        <v>0</v>
      </c>
      <c r="AG13" s="228">
        <f>($K13*Costos!$H$7)</f>
        <v>0</v>
      </c>
      <c r="AH13" s="227">
        <f>($K13*Costos!$K$8)</f>
        <v>0</v>
      </c>
      <c r="AI13" s="228">
        <f>($K13*Costos!$H$8)</f>
        <v>0</v>
      </c>
      <c r="AJ13" s="229">
        <f t="shared" si="1"/>
        <v>0</v>
      </c>
      <c r="AK13" s="211">
        <f t="shared" si="2"/>
        <v>0</v>
      </c>
      <c r="AL13" s="197"/>
      <c r="AM13" s="230">
        <f>($L13*Costos!$L$4)</f>
        <v>0</v>
      </c>
      <c r="AN13" s="228">
        <f>($L13*Costos!$I$4)</f>
        <v>0</v>
      </c>
      <c r="AO13" s="227">
        <f>($L13*Costos!$L$5)</f>
        <v>0</v>
      </c>
      <c r="AP13" s="228">
        <f>($L13*Costos!$I$5)</f>
        <v>0</v>
      </c>
      <c r="AQ13" s="227">
        <f>($L13*Costos!$L$6)</f>
        <v>0</v>
      </c>
      <c r="AR13" s="228">
        <f>($L13*Costos!$I$6)</f>
        <v>0</v>
      </c>
      <c r="AS13" s="227">
        <f>($L13*Costos!$L$7)</f>
        <v>0</v>
      </c>
      <c r="AT13" s="228">
        <f>($L13*Costos!$I$7)</f>
        <v>0</v>
      </c>
      <c r="AU13" s="227">
        <f>($L13*Costos!$L$8)</f>
        <v>0</v>
      </c>
      <c r="AV13" s="228">
        <f>($L13*Costos!$I$8)</f>
        <v>0</v>
      </c>
      <c r="AW13" s="229">
        <f t="shared" si="3"/>
        <v>0</v>
      </c>
      <c r="AX13" s="211">
        <f t="shared" si="4"/>
        <v>0</v>
      </c>
      <c r="AY13" s="111"/>
      <c r="AZ13" s="111"/>
      <c r="BA13" s="232"/>
    </row>
    <row r="14" spans="2:53" x14ac:dyDescent="0.25">
      <c r="B14" s="233"/>
      <c r="C14" s="86"/>
      <c r="D14" s="86"/>
      <c r="E14" s="86"/>
      <c r="F14" s="86"/>
      <c r="G14" s="86"/>
      <c r="H14" s="85"/>
      <c r="I14" s="85"/>
      <c r="J14" s="111"/>
      <c r="K14" s="111"/>
      <c r="L14" s="232"/>
      <c r="M14" s="227">
        <f>($J14*Costos!$J$4)</f>
        <v>0</v>
      </c>
      <c r="N14" s="228">
        <f>($J14*Costos!$G$4)</f>
        <v>0</v>
      </c>
      <c r="O14" s="227">
        <f>($J14*Costos!$J$5)</f>
        <v>0</v>
      </c>
      <c r="P14" s="228">
        <f>($J14*Costos!$G$5)</f>
        <v>0</v>
      </c>
      <c r="Q14" s="227">
        <f>($J14*Costos!$J$6)</f>
        <v>0</v>
      </c>
      <c r="R14" s="228">
        <f>($J14*Costos!$G$6)</f>
        <v>0</v>
      </c>
      <c r="S14" s="227">
        <f>($J14*Costos!$J$7)</f>
        <v>0</v>
      </c>
      <c r="T14" s="228">
        <f>($J14*Costos!$G$7)</f>
        <v>0</v>
      </c>
      <c r="U14" s="227">
        <f>($J14*Costos!$J$8)</f>
        <v>0</v>
      </c>
      <c r="V14" s="228">
        <f>($J14*Costos!$G$8)</f>
        <v>0</v>
      </c>
      <c r="W14" s="229">
        <f t="shared" si="0"/>
        <v>0</v>
      </c>
      <c r="X14" s="211">
        <f t="shared" si="5"/>
        <v>0</v>
      </c>
      <c r="Y14" s="197"/>
      <c r="Z14" s="227">
        <f>($K14*Costos!$K$4)</f>
        <v>0</v>
      </c>
      <c r="AA14" s="228">
        <f>($K14*Costos!$H$4)</f>
        <v>0</v>
      </c>
      <c r="AB14" s="227">
        <f>($K14*Costos!$K$5)</f>
        <v>0</v>
      </c>
      <c r="AC14" s="228">
        <f>($K14*Costos!$H$5)</f>
        <v>0</v>
      </c>
      <c r="AD14" s="227">
        <f>($K14*Costos!$K$6)</f>
        <v>0</v>
      </c>
      <c r="AE14" s="228">
        <f>($K14*Costos!$H$6)</f>
        <v>0</v>
      </c>
      <c r="AF14" s="227">
        <f>($K14*Costos!$K$7)</f>
        <v>0</v>
      </c>
      <c r="AG14" s="228">
        <f>($K14*Costos!$H$7)</f>
        <v>0</v>
      </c>
      <c r="AH14" s="227">
        <f>($K14*Costos!$K$8)</f>
        <v>0</v>
      </c>
      <c r="AI14" s="228">
        <f>($K14*Costos!$H$8)</f>
        <v>0</v>
      </c>
      <c r="AJ14" s="229">
        <f t="shared" si="1"/>
        <v>0</v>
      </c>
      <c r="AK14" s="211">
        <f t="shared" si="2"/>
        <v>0</v>
      </c>
      <c r="AL14" s="197"/>
      <c r="AM14" s="230">
        <f>($L14*Costos!$L$4)</f>
        <v>0</v>
      </c>
      <c r="AN14" s="228">
        <f>($L14*Costos!$I$4)</f>
        <v>0</v>
      </c>
      <c r="AO14" s="227">
        <f>($L14*Costos!$L$5)</f>
        <v>0</v>
      </c>
      <c r="AP14" s="228">
        <f>($L14*Costos!$I$5)</f>
        <v>0</v>
      </c>
      <c r="AQ14" s="227">
        <f>($L14*Costos!$L$6)</f>
        <v>0</v>
      </c>
      <c r="AR14" s="228">
        <f>($L14*Costos!$I$6)</f>
        <v>0</v>
      </c>
      <c r="AS14" s="227">
        <f>($L14*Costos!$L$7)</f>
        <v>0</v>
      </c>
      <c r="AT14" s="228">
        <f>($L14*Costos!$I$7)</f>
        <v>0</v>
      </c>
      <c r="AU14" s="227">
        <f>($L14*Costos!$L$8)</f>
        <v>0</v>
      </c>
      <c r="AV14" s="228">
        <f>($L14*Costos!$I$8)</f>
        <v>0</v>
      </c>
      <c r="AW14" s="229">
        <f t="shared" si="3"/>
        <v>0</v>
      </c>
      <c r="AX14" s="211">
        <f t="shared" si="4"/>
        <v>0</v>
      </c>
      <c r="AY14" s="111"/>
      <c r="AZ14" s="111"/>
      <c r="BA14" s="232"/>
    </row>
    <row r="15" spans="2:53" x14ac:dyDescent="0.25">
      <c r="B15" s="79"/>
      <c r="C15" s="86"/>
      <c r="D15" s="86"/>
      <c r="E15" s="86"/>
      <c r="F15" s="86"/>
      <c r="G15" s="86"/>
      <c r="H15" s="85"/>
      <c r="I15" s="85"/>
      <c r="J15" s="111"/>
      <c r="K15" s="111"/>
      <c r="L15" s="232"/>
      <c r="M15" s="227">
        <f>($J15*Costos!$J$4)</f>
        <v>0</v>
      </c>
      <c r="N15" s="228">
        <f>($J15*Costos!$G$4)</f>
        <v>0</v>
      </c>
      <c r="O15" s="227">
        <f>($J15*Costos!$J$5)</f>
        <v>0</v>
      </c>
      <c r="P15" s="228">
        <f>($J15*Costos!$G$5)</f>
        <v>0</v>
      </c>
      <c r="Q15" s="227">
        <f>($J15*Costos!$J$6)</f>
        <v>0</v>
      </c>
      <c r="R15" s="228">
        <f>($J15*Costos!$G$6)</f>
        <v>0</v>
      </c>
      <c r="S15" s="227">
        <f>($J15*Costos!$J$7)</f>
        <v>0</v>
      </c>
      <c r="T15" s="228">
        <f>($J15*Costos!$G$7)</f>
        <v>0</v>
      </c>
      <c r="U15" s="227">
        <f>($J15*Costos!$J$8)</f>
        <v>0</v>
      </c>
      <c r="V15" s="228">
        <f>($J15*Costos!$G$8)</f>
        <v>0</v>
      </c>
      <c r="W15" s="229">
        <f t="shared" si="0"/>
        <v>0</v>
      </c>
      <c r="X15" s="211">
        <f t="shared" si="5"/>
        <v>0</v>
      </c>
      <c r="Y15" s="197"/>
      <c r="Z15" s="227">
        <f>($K15*Costos!$K$4)</f>
        <v>0</v>
      </c>
      <c r="AA15" s="228">
        <f>($K15*Costos!$H$4)</f>
        <v>0</v>
      </c>
      <c r="AB15" s="227">
        <f>($K15*Costos!$K$5)</f>
        <v>0</v>
      </c>
      <c r="AC15" s="228">
        <f>($K15*Costos!$H$5)</f>
        <v>0</v>
      </c>
      <c r="AD15" s="227">
        <f>($K15*Costos!$K$6)</f>
        <v>0</v>
      </c>
      <c r="AE15" s="228">
        <f>($K15*Costos!$H$6)</f>
        <v>0</v>
      </c>
      <c r="AF15" s="227">
        <f>($K15*Costos!$K$7)</f>
        <v>0</v>
      </c>
      <c r="AG15" s="228">
        <f>($K15*Costos!$H$7)</f>
        <v>0</v>
      </c>
      <c r="AH15" s="227">
        <f>($K15*Costos!$K$8)</f>
        <v>0</v>
      </c>
      <c r="AI15" s="228">
        <f>($K15*Costos!$H$8)</f>
        <v>0</v>
      </c>
      <c r="AJ15" s="229">
        <f t="shared" si="1"/>
        <v>0</v>
      </c>
      <c r="AK15" s="211">
        <f t="shared" si="2"/>
        <v>0</v>
      </c>
      <c r="AL15" s="197"/>
      <c r="AM15" s="230">
        <f>($L15*Costos!$L$4)</f>
        <v>0</v>
      </c>
      <c r="AN15" s="228">
        <f>($L15*Costos!$I$4)</f>
        <v>0</v>
      </c>
      <c r="AO15" s="227">
        <f>($L15*Costos!$L$5)</f>
        <v>0</v>
      </c>
      <c r="AP15" s="228">
        <f>($L15*Costos!$I$5)</f>
        <v>0</v>
      </c>
      <c r="AQ15" s="227">
        <f>($L15*Costos!$L$6)</f>
        <v>0</v>
      </c>
      <c r="AR15" s="228">
        <f>($L15*Costos!$I$6)</f>
        <v>0</v>
      </c>
      <c r="AS15" s="227">
        <f>($L15*Costos!$L$7)</f>
        <v>0</v>
      </c>
      <c r="AT15" s="228">
        <f>($L15*Costos!$I$7)</f>
        <v>0</v>
      </c>
      <c r="AU15" s="227">
        <f>($L15*Costos!$L$8)</f>
        <v>0</v>
      </c>
      <c r="AV15" s="228">
        <f>($L15*Costos!$I$8)</f>
        <v>0</v>
      </c>
      <c r="AW15" s="229">
        <f t="shared" si="3"/>
        <v>0</v>
      </c>
      <c r="AX15" s="211">
        <f t="shared" si="4"/>
        <v>0</v>
      </c>
      <c r="AY15" s="111"/>
      <c r="AZ15" s="111"/>
      <c r="BA15" s="232"/>
    </row>
    <row r="16" spans="2:53" x14ac:dyDescent="0.25">
      <c r="B16" s="79"/>
      <c r="C16" s="86"/>
      <c r="D16" s="86"/>
      <c r="E16" s="86"/>
      <c r="F16" s="86"/>
      <c r="G16" s="86"/>
      <c r="H16" s="85"/>
      <c r="I16" s="85"/>
      <c r="J16" s="111"/>
      <c r="K16" s="111"/>
      <c r="L16" s="232"/>
      <c r="M16" s="227">
        <f>($J16*Costos!$J$4)</f>
        <v>0</v>
      </c>
      <c r="N16" s="228">
        <f>($J16*Costos!$G$4)</f>
        <v>0</v>
      </c>
      <c r="O16" s="227">
        <f>($J16*Costos!$J$5)</f>
        <v>0</v>
      </c>
      <c r="P16" s="228">
        <f>($J16*Costos!$G$5)</f>
        <v>0</v>
      </c>
      <c r="Q16" s="227">
        <f>($J16*Costos!$J$6)</f>
        <v>0</v>
      </c>
      <c r="R16" s="228">
        <f>($J16*Costos!$G$6)</f>
        <v>0</v>
      </c>
      <c r="S16" s="227">
        <f>($J16*Costos!$J$7)</f>
        <v>0</v>
      </c>
      <c r="T16" s="228">
        <f>($J16*Costos!$G$7)</f>
        <v>0</v>
      </c>
      <c r="U16" s="227">
        <f>($J16*Costos!$J$8)</f>
        <v>0</v>
      </c>
      <c r="V16" s="228">
        <f>($J16*Costos!$G$8)</f>
        <v>0</v>
      </c>
      <c r="W16" s="229">
        <f t="shared" si="0"/>
        <v>0</v>
      </c>
      <c r="X16" s="211">
        <f t="shared" si="5"/>
        <v>0</v>
      </c>
      <c r="Y16" s="197"/>
      <c r="Z16" s="227">
        <f>($K16*Costos!$K$4)</f>
        <v>0</v>
      </c>
      <c r="AA16" s="228">
        <f>($K16*Costos!$H$4)</f>
        <v>0</v>
      </c>
      <c r="AB16" s="227">
        <f>($K16*Costos!$K$5)</f>
        <v>0</v>
      </c>
      <c r="AC16" s="228">
        <f>($K16*Costos!$H$5)</f>
        <v>0</v>
      </c>
      <c r="AD16" s="227">
        <f>($K16*Costos!$K$6)</f>
        <v>0</v>
      </c>
      <c r="AE16" s="228">
        <f>($K16*Costos!$H$6)</f>
        <v>0</v>
      </c>
      <c r="AF16" s="227">
        <f>($K16*Costos!$K$7)</f>
        <v>0</v>
      </c>
      <c r="AG16" s="228">
        <f>($K16*Costos!$H$7)</f>
        <v>0</v>
      </c>
      <c r="AH16" s="227">
        <f>($K16*Costos!$K$8)</f>
        <v>0</v>
      </c>
      <c r="AI16" s="228">
        <f>($K16*Costos!$H$8)</f>
        <v>0</v>
      </c>
      <c r="AJ16" s="229">
        <f t="shared" si="1"/>
        <v>0</v>
      </c>
      <c r="AK16" s="211">
        <f t="shared" si="2"/>
        <v>0</v>
      </c>
      <c r="AL16" s="197"/>
      <c r="AM16" s="230">
        <f>($L16*Costos!$L$4)</f>
        <v>0</v>
      </c>
      <c r="AN16" s="228">
        <f>($L16*Costos!$I$4)</f>
        <v>0</v>
      </c>
      <c r="AO16" s="227">
        <f>($L16*Costos!$L$5)</f>
        <v>0</v>
      </c>
      <c r="AP16" s="228">
        <f>($L16*Costos!$I$5)</f>
        <v>0</v>
      </c>
      <c r="AQ16" s="227">
        <f>($L16*Costos!$L$6)</f>
        <v>0</v>
      </c>
      <c r="AR16" s="228">
        <f>($L16*Costos!$I$6)</f>
        <v>0</v>
      </c>
      <c r="AS16" s="227">
        <f>($L16*Costos!$L$7)</f>
        <v>0</v>
      </c>
      <c r="AT16" s="228">
        <f>($L16*Costos!$I$7)</f>
        <v>0</v>
      </c>
      <c r="AU16" s="227">
        <f>($L16*Costos!$L$8)</f>
        <v>0</v>
      </c>
      <c r="AV16" s="228">
        <f>($L16*Costos!$I$8)</f>
        <v>0</v>
      </c>
      <c r="AW16" s="229">
        <f t="shared" si="3"/>
        <v>0</v>
      </c>
      <c r="AX16" s="211">
        <f t="shared" si="4"/>
        <v>0</v>
      </c>
      <c r="AY16" s="111"/>
      <c r="AZ16" s="111"/>
      <c r="BA16" s="232"/>
    </row>
    <row r="17" spans="2:57" x14ac:dyDescent="0.25">
      <c r="B17" s="79"/>
      <c r="C17" s="86"/>
      <c r="D17" s="86"/>
      <c r="E17" s="86"/>
      <c r="F17" s="86"/>
      <c r="G17" s="86"/>
      <c r="H17" s="85"/>
      <c r="I17" s="85"/>
      <c r="J17" s="111"/>
      <c r="K17" s="111"/>
      <c r="L17" s="232"/>
      <c r="M17" s="227">
        <f>($J17*Costos!$J$4)</f>
        <v>0</v>
      </c>
      <c r="N17" s="228">
        <f>($J17*Costos!$G$4)</f>
        <v>0</v>
      </c>
      <c r="O17" s="227">
        <f>($J17*Costos!$J$5)</f>
        <v>0</v>
      </c>
      <c r="P17" s="228">
        <f>($J17*Costos!$G$5)</f>
        <v>0</v>
      </c>
      <c r="Q17" s="227">
        <f>($J17*Costos!$J$6)</f>
        <v>0</v>
      </c>
      <c r="R17" s="228">
        <f>($J17*Costos!$G$6)</f>
        <v>0</v>
      </c>
      <c r="S17" s="227">
        <f>($J17*Costos!$J$7)</f>
        <v>0</v>
      </c>
      <c r="T17" s="228">
        <f>($J17*Costos!$G$7)</f>
        <v>0</v>
      </c>
      <c r="U17" s="227">
        <f>($J17*Costos!$J$8)</f>
        <v>0</v>
      </c>
      <c r="V17" s="228">
        <f>($J17*Costos!$G$8)</f>
        <v>0</v>
      </c>
      <c r="W17" s="229">
        <f t="shared" si="0"/>
        <v>0</v>
      </c>
      <c r="X17" s="211">
        <f t="shared" si="5"/>
        <v>0</v>
      </c>
      <c r="Y17" s="197"/>
      <c r="Z17" s="227">
        <f>($K17*Costos!$K$4)</f>
        <v>0</v>
      </c>
      <c r="AA17" s="228">
        <f>($K17*Costos!$H$4)</f>
        <v>0</v>
      </c>
      <c r="AB17" s="227">
        <f>($K17*Costos!$K$5)</f>
        <v>0</v>
      </c>
      <c r="AC17" s="228">
        <f>($K17*Costos!$H$5)</f>
        <v>0</v>
      </c>
      <c r="AD17" s="227">
        <f>($K17*Costos!$K$6)</f>
        <v>0</v>
      </c>
      <c r="AE17" s="228">
        <f>($K17*Costos!$H$6)</f>
        <v>0</v>
      </c>
      <c r="AF17" s="227">
        <f>($K17*Costos!$K$7)</f>
        <v>0</v>
      </c>
      <c r="AG17" s="228">
        <f>($K17*Costos!$H$7)</f>
        <v>0</v>
      </c>
      <c r="AH17" s="227">
        <f>($K17*Costos!$K$8)</f>
        <v>0</v>
      </c>
      <c r="AI17" s="228">
        <f>($K17*Costos!$H$8)</f>
        <v>0</v>
      </c>
      <c r="AJ17" s="229">
        <f t="shared" si="1"/>
        <v>0</v>
      </c>
      <c r="AK17" s="211">
        <f t="shared" si="2"/>
        <v>0</v>
      </c>
      <c r="AL17" s="197"/>
      <c r="AM17" s="230">
        <f>($L17*Costos!$L$4)</f>
        <v>0</v>
      </c>
      <c r="AN17" s="228">
        <f>($L17*Costos!$I$4)</f>
        <v>0</v>
      </c>
      <c r="AO17" s="227">
        <f>($L17*Costos!$L$5)</f>
        <v>0</v>
      </c>
      <c r="AP17" s="228">
        <f>($L17*Costos!$I$5)</f>
        <v>0</v>
      </c>
      <c r="AQ17" s="227">
        <f>($L17*Costos!$L$6)</f>
        <v>0</v>
      </c>
      <c r="AR17" s="228">
        <f>($L17*Costos!$I$6)</f>
        <v>0</v>
      </c>
      <c r="AS17" s="227">
        <f>($L17*Costos!$L$7)</f>
        <v>0</v>
      </c>
      <c r="AT17" s="228">
        <f>($L17*Costos!$I$7)</f>
        <v>0</v>
      </c>
      <c r="AU17" s="227">
        <f>($L17*Costos!$L$8)</f>
        <v>0</v>
      </c>
      <c r="AV17" s="228">
        <f>($L17*Costos!$I$8)</f>
        <v>0</v>
      </c>
      <c r="AW17" s="229">
        <f t="shared" si="3"/>
        <v>0</v>
      </c>
      <c r="AX17" s="211">
        <f t="shared" si="4"/>
        <v>0</v>
      </c>
      <c r="AY17" s="111"/>
      <c r="AZ17" s="111"/>
      <c r="BA17" s="232"/>
    </row>
    <row r="18" spans="2:57" x14ac:dyDescent="0.25">
      <c r="B18" s="19"/>
      <c r="C18" s="86"/>
      <c r="D18" s="86"/>
      <c r="E18" s="86"/>
      <c r="F18" s="86"/>
      <c r="G18" s="86"/>
      <c r="H18" s="85"/>
      <c r="I18" s="85"/>
      <c r="J18" s="111"/>
      <c r="K18" s="111"/>
      <c r="L18" s="232"/>
      <c r="M18" s="227">
        <f>($J18*Costos!$J$4)</f>
        <v>0</v>
      </c>
      <c r="N18" s="228">
        <f>($J18*Costos!$G$4)</f>
        <v>0</v>
      </c>
      <c r="O18" s="227">
        <f>($J18*Costos!$J$5)</f>
        <v>0</v>
      </c>
      <c r="P18" s="228">
        <f>($J18*Costos!$G$5)</f>
        <v>0</v>
      </c>
      <c r="Q18" s="227">
        <f>($J18*Costos!$J$6)</f>
        <v>0</v>
      </c>
      <c r="R18" s="228">
        <f>($J18*Costos!$G$6)</f>
        <v>0</v>
      </c>
      <c r="S18" s="227">
        <f>($J18*Costos!$J$7)</f>
        <v>0</v>
      </c>
      <c r="T18" s="228">
        <f>($J18*Costos!$G$7)</f>
        <v>0</v>
      </c>
      <c r="U18" s="227">
        <f>($J18*Costos!$J$8)</f>
        <v>0</v>
      </c>
      <c r="V18" s="228">
        <f>($J18*Costos!$G$8)</f>
        <v>0</v>
      </c>
      <c r="W18" s="229">
        <f t="shared" si="0"/>
        <v>0</v>
      </c>
      <c r="X18" s="211">
        <f t="shared" si="5"/>
        <v>0</v>
      </c>
      <c r="Y18" s="197"/>
      <c r="Z18" s="227">
        <f>($K18*Costos!$K$4)</f>
        <v>0</v>
      </c>
      <c r="AA18" s="228">
        <f>($K18*Costos!$H$4)</f>
        <v>0</v>
      </c>
      <c r="AB18" s="227">
        <f>($K18*Costos!$K$5)</f>
        <v>0</v>
      </c>
      <c r="AC18" s="228">
        <f>($K18*Costos!$H$5)</f>
        <v>0</v>
      </c>
      <c r="AD18" s="227">
        <f>($K18*Costos!$K$6)</f>
        <v>0</v>
      </c>
      <c r="AE18" s="228">
        <f>($K18*Costos!$H$6)</f>
        <v>0</v>
      </c>
      <c r="AF18" s="227">
        <f>($K18*Costos!$K$7)</f>
        <v>0</v>
      </c>
      <c r="AG18" s="228">
        <f>($K18*Costos!$H$7)</f>
        <v>0</v>
      </c>
      <c r="AH18" s="227">
        <f>($K18*Costos!$K$8)</f>
        <v>0</v>
      </c>
      <c r="AI18" s="228">
        <f>($K18*Costos!$H$8)</f>
        <v>0</v>
      </c>
      <c r="AJ18" s="229">
        <f t="shared" si="1"/>
        <v>0</v>
      </c>
      <c r="AK18" s="211">
        <f t="shared" si="2"/>
        <v>0</v>
      </c>
      <c r="AL18" s="197"/>
      <c r="AM18" s="230">
        <f>($L18*Costos!$L$4)</f>
        <v>0</v>
      </c>
      <c r="AN18" s="228">
        <f>($L18*Costos!$I$4)</f>
        <v>0</v>
      </c>
      <c r="AO18" s="227">
        <f>($L18*Costos!$L$5)</f>
        <v>0</v>
      </c>
      <c r="AP18" s="228">
        <f>($L18*Costos!$I$5)</f>
        <v>0</v>
      </c>
      <c r="AQ18" s="227">
        <f>($L18*Costos!$L$6)</f>
        <v>0</v>
      </c>
      <c r="AR18" s="228">
        <f>($L18*Costos!$I$6)</f>
        <v>0</v>
      </c>
      <c r="AS18" s="227">
        <f>($L18*Costos!$L$7)</f>
        <v>0</v>
      </c>
      <c r="AT18" s="228">
        <f>($L18*Costos!$I$7)</f>
        <v>0</v>
      </c>
      <c r="AU18" s="227">
        <f>($L18*Costos!$L$8)</f>
        <v>0</v>
      </c>
      <c r="AV18" s="228">
        <f>($L18*Costos!$I$8)</f>
        <v>0</v>
      </c>
      <c r="AW18" s="229">
        <f t="shared" si="3"/>
        <v>0</v>
      </c>
      <c r="AX18" s="211">
        <f t="shared" si="4"/>
        <v>0</v>
      </c>
      <c r="AY18" s="111"/>
      <c r="AZ18" s="111"/>
      <c r="BA18" s="232"/>
    </row>
    <row r="19" spans="2:57" x14ac:dyDescent="0.25">
      <c r="B19" s="19"/>
      <c r="C19" s="86"/>
      <c r="D19" s="86"/>
      <c r="E19" s="86"/>
      <c r="F19" s="86"/>
      <c r="G19" s="86"/>
      <c r="H19" s="85"/>
      <c r="I19" s="85"/>
      <c r="J19" s="111"/>
      <c r="K19" s="111"/>
      <c r="L19" s="232"/>
      <c r="M19" s="227">
        <f>($J19*Costos!$J$4)</f>
        <v>0</v>
      </c>
      <c r="N19" s="228">
        <f>($J19*Costos!$G$4)</f>
        <v>0</v>
      </c>
      <c r="O19" s="227">
        <f>($J19*Costos!$J$5)</f>
        <v>0</v>
      </c>
      <c r="P19" s="228">
        <f>($J19*Costos!$G$5)</f>
        <v>0</v>
      </c>
      <c r="Q19" s="227">
        <f>($J19*Costos!$J$6)</f>
        <v>0</v>
      </c>
      <c r="R19" s="228">
        <f>($J19*Costos!$G$6)</f>
        <v>0</v>
      </c>
      <c r="S19" s="227">
        <f>($J19*Costos!$J$7)</f>
        <v>0</v>
      </c>
      <c r="T19" s="228">
        <f>($J19*Costos!$G$7)</f>
        <v>0</v>
      </c>
      <c r="U19" s="227">
        <f>($J19*Costos!$J$8)</f>
        <v>0</v>
      </c>
      <c r="V19" s="228">
        <f>($J19*Costos!$G$8)</f>
        <v>0</v>
      </c>
      <c r="W19" s="229">
        <f t="shared" si="0"/>
        <v>0</v>
      </c>
      <c r="X19" s="211">
        <f t="shared" si="5"/>
        <v>0</v>
      </c>
      <c r="Y19" s="197"/>
      <c r="Z19" s="227">
        <f>($K19*Costos!$K$4)</f>
        <v>0</v>
      </c>
      <c r="AA19" s="228">
        <f>($K19*Costos!$H$4)</f>
        <v>0</v>
      </c>
      <c r="AB19" s="227">
        <f>($K19*Costos!$K$5)</f>
        <v>0</v>
      </c>
      <c r="AC19" s="228">
        <f>($K19*Costos!$H$5)</f>
        <v>0</v>
      </c>
      <c r="AD19" s="227">
        <f>($K19*Costos!$K$6)</f>
        <v>0</v>
      </c>
      <c r="AE19" s="228">
        <f>($K19*Costos!$H$6)</f>
        <v>0</v>
      </c>
      <c r="AF19" s="227">
        <f>($K19*Costos!$K$7)</f>
        <v>0</v>
      </c>
      <c r="AG19" s="228">
        <f>($K19*Costos!$H$7)</f>
        <v>0</v>
      </c>
      <c r="AH19" s="227">
        <f>($K19*Costos!$K$8)</f>
        <v>0</v>
      </c>
      <c r="AI19" s="228">
        <f>($K19*Costos!$H$8)</f>
        <v>0</v>
      </c>
      <c r="AJ19" s="229">
        <f t="shared" si="1"/>
        <v>0</v>
      </c>
      <c r="AK19" s="211">
        <f t="shared" si="2"/>
        <v>0</v>
      </c>
      <c r="AL19" s="197"/>
      <c r="AM19" s="230">
        <f>($L19*Costos!$L$4)</f>
        <v>0</v>
      </c>
      <c r="AN19" s="228">
        <f>($L19*Costos!$I$4)</f>
        <v>0</v>
      </c>
      <c r="AO19" s="227">
        <f>($L19*Costos!$L$5)</f>
        <v>0</v>
      </c>
      <c r="AP19" s="228">
        <f>($L19*Costos!$I$5)</f>
        <v>0</v>
      </c>
      <c r="AQ19" s="227">
        <f>($L19*Costos!$L$6)</f>
        <v>0</v>
      </c>
      <c r="AR19" s="228">
        <f>($L19*Costos!$I$6)</f>
        <v>0</v>
      </c>
      <c r="AS19" s="227">
        <f>($L19*Costos!$L$7)</f>
        <v>0</v>
      </c>
      <c r="AT19" s="228">
        <f>($L19*Costos!$I$7)</f>
        <v>0</v>
      </c>
      <c r="AU19" s="227">
        <f>($L19*Costos!$L$8)</f>
        <v>0</v>
      </c>
      <c r="AV19" s="228">
        <f>($L19*Costos!$I$8)</f>
        <v>0</v>
      </c>
      <c r="AW19" s="229">
        <f t="shared" si="3"/>
        <v>0</v>
      </c>
      <c r="AX19" s="211">
        <f t="shared" si="4"/>
        <v>0</v>
      </c>
      <c r="AY19" s="111"/>
      <c r="AZ19" s="111"/>
      <c r="BA19" s="232"/>
    </row>
    <row r="20" spans="2:57" x14ac:dyDescent="0.25">
      <c r="B20" s="16"/>
      <c r="C20" s="86"/>
      <c r="D20" s="86"/>
      <c r="E20" s="86"/>
      <c r="F20" s="86"/>
      <c r="G20" s="86"/>
      <c r="H20" s="85"/>
      <c r="I20" s="85"/>
      <c r="J20" s="111"/>
      <c r="K20" s="111"/>
      <c r="L20" s="232"/>
      <c r="M20" s="227">
        <f>($J20*Costos!$J$4)</f>
        <v>0</v>
      </c>
      <c r="N20" s="228">
        <f>($J20*Costos!$G$4)</f>
        <v>0</v>
      </c>
      <c r="O20" s="227">
        <f>($J20*Costos!$J$5)</f>
        <v>0</v>
      </c>
      <c r="P20" s="228">
        <f>($J20*Costos!$G$5)</f>
        <v>0</v>
      </c>
      <c r="Q20" s="227">
        <f>($J20*Costos!$J$6)</f>
        <v>0</v>
      </c>
      <c r="R20" s="228">
        <f>($J20*Costos!$G$6)</f>
        <v>0</v>
      </c>
      <c r="S20" s="227">
        <f>($J20*Costos!$J$7)</f>
        <v>0</v>
      </c>
      <c r="T20" s="228">
        <f>($J20*Costos!$G$7)</f>
        <v>0</v>
      </c>
      <c r="U20" s="227">
        <f>($J20*Costos!$J$8)</f>
        <v>0</v>
      </c>
      <c r="V20" s="228">
        <f>($J20*Costos!$G$8)</f>
        <v>0</v>
      </c>
      <c r="W20" s="229">
        <f t="shared" si="0"/>
        <v>0</v>
      </c>
      <c r="X20" s="211">
        <f t="shared" si="5"/>
        <v>0</v>
      </c>
      <c r="Y20" s="197"/>
      <c r="Z20" s="227">
        <f>($K20*Costos!$K$4)</f>
        <v>0</v>
      </c>
      <c r="AA20" s="228">
        <f>($K20*Costos!$H$4)</f>
        <v>0</v>
      </c>
      <c r="AB20" s="227">
        <f>($K20*Costos!$K$5)</f>
        <v>0</v>
      </c>
      <c r="AC20" s="228">
        <f>($K20*Costos!$H$5)</f>
        <v>0</v>
      </c>
      <c r="AD20" s="227">
        <f>($K20*Costos!$K$6)</f>
        <v>0</v>
      </c>
      <c r="AE20" s="228">
        <f>($K20*Costos!$H$6)</f>
        <v>0</v>
      </c>
      <c r="AF20" s="227">
        <f>($K20*Costos!$K$7)</f>
        <v>0</v>
      </c>
      <c r="AG20" s="228">
        <f>($K20*Costos!$H$7)</f>
        <v>0</v>
      </c>
      <c r="AH20" s="227">
        <f>($K20*Costos!$K$8)</f>
        <v>0</v>
      </c>
      <c r="AI20" s="228">
        <f>($K20*Costos!$H$8)</f>
        <v>0</v>
      </c>
      <c r="AJ20" s="229">
        <f t="shared" si="1"/>
        <v>0</v>
      </c>
      <c r="AK20" s="211">
        <f t="shared" si="2"/>
        <v>0</v>
      </c>
      <c r="AL20" s="197"/>
      <c r="AM20" s="230">
        <f>($L20*Costos!$L$4)</f>
        <v>0</v>
      </c>
      <c r="AN20" s="228">
        <f>($L20*Costos!$I$4)</f>
        <v>0</v>
      </c>
      <c r="AO20" s="227">
        <f>($L20*Costos!$L$5)</f>
        <v>0</v>
      </c>
      <c r="AP20" s="228">
        <f>($L20*Costos!$I$5)</f>
        <v>0</v>
      </c>
      <c r="AQ20" s="227">
        <f>($L20*Costos!$L$6)</f>
        <v>0</v>
      </c>
      <c r="AR20" s="228">
        <f>($L20*Costos!$I$6)</f>
        <v>0</v>
      </c>
      <c r="AS20" s="227">
        <f>($L20*Costos!$L$7)</f>
        <v>0</v>
      </c>
      <c r="AT20" s="228">
        <f>($L20*Costos!$I$7)</f>
        <v>0</v>
      </c>
      <c r="AU20" s="227">
        <f>($L20*Costos!$L$8)</f>
        <v>0</v>
      </c>
      <c r="AV20" s="228">
        <f>($L20*Costos!$I$8)</f>
        <v>0</v>
      </c>
      <c r="AW20" s="229">
        <f t="shared" si="3"/>
        <v>0</v>
      </c>
      <c r="AX20" s="211">
        <f t="shared" si="4"/>
        <v>0</v>
      </c>
      <c r="BA20" s="234"/>
    </row>
    <row r="21" spans="2:57" x14ac:dyDescent="0.25">
      <c r="B21" s="16"/>
      <c r="C21" s="86"/>
      <c r="D21" s="86"/>
      <c r="E21" s="86"/>
      <c r="F21" s="86"/>
      <c r="G21" s="86"/>
      <c r="H21" s="85"/>
      <c r="I21" s="85"/>
      <c r="J21" s="111"/>
      <c r="K21" s="111"/>
      <c r="L21" s="232"/>
      <c r="M21" s="227">
        <f>($J21*Costos!$J$4)</f>
        <v>0</v>
      </c>
      <c r="N21" s="228">
        <f>($J21*Costos!$G$4)</f>
        <v>0</v>
      </c>
      <c r="O21" s="227">
        <f>($J21*Costos!$J$5)</f>
        <v>0</v>
      </c>
      <c r="P21" s="228">
        <f>($J21*Costos!$G$5)</f>
        <v>0</v>
      </c>
      <c r="Q21" s="227">
        <f>($J21*Costos!$J$6)</f>
        <v>0</v>
      </c>
      <c r="R21" s="228">
        <f>($J21*Costos!$G$6)</f>
        <v>0</v>
      </c>
      <c r="S21" s="227">
        <f>($J21*Costos!$J$7)</f>
        <v>0</v>
      </c>
      <c r="T21" s="228">
        <f>($J21*Costos!$G$7)</f>
        <v>0</v>
      </c>
      <c r="U21" s="227">
        <f>($J21*Costos!$J$8)</f>
        <v>0</v>
      </c>
      <c r="V21" s="228">
        <f>($J21*Costos!$G$8)</f>
        <v>0</v>
      </c>
      <c r="W21" s="229">
        <f t="shared" si="0"/>
        <v>0</v>
      </c>
      <c r="X21" s="211">
        <f t="shared" si="5"/>
        <v>0</v>
      </c>
      <c r="Y21" s="197"/>
      <c r="Z21" s="227">
        <f>($K21*Costos!$K$4)</f>
        <v>0</v>
      </c>
      <c r="AA21" s="228">
        <f>($K21*Costos!$H$4)</f>
        <v>0</v>
      </c>
      <c r="AB21" s="227">
        <f>($K21*Costos!$K$5)</f>
        <v>0</v>
      </c>
      <c r="AC21" s="228">
        <f>($K21*Costos!$H$5)</f>
        <v>0</v>
      </c>
      <c r="AD21" s="227">
        <f>($K21*Costos!$K$6)</f>
        <v>0</v>
      </c>
      <c r="AE21" s="228">
        <f>($K21*Costos!$H$6)</f>
        <v>0</v>
      </c>
      <c r="AF21" s="227">
        <f>($K21*Costos!$K$7)</f>
        <v>0</v>
      </c>
      <c r="AG21" s="228">
        <f>($K21*Costos!$H$7)</f>
        <v>0</v>
      </c>
      <c r="AH21" s="227">
        <f>($K21*Costos!$K$8)</f>
        <v>0</v>
      </c>
      <c r="AI21" s="228">
        <f>($K21*Costos!$H$8)</f>
        <v>0</v>
      </c>
      <c r="AJ21" s="229">
        <f t="shared" si="1"/>
        <v>0</v>
      </c>
      <c r="AK21" s="211">
        <f t="shared" si="2"/>
        <v>0</v>
      </c>
      <c r="AL21" s="197"/>
      <c r="AM21" s="230">
        <f>($L21*Costos!$L$4)</f>
        <v>0</v>
      </c>
      <c r="AN21" s="228">
        <f>($L21*Costos!$I$4)</f>
        <v>0</v>
      </c>
      <c r="AO21" s="227">
        <f>($L21*Costos!$L$5)</f>
        <v>0</v>
      </c>
      <c r="AP21" s="228">
        <f>($L21*Costos!$I$5)</f>
        <v>0</v>
      </c>
      <c r="AQ21" s="227">
        <f>($L21*Costos!$L$6)</f>
        <v>0</v>
      </c>
      <c r="AR21" s="228">
        <f>($L21*Costos!$I$6)</f>
        <v>0</v>
      </c>
      <c r="AS21" s="227">
        <f>($L21*Costos!$L$7)</f>
        <v>0</v>
      </c>
      <c r="AT21" s="228">
        <f>($L21*Costos!$I$7)</f>
        <v>0</v>
      </c>
      <c r="AU21" s="227">
        <f>($L21*Costos!$L$8)</f>
        <v>0</v>
      </c>
      <c r="AV21" s="228">
        <f>($L21*Costos!$I$8)</f>
        <v>0</v>
      </c>
      <c r="AW21" s="229">
        <f t="shared" si="3"/>
        <v>0</v>
      </c>
      <c r="AX21" s="211">
        <f t="shared" si="4"/>
        <v>0</v>
      </c>
      <c r="BA21" s="234"/>
    </row>
    <row r="22" spans="2:57" x14ac:dyDescent="0.25">
      <c r="B22" s="16"/>
      <c r="C22" s="86"/>
      <c r="D22" s="86"/>
      <c r="E22" s="86"/>
      <c r="F22" s="86"/>
      <c r="G22" s="86"/>
      <c r="H22" s="85"/>
      <c r="I22" s="85"/>
      <c r="J22" s="111"/>
      <c r="K22" s="111"/>
      <c r="L22" s="232"/>
      <c r="M22" s="227">
        <f>($J22*Costos!$J$4)</f>
        <v>0</v>
      </c>
      <c r="N22" s="228">
        <f>($J22*Costos!$G$4)</f>
        <v>0</v>
      </c>
      <c r="O22" s="227">
        <f>($J22*Costos!$J$5)</f>
        <v>0</v>
      </c>
      <c r="P22" s="228">
        <f>($J22*Costos!$G$5)</f>
        <v>0</v>
      </c>
      <c r="Q22" s="227">
        <f>($J22*Costos!$J$6)</f>
        <v>0</v>
      </c>
      <c r="R22" s="228">
        <f>($J22*Costos!$G$6)</f>
        <v>0</v>
      </c>
      <c r="S22" s="227">
        <f>($J22*Costos!$J$7)</f>
        <v>0</v>
      </c>
      <c r="T22" s="228">
        <f>($J22*Costos!$G$7)</f>
        <v>0</v>
      </c>
      <c r="U22" s="227">
        <f>($J22*Costos!$J$8)</f>
        <v>0</v>
      </c>
      <c r="V22" s="228">
        <f>($J22*Costos!$G$8)</f>
        <v>0</v>
      </c>
      <c r="W22" s="229">
        <f t="shared" si="0"/>
        <v>0</v>
      </c>
      <c r="X22" s="211">
        <f t="shared" si="5"/>
        <v>0</v>
      </c>
      <c r="Y22" s="197"/>
      <c r="Z22" s="227">
        <f>($K22*Costos!$K$4)</f>
        <v>0</v>
      </c>
      <c r="AA22" s="228">
        <f>($K22*Costos!$H$4)</f>
        <v>0</v>
      </c>
      <c r="AB22" s="227">
        <f>($K22*Costos!$K$5)</f>
        <v>0</v>
      </c>
      <c r="AC22" s="228">
        <f>($K22*Costos!$H$5)</f>
        <v>0</v>
      </c>
      <c r="AD22" s="227">
        <f>($K22*Costos!$K$6)</f>
        <v>0</v>
      </c>
      <c r="AE22" s="228">
        <f>($K22*Costos!$H$6)</f>
        <v>0</v>
      </c>
      <c r="AF22" s="227">
        <f>($K22*Costos!$K$7)</f>
        <v>0</v>
      </c>
      <c r="AG22" s="228">
        <f>($K22*Costos!$H$7)</f>
        <v>0</v>
      </c>
      <c r="AH22" s="227">
        <f>($K22*Costos!$K$8)</f>
        <v>0</v>
      </c>
      <c r="AI22" s="228">
        <f>($K22*Costos!$H$8)</f>
        <v>0</v>
      </c>
      <c r="AJ22" s="229">
        <f t="shared" si="1"/>
        <v>0</v>
      </c>
      <c r="AK22" s="211">
        <f t="shared" si="2"/>
        <v>0</v>
      </c>
      <c r="AL22" s="197"/>
      <c r="AM22" s="230">
        <f>($L22*Costos!$L$4)</f>
        <v>0</v>
      </c>
      <c r="AN22" s="228">
        <f>($L22*Costos!$I$4)</f>
        <v>0</v>
      </c>
      <c r="AO22" s="227">
        <f>($L22*Costos!$L$5)</f>
        <v>0</v>
      </c>
      <c r="AP22" s="228">
        <f>($L22*Costos!$I$5)</f>
        <v>0</v>
      </c>
      <c r="AQ22" s="227">
        <f>($L22*Costos!$L$6)</f>
        <v>0</v>
      </c>
      <c r="AR22" s="228">
        <f>($L22*Costos!$I$6)</f>
        <v>0</v>
      </c>
      <c r="AS22" s="227">
        <f>($L22*Costos!$L$7)</f>
        <v>0</v>
      </c>
      <c r="AT22" s="228">
        <f>($L22*Costos!$I$7)</f>
        <v>0</v>
      </c>
      <c r="AU22" s="227">
        <f>($L22*Costos!$L$8)</f>
        <v>0</v>
      </c>
      <c r="AV22" s="228">
        <f>($L22*Costos!$I$8)</f>
        <v>0</v>
      </c>
      <c r="AW22" s="229">
        <f t="shared" si="3"/>
        <v>0</v>
      </c>
      <c r="AX22" s="211">
        <f t="shared" si="4"/>
        <v>0</v>
      </c>
    </row>
    <row r="23" spans="2:57" x14ac:dyDescent="0.25">
      <c r="B23" s="16"/>
      <c r="C23" s="86"/>
      <c r="D23" s="86"/>
      <c r="E23" s="86"/>
      <c r="F23" s="86"/>
      <c r="G23" s="86"/>
      <c r="H23" s="85"/>
      <c r="I23" s="85"/>
      <c r="J23" s="111"/>
      <c r="K23" s="111"/>
      <c r="L23" s="232"/>
      <c r="M23" s="227">
        <f>($J23*Costos!$J$4)</f>
        <v>0</v>
      </c>
      <c r="N23" s="228">
        <f>($J23*Costos!$G$4)</f>
        <v>0</v>
      </c>
      <c r="O23" s="227">
        <f>($J23*Costos!$J$5)</f>
        <v>0</v>
      </c>
      <c r="P23" s="228">
        <f>($J23*Costos!$G$5)</f>
        <v>0</v>
      </c>
      <c r="Q23" s="227">
        <f>($J23*Costos!$J$6)</f>
        <v>0</v>
      </c>
      <c r="R23" s="228">
        <f>($J23*Costos!$G$6)</f>
        <v>0</v>
      </c>
      <c r="S23" s="227">
        <f>($J23*Costos!$J$7)</f>
        <v>0</v>
      </c>
      <c r="T23" s="228">
        <f>($J23*Costos!$G$7)</f>
        <v>0</v>
      </c>
      <c r="U23" s="227">
        <f>($J23*Costos!$J$8)</f>
        <v>0</v>
      </c>
      <c r="V23" s="228">
        <f>($J23*Costos!$G$8)</f>
        <v>0</v>
      </c>
      <c r="W23" s="229">
        <f t="shared" si="0"/>
        <v>0</v>
      </c>
      <c r="X23" s="211">
        <f t="shared" si="5"/>
        <v>0</v>
      </c>
      <c r="Y23" s="197"/>
      <c r="Z23" s="227">
        <f>($K23*Costos!$K$4)</f>
        <v>0</v>
      </c>
      <c r="AA23" s="228">
        <f>($K23*Costos!$H$4)</f>
        <v>0</v>
      </c>
      <c r="AB23" s="227">
        <f>($K23*Costos!$K$5)</f>
        <v>0</v>
      </c>
      <c r="AC23" s="228">
        <f>($K23*Costos!$H$5)</f>
        <v>0</v>
      </c>
      <c r="AD23" s="227">
        <f>($K23*Costos!$K$6)</f>
        <v>0</v>
      </c>
      <c r="AE23" s="228">
        <f>($K23*Costos!$H$6)</f>
        <v>0</v>
      </c>
      <c r="AF23" s="227">
        <f>($K23*Costos!$K$7)</f>
        <v>0</v>
      </c>
      <c r="AG23" s="228">
        <f>($K23*Costos!$H$7)</f>
        <v>0</v>
      </c>
      <c r="AH23" s="227">
        <f>($K23*Costos!$K$8)</f>
        <v>0</v>
      </c>
      <c r="AI23" s="228">
        <f>($K23*Costos!$H$8)</f>
        <v>0</v>
      </c>
      <c r="AJ23" s="229">
        <f t="shared" si="1"/>
        <v>0</v>
      </c>
      <c r="AK23" s="211">
        <f t="shared" si="2"/>
        <v>0</v>
      </c>
      <c r="AL23" s="197"/>
      <c r="AM23" s="230">
        <f>($L23*Costos!$L$4)</f>
        <v>0</v>
      </c>
      <c r="AN23" s="228">
        <f>($L23*Costos!$I$4)</f>
        <v>0</v>
      </c>
      <c r="AO23" s="227">
        <f>($L23*Costos!$L$5)</f>
        <v>0</v>
      </c>
      <c r="AP23" s="228">
        <f>($L23*Costos!$I$5)</f>
        <v>0</v>
      </c>
      <c r="AQ23" s="227">
        <f>($L23*Costos!$L$6)</f>
        <v>0</v>
      </c>
      <c r="AR23" s="228">
        <f>($L23*Costos!$I$6)</f>
        <v>0</v>
      </c>
      <c r="AS23" s="227">
        <f>($L23*Costos!$L$7)</f>
        <v>0</v>
      </c>
      <c r="AT23" s="228">
        <f>($L23*Costos!$I$7)</f>
        <v>0</v>
      </c>
      <c r="AU23" s="227">
        <f>($L23*Costos!$L$8)</f>
        <v>0</v>
      </c>
      <c r="AV23" s="228">
        <f>($L23*Costos!$I$8)</f>
        <v>0</v>
      </c>
      <c r="AW23" s="229">
        <f t="shared" si="3"/>
        <v>0</v>
      </c>
      <c r="AX23" s="211">
        <f t="shared" si="4"/>
        <v>0</v>
      </c>
    </row>
    <row r="24" spans="2:57" x14ac:dyDescent="0.25">
      <c r="B24" s="16"/>
      <c r="C24" s="86"/>
      <c r="D24" s="86"/>
      <c r="E24" s="86"/>
      <c r="F24" s="86"/>
      <c r="G24" s="86"/>
      <c r="H24" s="85"/>
      <c r="I24" s="85"/>
      <c r="J24" s="111"/>
      <c r="K24" s="111"/>
      <c r="L24" s="232"/>
      <c r="M24" s="227">
        <f>($J24*Costos!$J$4)</f>
        <v>0</v>
      </c>
      <c r="N24" s="228">
        <f>($J24*Costos!$G$4)</f>
        <v>0</v>
      </c>
      <c r="O24" s="227">
        <f>($J24*Costos!$J$5)</f>
        <v>0</v>
      </c>
      <c r="P24" s="228">
        <f>($J24*Costos!$G$5)</f>
        <v>0</v>
      </c>
      <c r="Q24" s="227">
        <f>($J24*Costos!$J$6)</f>
        <v>0</v>
      </c>
      <c r="R24" s="228">
        <f>($J24*Costos!$G$6)</f>
        <v>0</v>
      </c>
      <c r="S24" s="227">
        <f>($J24*Costos!$J$7)</f>
        <v>0</v>
      </c>
      <c r="T24" s="228">
        <f>($J24*Costos!$G$7)</f>
        <v>0</v>
      </c>
      <c r="U24" s="227">
        <f>($J24*Costos!$J$8)</f>
        <v>0</v>
      </c>
      <c r="V24" s="228">
        <f>($J24*Costos!$G$8)</f>
        <v>0</v>
      </c>
      <c r="W24" s="229">
        <f t="shared" si="0"/>
        <v>0</v>
      </c>
      <c r="X24" s="211">
        <f t="shared" si="5"/>
        <v>0</v>
      </c>
      <c r="Y24" s="197"/>
      <c r="Z24" s="227">
        <f>($K24*Costos!$K$4)</f>
        <v>0</v>
      </c>
      <c r="AA24" s="228">
        <f>($K24*Costos!$H$4)</f>
        <v>0</v>
      </c>
      <c r="AB24" s="227">
        <f>($K24*Costos!$K$5)</f>
        <v>0</v>
      </c>
      <c r="AC24" s="228">
        <f>($K24*Costos!$H$5)</f>
        <v>0</v>
      </c>
      <c r="AD24" s="227">
        <f>($K24*Costos!$K$6)</f>
        <v>0</v>
      </c>
      <c r="AE24" s="228">
        <f>($K24*Costos!$H$6)</f>
        <v>0</v>
      </c>
      <c r="AF24" s="227">
        <f>($K24*Costos!$K$7)</f>
        <v>0</v>
      </c>
      <c r="AG24" s="228">
        <f>($K24*Costos!$H$7)</f>
        <v>0</v>
      </c>
      <c r="AH24" s="227">
        <f>($K24*Costos!$K$8)</f>
        <v>0</v>
      </c>
      <c r="AI24" s="228">
        <f>($K24*Costos!$H$8)</f>
        <v>0</v>
      </c>
      <c r="AJ24" s="229">
        <f t="shared" si="1"/>
        <v>0</v>
      </c>
      <c r="AK24" s="211">
        <f t="shared" si="2"/>
        <v>0</v>
      </c>
      <c r="AL24" s="197"/>
      <c r="AM24" s="230">
        <f>($L24*Costos!$L$4)</f>
        <v>0</v>
      </c>
      <c r="AN24" s="228">
        <f>($L24*Costos!$I$4)</f>
        <v>0</v>
      </c>
      <c r="AO24" s="227">
        <f>($L24*Costos!$L$5)</f>
        <v>0</v>
      </c>
      <c r="AP24" s="228">
        <f>($L24*Costos!$I$5)</f>
        <v>0</v>
      </c>
      <c r="AQ24" s="227">
        <f>($L24*Costos!$L$6)</f>
        <v>0</v>
      </c>
      <c r="AR24" s="228">
        <f>($L24*Costos!$I$6)</f>
        <v>0</v>
      </c>
      <c r="AS24" s="227">
        <f>($L24*Costos!$L$7)</f>
        <v>0</v>
      </c>
      <c r="AT24" s="228">
        <f>($L24*Costos!$I$7)</f>
        <v>0</v>
      </c>
      <c r="AU24" s="227">
        <f>($L24*Costos!$L$8)</f>
        <v>0</v>
      </c>
      <c r="AV24" s="228">
        <f>($L24*Costos!$I$8)</f>
        <v>0</v>
      </c>
      <c r="AW24" s="229">
        <f t="shared" si="3"/>
        <v>0</v>
      </c>
      <c r="AX24" s="211">
        <f t="shared" si="4"/>
        <v>0</v>
      </c>
      <c r="AY24" s="235" t="s">
        <v>140</v>
      </c>
      <c r="AZ24" s="235"/>
      <c r="BA24" s="235" t="s">
        <v>18</v>
      </c>
      <c r="BC24" s="236" t="s">
        <v>141</v>
      </c>
      <c r="BD24" s="236"/>
      <c r="BE24" s="236" t="s">
        <v>18</v>
      </c>
    </row>
    <row r="25" spans="2:57" x14ac:dyDescent="0.25">
      <c r="B25" s="20"/>
      <c r="C25" s="86"/>
      <c r="D25" s="86"/>
      <c r="E25" s="86"/>
      <c r="F25" s="86"/>
      <c r="G25" s="86"/>
      <c r="H25" s="85"/>
      <c r="I25" s="85"/>
      <c r="J25" s="111"/>
      <c r="K25" s="111"/>
      <c r="L25" s="232"/>
      <c r="M25" s="227">
        <f>($J25*Costos!$J$4)</f>
        <v>0</v>
      </c>
      <c r="N25" s="228">
        <f>($J25*Costos!$G$4)</f>
        <v>0</v>
      </c>
      <c r="O25" s="227">
        <f>($J25*Costos!$J$5)</f>
        <v>0</v>
      </c>
      <c r="P25" s="228">
        <f>($J25*Costos!$G$5)</f>
        <v>0</v>
      </c>
      <c r="Q25" s="227">
        <f>($J25*Costos!$J$6)</f>
        <v>0</v>
      </c>
      <c r="R25" s="228">
        <f>($J25*Costos!$G$6)</f>
        <v>0</v>
      </c>
      <c r="S25" s="227">
        <f>($J25*Costos!$J$7)</f>
        <v>0</v>
      </c>
      <c r="T25" s="228">
        <f>($J25*Costos!$G$7)</f>
        <v>0</v>
      </c>
      <c r="U25" s="227">
        <f>($J25*Costos!$J$8)</f>
        <v>0</v>
      </c>
      <c r="V25" s="228">
        <f>($J25*Costos!$G$8)</f>
        <v>0</v>
      </c>
      <c r="W25" s="229">
        <f t="shared" si="0"/>
        <v>0</v>
      </c>
      <c r="X25" s="211">
        <f t="shared" si="5"/>
        <v>0</v>
      </c>
      <c r="Y25" s="197"/>
      <c r="Z25" s="227">
        <f>($K25*Costos!$K$4)</f>
        <v>0</v>
      </c>
      <c r="AA25" s="228">
        <f>($K25*Costos!$H$4)</f>
        <v>0</v>
      </c>
      <c r="AB25" s="227">
        <f>($K25*Costos!$K$5)</f>
        <v>0</v>
      </c>
      <c r="AC25" s="228">
        <f>($K25*Costos!$H$5)</f>
        <v>0</v>
      </c>
      <c r="AD25" s="227">
        <f>($K25*Costos!$K$6)</f>
        <v>0</v>
      </c>
      <c r="AE25" s="228">
        <f>($K25*Costos!$H$6)</f>
        <v>0</v>
      </c>
      <c r="AF25" s="227">
        <f>($K25*Costos!$K$7)</f>
        <v>0</v>
      </c>
      <c r="AG25" s="228">
        <f>($K25*Costos!$H$7)</f>
        <v>0</v>
      </c>
      <c r="AH25" s="227">
        <f>($K25*Costos!$K$8)</f>
        <v>0</v>
      </c>
      <c r="AI25" s="228">
        <f>($K25*Costos!$H$8)</f>
        <v>0</v>
      </c>
      <c r="AJ25" s="229">
        <f t="shared" si="1"/>
        <v>0</v>
      </c>
      <c r="AK25" s="211">
        <f t="shared" si="2"/>
        <v>0</v>
      </c>
      <c r="AL25" s="197"/>
      <c r="AM25" s="230">
        <f>($L25*Costos!$L$4)</f>
        <v>0</v>
      </c>
      <c r="AN25" s="228">
        <f>($L25*Costos!$I$4)</f>
        <v>0</v>
      </c>
      <c r="AO25" s="227">
        <f>($L25*Costos!$L$5)</f>
        <v>0</v>
      </c>
      <c r="AP25" s="228">
        <f>($L25*Costos!$I$5)</f>
        <v>0</v>
      </c>
      <c r="AQ25" s="227">
        <f>($L25*Costos!$L$6)</f>
        <v>0</v>
      </c>
      <c r="AR25" s="228">
        <f>($L25*Costos!$I$6)</f>
        <v>0</v>
      </c>
      <c r="AS25" s="227">
        <f>($L25*Costos!$L$7)</f>
        <v>0</v>
      </c>
      <c r="AT25" s="228">
        <f>($L25*Costos!$I$7)</f>
        <v>0</v>
      </c>
      <c r="AU25" s="227">
        <f>($L25*Costos!$L$8)</f>
        <v>0</v>
      </c>
      <c r="AV25" s="228">
        <f>($L25*Costos!$I$8)</f>
        <v>0</v>
      </c>
      <c r="AW25" s="229">
        <f t="shared" si="3"/>
        <v>0</v>
      </c>
      <c r="AX25" s="211">
        <f t="shared" si="4"/>
        <v>0</v>
      </c>
      <c r="AY25" s="237">
        <f>SUM($J$77,$J$82 /Costos!G5)</f>
        <v>22.5</v>
      </c>
      <c r="AZ25" s="238">
        <f>$AY$25/7</f>
        <v>3.2142857142857144</v>
      </c>
      <c r="BA25" s="237"/>
      <c r="BC25" s="239">
        <f>SUM($J$8:$J$76,J82/Costos!G5)</f>
        <v>27.3</v>
      </c>
      <c r="BD25" s="239">
        <f>$BC$25/7</f>
        <v>3.9</v>
      </c>
      <c r="BE25" s="236"/>
    </row>
    <row r="26" spans="2:57" x14ac:dyDescent="0.25">
      <c r="B26" s="16"/>
      <c r="C26" s="86"/>
      <c r="D26" s="86"/>
      <c r="E26" s="86"/>
      <c r="F26" s="86"/>
      <c r="G26" s="86"/>
      <c r="H26" s="85"/>
      <c r="I26" s="85"/>
      <c r="J26" s="111"/>
      <c r="K26" s="111"/>
      <c r="L26" s="232"/>
      <c r="M26" s="227">
        <f>($J26*Costos!$J$4)</f>
        <v>0</v>
      </c>
      <c r="N26" s="228">
        <f>($J26*Costos!$G$4)</f>
        <v>0</v>
      </c>
      <c r="O26" s="227">
        <f>($J26*Costos!$J$5)</f>
        <v>0</v>
      </c>
      <c r="P26" s="228">
        <f>($J26*Costos!$G$5)</f>
        <v>0</v>
      </c>
      <c r="Q26" s="227">
        <f>($J26*Costos!$J$6)</f>
        <v>0</v>
      </c>
      <c r="R26" s="228">
        <f>($J26*Costos!$G$6)</f>
        <v>0</v>
      </c>
      <c r="S26" s="227">
        <f>($J26*Costos!$J$7)</f>
        <v>0</v>
      </c>
      <c r="T26" s="228">
        <f>($J26*Costos!$G$7)</f>
        <v>0</v>
      </c>
      <c r="U26" s="227">
        <f>($J26*Costos!$J$8)</f>
        <v>0</v>
      </c>
      <c r="V26" s="228">
        <f>($J26*Costos!$G$8)</f>
        <v>0</v>
      </c>
      <c r="W26" s="229">
        <f t="shared" si="0"/>
        <v>0</v>
      </c>
      <c r="X26" s="211">
        <f t="shared" si="5"/>
        <v>0</v>
      </c>
      <c r="Y26" s="197"/>
      <c r="Z26" s="227">
        <f>($K26*Costos!$K$4)</f>
        <v>0</v>
      </c>
      <c r="AA26" s="228">
        <f>($K26*Costos!$H$4)</f>
        <v>0</v>
      </c>
      <c r="AB26" s="227">
        <f>($K26*Costos!$K$5)</f>
        <v>0</v>
      </c>
      <c r="AC26" s="228">
        <f>($K26*Costos!$H$5)</f>
        <v>0</v>
      </c>
      <c r="AD26" s="227">
        <f>($K26*Costos!$K$6)</f>
        <v>0</v>
      </c>
      <c r="AE26" s="228">
        <f>($K26*Costos!$H$6)</f>
        <v>0</v>
      </c>
      <c r="AF26" s="227">
        <f>($K26*Costos!$K$7)</f>
        <v>0</v>
      </c>
      <c r="AG26" s="228">
        <f>($K26*Costos!$H$7)</f>
        <v>0</v>
      </c>
      <c r="AH26" s="227">
        <f>($K26*Costos!$K$8)</f>
        <v>0</v>
      </c>
      <c r="AI26" s="228">
        <f>($K26*Costos!$H$8)</f>
        <v>0</v>
      </c>
      <c r="AJ26" s="229">
        <f t="shared" si="1"/>
        <v>0</v>
      </c>
      <c r="AK26" s="211">
        <f t="shared" si="2"/>
        <v>0</v>
      </c>
      <c r="AL26" s="197"/>
      <c r="AM26" s="230">
        <f>($L26*Costos!$L$4)</f>
        <v>0</v>
      </c>
      <c r="AN26" s="228">
        <f>($L26*Costos!$I$4)</f>
        <v>0</v>
      </c>
      <c r="AO26" s="227">
        <f>($L26*Costos!$L$5)</f>
        <v>0</v>
      </c>
      <c r="AP26" s="228">
        <f>($L26*Costos!$I$5)</f>
        <v>0</v>
      </c>
      <c r="AQ26" s="227">
        <f>($L26*Costos!$L$6)</f>
        <v>0</v>
      </c>
      <c r="AR26" s="228">
        <f>($L26*Costos!$I$6)</f>
        <v>0</v>
      </c>
      <c r="AS26" s="227">
        <f>($L26*Costos!$L$7)</f>
        <v>0</v>
      </c>
      <c r="AT26" s="228">
        <f>($L26*Costos!$I$7)</f>
        <v>0</v>
      </c>
      <c r="AU26" s="227">
        <f>($L26*Costos!$L$8)</f>
        <v>0</v>
      </c>
      <c r="AV26" s="228">
        <f>($L26*Costos!$I$8)</f>
        <v>0</v>
      </c>
      <c r="AW26" s="229">
        <f t="shared" si="3"/>
        <v>0</v>
      </c>
      <c r="AX26" s="211">
        <f t="shared" si="4"/>
        <v>0</v>
      </c>
      <c r="AY26" s="237"/>
      <c r="AZ26" s="237"/>
      <c r="BA26" s="237">
        <f>($AZ$25*15)+($AZ$28*25)</f>
        <v>266.96428571428572</v>
      </c>
      <c r="BC26" s="236"/>
      <c r="BD26" s="236"/>
      <c r="BE26" s="239">
        <f>($BD$25*15)+($BD$28*25)</f>
        <v>66.833333333333329</v>
      </c>
    </row>
    <row r="27" spans="2:57" x14ac:dyDescent="0.25">
      <c r="B27" s="16"/>
      <c r="C27" s="86"/>
      <c r="D27" s="86"/>
      <c r="E27" s="86"/>
      <c r="F27" s="86"/>
      <c r="G27" s="86"/>
      <c r="H27" s="85"/>
      <c r="I27" s="85"/>
      <c r="J27" s="111"/>
      <c r="K27" s="111"/>
      <c r="L27" s="232"/>
      <c r="M27" s="227">
        <f>($J27*Costos!$J$4)</f>
        <v>0</v>
      </c>
      <c r="N27" s="228">
        <f>($J27*Costos!$G$4)</f>
        <v>0</v>
      </c>
      <c r="O27" s="227">
        <f>($J27*Costos!$J$5)</f>
        <v>0</v>
      </c>
      <c r="P27" s="228">
        <f>($J27*Costos!$G$5)</f>
        <v>0</v>
      </c>
      <c r="Q27" s="227">
        <f>($J27*Costos!$J$6)</f>
        <v>0</v>
      </c>
      <c r="R27" s="228">
        <f>($J27*Costos!$G$6)</f>
        <v>0</v>
      </c>
      <c r="S27" s="227">
        <f>($J27*Costos!$J$7)</f>
        <v>0</v>
      </c>
      <c r="T27" s="228">
        <f>($J27*Costos!$G$7)</f>
        <v>0</v>
      </c>
      <c r="U27" s="227">
        <f>($J27*Costos!$J$8)</f>
        <v>0</v>
      </c>
      <c r="V27" s="228">
        <f>($J27*Costos!$G$8)</f>
        <v>0</v>
      </c>
      <c r="W27" s="229">
        <f t="shared" si="0"/>
        <v>0</v>
      </c>
      <c r="X27" s="211">
        <f t="shared" si="5"/>
        <v>0</v>
      </c>
      <c r="Y27" s="197"/>
      <c r="Z27" s="227">
        <f>($K27*Costos!$K$4)</f>
        <v>0</v>
      </c>
      <c r="AA27" s="228">
        <f>($K27*Costos!$H$4)</f>
        <v>0</v>
      </c>
      <c r="AB27" s="227">
        <f>($K27*Costos!$K$5)</f>
        <v>0</v>
      </c>
      <c r="AC27" s="228">
        <f>($K27*Costos!$H$5)</f>
        <v>0</v>
      </c>
      <c r="AD27" s="227">
        <f>($K27*Costos!$K$6)</f>
        <v>0</v>
      </c>
      <c r="AE27" s="228">
        <f>($K27*Costos!$H$6)</f>
        <v>0</v>
      </c>
      <c r="AF27" s="227">
        <f>($K27*Costos!$K$7)</f>
        <v>0</v>
      </c>
      <c r="AG27" s="228">
        <f>($K27*Costos!$H$7)</f>
        <v>0</v>
      </c>
      <c r="AH27" s="227">
        <f>($K27*Costos!$K$8)</f>
        <v>0</v>
      </c>
      <c r="AI27" s="228">
        <f>($K27*Costos!$H$8)</f>
        <v>0</v>
      </c>
      <c r="AJ27" s="229">
        <f t="shared" si="1"/>
        <v>0</v>
      </c>
      <c r="AK27" s="211">
        <f t="shared" si="2"/>
        <v>0</v>
      </c>
      <c r="AL27" s="197"/>
      <c r="AM27" s="230">
        <f>($L27*Costos!$L$4)</f>
        <v>0</v>
      </c>
      <c r="AN27" s="228">
        <f>($L27*Costos!$I$4)</f>
        <v>0</v>
      </c>
      <c r="AO27" s="227">
        <f>($L27*Costos!$L$5)</f>
        <v>0</v>
      </c>
      <c r="AP27" s="228">
        <f>($L27*Costos!$I$5)</f>
        <v>0</v>
      </c>
      <c r="AQ27" s="227">
        <f>($L27*Costos!$L$6)</f>
        <v>0</v>
      </c>
      <c r="AR27" s="228">
        <f>($L27*Costos!$I$6)</f>
        <v>0</v>
      </c>
      <c r="AS27" s="227">
        <f>($L27*Costos!$L$7)</f>
        <v>0</v>
      </c>
      <c r="AT27" s="228">
        <f>($L27*Costos!$I$7)</f>
        <v>0</v>
      </c>
      <c r="AU27" s="227">
        <f>($L27*Costos!$L$8)</f>
        <v>0</v>
      </c>
      <c r="AV27" s="228">
        <f>($L27*Costos!$I$8)</f>
        <v>0</v>
      </c>
      <c r="AW27" s="229">
        <f t="shared" si="3"/>
        <v>0</v>
      </c>
      <c r="AX27" s="211">
        <f t="shared" si="4"/>
        <v>0</v>
      </c>
      <c r="AY27" s="237" t="s">
        <v>142</v>
      </c>
      <c r="AZ27" s="237"/>
      <c r="BA27" s="237"/>
      <c r="BC27" s="236" t="s">
        <v>143</v>
      </c>
      <c r="BD27" s="236"/>
      <c r="BE27" s="236"/>
    </row>
    <row r="28" spans="2:57" x14ac:dyDescent="0.25">
      <c r="B28" s="16"/>
      <c r="C28" s="86"/>
      <c r="D28" s="86"/>
      <c r="E28" s="86"/>
      <c r="F28" s="86"/>
      <c r="G28" s="86"/>
      <c r="H28" s="85"/>
      <c r="I28" s="85"/>
      <c r="J28" s="111"/>
      <c r="K28" s="111"/>
      <c r="L28" s="232"/>
      <c r="M28" s="227">
        <f>($J28*Costos!$J$4)</f>
        <v>0</v>
      </c>
      <c r="N28" s="228">
        <f>($J28*Costos!$G$4)</f>
        <v>0</v>
      </c>
      <c r="O28" s="227">
        <f>($J28*Costos!$J$5)</f>
        <v>0</v>
      </c>
      <c r="P28" s="228">
        <f>($J28*Costos!$G$5)</f>
        <v>0</v>
      </c>
      <c r="Q28" s="227">
        <f>($J28*Costos!$J$6)</f>
        <v>0</v>
      </c>
      <c r="R28" s="228">
        <f>($J28*Costos!$G$6)</f>
        <v>0</v>
      </c>
      <c r="S28" s="227">
        <f>($J28*Costos!$J$7)</f>
        <v>0</v>
      </c>
      <c r="T28" s="228">
        <f>($J28*Costos!$G$7)</f>
        <v>0</v>
      </c>
      <c r="U28" s="227">
        <f>($J28*Costos!$J$8)</f>
        <v>0</v>
      </c>
      <c r="V28" s="228">
        <f>($J28*Costos!$G$8)</f>
        <v>0</v>
      </c>
      <c r="W28" s="229">
        <f t="shared" si="0"/>
        <v>0</v>
      </c>
      <c r="X28" s="211">
        <f t="shared" si="5"/>
        <v>0</v>
      </c>
      <c r="Y28" s="197"/>
      <c r="Z28" s="227">
        <f>($K28*Costos!$K$4)</f>
        <v>0</v>
      </c>
      <c r="AA28" s="228">
        <f>($K28*Costos!$H$4)</f>
        <v>0</v>
      </c>
      <c r="AB28" s="227">
        <f>($K28*Costos!$K$5)</f>
        <v>0</v>
      </c>
      <c r="AC28" s="228">
        <f>($K28*Costos!$H$5)</f>
        <v>0</v>
      </c>
      <c r="AD28" s="227">
        <f>($K28*Costos!$K$6)</f>
        <v>0</v>
      </c>
      <c r="AE28" s="228">
        <f>($K28*Costos!$H$6)</f>
        <v>0</v>
      </c>
      <c r="AF28" s="227">
        <f>($K28*Costos!$K$7)</f>
        <v>0</v>
      </c>
      <c r="AG28" s="228">
        <f>($K28*Costos!$H$7)</f>
        <v>0</v>
      </c>
      <c r="AH28" s="227">
        <f>($K28*Costos!$K$8)</f>
        <v>0</v>
      </c>
      <c r="AI28" s="228">
        <f>($K28*Costos!$H$8)</f>
        <v>0</v>
      </c>
      <c r="AJ28" s="229">
        <f t="shared" si="1"/>
        <v>0</v>
      </c>
      <c r="AK28" s="211">
        <f t="shared" si="2"/>
        <v>0</v>
      </c>
      <c r="AL28" s="197"/>
      <c r="AM28" s="230">
        <f>($L28*Costos!$L$4)</f>
        <v>0</v>
      </c>
      <c r="AN28" s="228">
        <f>($L28*Costos!$I$4)</f>
        <v>0</v>
      </c>
      <c r="AO28" s="227">
        <f>($L28*Costos!$L$5)</f>
        <v>0</v>
      </c>
      <c r="AP28" s="228">
        <f>($L28*Costos!$I$5)</f>
        <v>0</v>
      </c>
      <c r="AQ28" s="227">
        <f>($L28*Costos!$L$6)</f>
        <v>0</v>
      </c>
      <c r="AR28" s="228">
        <f>($L28*Costos!$I$6)</f>
        <v>0</v>
      </c>
      <c r="AS28" s="227">
        <f>($L28*Costos!$L$7)</f>
        <v>0</v>
      </c>
      <c r="AT28" s="228">
        <f>($L28*Costos!$I$7)</f>
        <v>0</v>
      </c>
      <c r="AU28" s="227">
        <f>($L28*Costos!$L$8)</f>
        <v>0</v>
      </c>
      <c r="AV28" s="228">
        <f>($L28*Costos!$I$8)</f>
        <v>0</v>
      </c>
      <c r="AW28" s="229">
        <f t="shared" si="3"/>
        <v>0</v>
      </c>
      <c r="AX28" s="211">
        <f t="shared" si="4"/>
        <v>0</v>
      </c>
      <c r="AY28" s="238">
        <f>SUM($K$77:$L$77,K82/Costos!H5,'Detalle Servicios'!L82/Costos!I5)</f>
        <v>52.5</v>
      </c>
      <c r="AZ28" s="238">
        <f>$AY$28/6</f>
        <v>8.75</v>
      </c>
      <c r="BA28" s="237"/>
      <c r="BC28" s="239">
        <f>SUM($K$8:$L$76,K82/Costos!H5,'Detalle Servicios'!L82/Costos!I5)</f>
        <v>2</v>
      </c>
      <c r="BD28" s="239">
        <f>$BC$28/6</f>
        <v>0.33333333333333331</v>
      </c>
      <c r="BE28" s="236"/>
    </row>
    <row r="29" spans="2:57" x14ac:dyDescent="0.25">
      <c r="B29" s="16"/>
      <c r="C29" s="86"/>
      <c r="D29" s="86"/>
      <c r="E29" s="86"/>
      <c r="F29" s="86"/>
      <c r="G29" s="86"/>
      <c r="H29" s="85"/>
      <c r="I29" s="85"/>
      <c r="J29" s="111"/>
      <c r="K29" s="111"/>
      <c r="L29" s="232"/>
      <c r="M29" s="227">
        <f>($J29*Costos!$J$4)</f>
        <v>0</v>
      </c>
      <c r="N29" s="228">
        <f>($J29*Costos!$G$4)</f>
        <v>0</v>
      </c>
      <c r="O29" s="227">
        <f>($J29*Costos!$J$5)</f>
        <v>0</v>
      </c>
      <c r="P29" s="228">
        <f>($J29*Costos!$G$5)</f>
        <v>0</v>
      </c>
      <c r="Q29" s="227">
        <f>($J29*Costos!$J$6)</f>
        <v>0</v>
      </c>
      <c r="R29" s="228">
        <f>($J29*Costos!$G$6)</f>
        <v>0</v>
      </c>
      <c r="S29" s="227">
        <f>($J29*Costos!$J$7)</f>
        <v>0</v>
      </c>
      <c r="T29" s="228">
        <f>($J29*Costos!$G$7)</f>
        <v>0</v>
      </c>
      <c r="U29" s="227">
        <f>($J29*Costos!$J$8)</f>
        <v>0</v>
      </c>
      <c r="V29" s="228">
        <f>($J29*Costos!$G$8)</f>
        <v>0</v>
      </c>
      <c r="W29" s="229">
        <f t="shared" si="0"/>
        <v>0</v>
      </c>
      <c r="X29" s="211">
        <f t="shared" si="5"/>
        <v>0</v>
      </c>
      <c r="Y29" s="197"/>
      <c r="Z29" s="227">
        <f>($K29*Costos!$K$4)</f>
        <v>0</v>
      </c>
      <c r="AA29" s="228">
        <f>($K29*Costos!$H$4)</f>
        <v>0</v>
      </c>
      <c r="AB29" s="227">
        <f>($K29*Costos!$K$5)</f>
        <v>0</v>
      </c>
      <c r="AC29" s="228">
        <f>($K29*Costos!$H$5)</f>
        <v>0</v>
      </c>
      <c r="AD29" s="227">
        <f>($K29*Costos!$K$6)</f>
        <v>0</v>
      </c>
      <c r="AE29" s="228">
        <f>($K29*Costos!$H$6)</f>
        <v>0</v>
      </c>
      <c r="AF29" s="227">
        <f>($K29*Costos!$K$7)</f>
        <v>0</v>
      </c>
      <c r="AG29" s="228">
        <f>($K29*Costos!$H$7)</f>
        <v>0</v>
      </c>
      <c r="AH29" s="227">
        <f>($K29*Costos!$K$8)</f>
        <v>0</v>
      </c>
      <c r="AI29" s="228">
        <f>($K29*Costos!$H$8)</f>
        <v>0</v>
      </c>
      <c r="AJ29" s="229">
        <f t="shared" si="1"/>
        <v>0</v>
      </c>
      <c r="AK29" s="211">
        <f t="shared" si="2"/>
        <v>0</v>
      </c>
      <c r="AL29" s="197"/>
      <c r="AM29" s="230">
        <f>($L29*Costos!$L$4)</f>
        <v>0</v>
      </c>
      <c r="AN29" s="228">
        <f>($L29*Costos!$I$4)</f>
        <v>0</v>
      </c>
      <c r="AO29" s="227">
        <f>($L29*Costos!$L$5)</f>
        <v>0</v>
      </c>
      <c r="AP29" s="228">
        <f>($L29*Costos!$I$5)</f>
        <v>0</v>
      </c>
      <c r="AQ29" s="227">
        <f>($L29*Costos!$L$6)</f>
        <v>0</v>
      </c>
      <c r="AR29" s="228">
        <f>($L29*Costos!$I$6)</f>
        <v>0</v>
      </c>
      <c r="AS29" s="227">
        <f>($L29*Costos!$L$7)</f>
        <v>0</v>
      </c>
      <c r="AT29" s="228">
        <f>($L29*Costos!$I$7)</f>
        <v>0</v>
      </c>
      <c r="AU29" s="227">
        <f>($L29*Costos!$L$8)</f>
        <v>0</v>
      </c>
      <c r="AV29" s="228">
        <f>($L29*Costos!$I$8)</f>
        <v>0</v>
      </c>
      <c r="AW29" s="229">
        <f t="shared" si="3"/>
        <v>0</v>
      </c>
      <c r="AX29" s="211">
        <f t="shared" si="4"/>
        <v>0</v>
      </c>
    </row>
    <row r="30" spans="2:57" x14ac:dyDescent="0.25">
      <c r="B30" s="16"/>
      <c r="C30" s="86"/>
      <c r="D30" s="86"/>
      <c r="E30" s="86"/>
      <c r="F30" s="86"/>
      <c r="G30" s="86"/>
      <c r="H30" s="85"/>
      <c r="I30" s="85"/>
      <c r="J30" s="111"/>
      <c r="K30" s="111"/>
      <c r="L30" s="232"/>
      <c r="M30" s="227">
        <f>($J30*Costos!$J$4)</f>
        <v>0</v>
      </c>
      <c r="N30" s="228">
        <f>($J30*Costos!$G$4)</f>
        <v>0</v>
      </c>
      <c r="O30" s="227">
        <f>($J30*Costos!$J$5)</f>
        <v>0</v>
      </c>
      <c r="P30" s="228">
        <f>($J30*Costos!$G$5)</f>
        <v>0</v>
      </c>
      <c r="Q30" s="227">
        <f>($J30*Costos!$J$6)</f>
        <v>0</v>
      </c>
      <c r="R30" s="228">
        <f>($J30*Costos!$G$6)</f>
        <v>0</v>
      </c>
      <c r="S30" s="227">
        <f>($J30*Costos!$J$7)</f>
        <v>0</v>
      </c>
      <c r="T30" s="228">
        <f>($J30*Costos!$G$7)</f>
        <v>0</v>
      </c>
      <c r="U30" s="227">
        <f>($J30*Costos!$J$8)</f>
        <v>0</v>
      </c>
      <c r="V30" s="228">
        <f>($J30*Costos!$G$8)</f>
        <v>0</v>
      </c>
      <c r="W30" s="229">
        <f t="shared" si="0"/>
        <v>0</v>
      </c>
      <c r="X30" s="211">
        <f t="shared" si="5"/>
        <v>0</v>
      </c>
      <c r="Y30" s="197"/>
      <c r="Z30" s="227">
        <f>($K30*Costos!$K$4)</f>
        <v>0</v>
      </c>
      <c r="AA30" s="228">
        <f>($K30*Costos!$H$4)</f>
        <v>0</v>
      </c>
      <c r="AB30" s="227">
        <f>($K30*Costos!$K$5)</f>
        <v>0</v>
      </c>
      <c r="AC30" s="228">
        <f>($K30*Costos!$H$5)</f>
        <v>0</v>
      </c>
      <c r="AD30" s="227">
        <f>($K30*Costos!$K$6)</f>
        <v>0</v>
      </c>
      <c r="AE30" s="228">
        <f>($K30*Costos!$H$6)</f>
        <v>0</v>
      </c>
      <c r="AF30" s="227">
        <f>($K30*Costos!$K$7)</f>
        <v>0</v>
      </c>
      <c r="AG30" s="228">
        <f>($K30*Costos!$H$7)</f>
        <v>0</v>
      </c>
      <c r="AH30" s="227">
        <f>($K30*Costos!$K$8)</f>
        <v>0</v>
      </c>
      <c r="AI30" s="228">
        <f>($K30*Costos!$H$8)</f>
        <v>0</v>
      </c>
      <c r="AJ30" s="229">
        <f t="shared" si="1"/>
        <v>0</v>
      </c>
      <c r="AK30" s="211">
        <f t="shared" si="2"/>
        <v>0</v>
      </c>
      <c r="AL30" s="197"/>
      <c r="AM30" s="230">
        <f>($L30*Costos!$L$4)</f>
        <v>0</v>
      </c>
      <c r="AN30" s="228">
        <f>($L30*Costos!$I$4)</f>
        <v>0</v>
      </c>
      <c r="AO30" s="227">
        <f>($L30*Costos!$L$5)</f>
        <v>0</v>
      </c>
      <c r="AP30" s="228">
        <f>($L30*Costos!$I$5)</f>
        <v>0</v>
      </c>
      <c r="AQ30" s="227">
        <f>($L30*Costos!$L$6)</f>
        <v>0</v>
      </c>
      <c r="AR30" s="228">
        <f>($L30*Costos!$I$6)</f>
        <v>0</v>
      </c>
      <c r="AS30" s="227">
        <f>($L30*Costos!$L$7)</f>
        <v>0</v>
      </c>
      <c r="AT30" s="228">
        <f>($L30*Costos!$I$7)</f>
        <v>0</v>
      </c>
      <c r="AU30" s="227">
        <f>($L30*Costos!$L$8)</f>
        <v>0</v>
      </c>
      <c r="AV30" s="228">
        <f>($L30*Costos!$I$8)</f>
        <v>0</v>
      </c>
      <c r="AW30" s="229">
        <f t="shared" si="3"/>
        <v>0</v>
      </c>
      <c r="AX30" s="211">
        <f t="shared" si="4"/>
        <v>0</v>
      </c>
    </row>
    <row r="31" spans="2:57" x14ac:dyDescent="0.25">
      <c r="B31" s="16"/>
      <c r="C31" s="86"/>
      <c r="D31" s="86"/>
      <c r="E31" s="86"/>
      <c r="F31" s="86"/>
      <c r="G31" s="86"/>
      <c r="H31" s="85"/>
      <c r="I31" s="85"/>
      <c r="J31" s="111"/>
      <c r="K31" s="111"/>
      <c r="L31" s="232"/>
      <c r="M31" s="227">
        <f>($J31*Costos!$J$4)</f>
        <v>0</v>
      </c>
      <c r="N31" s="228">
        <f>($J31*Costos!$G$4)</f>
        <v>0</v>
      </c>
      <c r="O31" s="227">
        <f>($J31*Costos!$J$5)</f>
        <v>0</v>
      </c>
      <c r="P31" s="228">
        <f>($J31*Costos!$G$5)</f>
        <v>0</v>
      </c>
      <c r="Q31" s="227">
        <f>($J31*Costos!$J$6)</f>
        <v>0</v>
      </c>
      <c r="R31" s="228">
        <f>($J31*Costos!$G$6)</f>
        <v>0</v>
      </c>
      <c r="S31" s="227">
        <f>($J31*Costos!$J$7)</f>
        <v>0</v>
      </c>
      <c r="T31" s="228">
        <f>($J31*Costos!$G$7)</f>
        <v>0</v>
      </c>
      <c r="U31" s="227">
        <f>($J31*Costos!$J$8)</f>
        <v>0</v>
      </c>
      <c r="V31" s="228">
        <f>($J31*Costos!$G$8)</f>
        <v>0</v>
      </c>
      <c r="W31" s="229">
        <f t="shared" si="0"/>
        <v>0</v>
      </c>
      <c r="X31" s="211">
        <f t="shared" si="5"/>
        <v>0</v>
      </c>
      <c r="Y31" s="197"/>
      <c r="Z31" s="227">
        <f>($K31*Costos!$K$4)</f>
        <v>0</v>
      </c>
      <c r="AA31" s="228">
        <f>($K31*Costos!$H$4)</f>
        <v>0</v>
      </c>
      <c r="AB31" s="227">
        <f>($K31*Costos!$K$5)</f>
        <v>0</v>
      </c>
      <c r="AC31" s="228">
        <f>($K31*Costos!$H$5)</f>
        <v>0</v>
      </c>
      <c r="AD31" s="227">
        <f>($K31*Costos!$K$6)</f>
        <v>0</v>
      </c>
      <c r="AE31" s="228">
        <f>($K31*Costos!$H$6)</f>
        <v>0</v>
      </c>
      <c r="AF31" s="227">
        <f>($K31*Costos!$K$7)</f>
        <v>0</v>
      </c>
      <c r="AG31" s="228">
        <f>($K31*Costos!$H$7)</f>
        <v>0</v>
      </c>
      <c r="AH31" s="227">
        <f>($K31*Costos!$K$8)</f>
        <v>0</v>
      </c>
      <c r="AI31" s="228">
        <f>($K31*Costos!$H$8)</f>
        <v>0</v>
      </c>
      <c r="AJ31" s="229">
        <f t="shared" si="1"/>
        <v>0</v>
      </c>
      <c r="AK31" s="211">
        <f t="shared" si="2"/>
        <v>0</v>
      </c>
      <c r="AL31" s="197"/>
      <c r="AM31" s="230">
        <f>($L31*Costos!$L$4)</f>
        <v>0</v>
      </c>
      <c r="AN31" s="228">
        <f>($L31*Costos!$I$4)</f>
        <v>0</v>
      </c>
      <c r="AO31" s="227">
        <f>($L31*Costos!$L$5)</f>
        <v>0</v>
      </c>
      <c r="AP31" s="228">
        <f>($L31*Costos!$I$5)</f>
        <v>0</v>
      </c>
      <c r="AQ31" s="227">
        <f>($L31*Costos!$L$6)</f>
        <v>0</v>
      </c>
      <c r="AR31" s="228">
        <f>($L31*Costos!$I$6)</f>
        <v>0</v>
      </c>
      <c r="AS31" s="227">
        <f>($L31*Costos!$L$7)</f>
        <v>0</v>
      </c>
      <c r="AT31" s="228">
        <f>($L31*Costos!$I$7)</f>
        <v>0</v>
      </c>
      <c r="AU31" s="227">
        <f>($L31*Costos!$L$8)</f>
        <v>0</v>
      </c>
      <c r="AV31" s="228">
        <f>($L31*Costos!$I$8)</f>
        <v>0</v>
      </c>
      <c r="AW31" s="229">
        <f t="shared" si="3"/>
        <v>0</v>
      </c>
      <c r="AX31" s="211">
        <f t="shared" si="4"/>
        <v>0</v>
      </c>
      <c r="AY31" s="240" t="s">
        <v>144</v>
      </c>
      <c r="AZ31" s="240"/>
      <c r="BA31" s="240" t="s">
        <v>18</v>
      </c>
    </row>
    <row r="32" spans="2:57" x14ac:dyDescent="0.25">
      <c r="B32" s="16"/>
      <c r="C32" s="86"/>
      <c r="D32" s="86"/>
      <c r="E32" s="86"/>
      <c r="F32" s="86"/>
      <c r="G32" s="86"/>
      <c r="H32" s="85"/>
      <c r="I32" s="85"/>
      <c r="J32" s="111"/>
      <c r="K32" s="111"/>
      <c r="L32" s="232"/>
      <c r="M32" s="227">
        <f>($J32*Costos!$J$4)</f>
        <v>0</v>
      </c>
      <c r="N32" s="228">
        <f>($J32*Costos!$G$4)</f>
        <v>0</v>
      </c>
      <c r="O32" s="227">
        <f>($J32*Costos!$J$5)</f>
        <v>0</v>
      </c>
      <c r="P32" s="228">
        <f>($J32*Costos!$G$5)</f>
        <v>0</v>
      </c>
      <c r="Q32" s="227">
        <f>($J32*Costos!$J$6)</f>
        <v>0</v>
      </c>
      <c r="R32" s="228">
        <f>($J32*Costos!$G$6)</f>
        <v>0</v>
      </c>
      <c r="S32" s="227">
        <f>($J32*Costos!$J$7)</f>
        <v>0</v>
      </c>
      <c r="T32" s="228">
        <f>($J32*Costos!$G$7)</f>
        <v>0</v>
      </c>
      <c r="U32" s="227">
        <f>($J32*Costos!$J$8)</f>
        <v>0</v>
      </c>
      <c r="V32" s="228">
        <f>($J32*Costos!$G$8)</f>
        <v>0</v>
      </c>
      <c r="W32" s="229">
        <f t="shared" si="0"/>
        <v>0</v>
      </c>
      <c r="X32" s="211">
        <f t="shared" si="5"/>
        <v>0</v>
      </c>
      <c r="Y32" s="197"/>
      <c r="Z32" s="227">
        <f>($K32*Costos!$K$4)</f>
        <v>0</v>
      </c>
      <c r="AA32" s="228">
        <f>($K32*Costos!$H$4)</f>
        <v>0</v>
      </c>
      <c r="AB32" s="227">
        <f>($K32*Costos!$K$5)</f>
        <v>0</v>
      </c>
      <c r="AC32" s="228">
        <f>($K32*Costos!$H$5)</f>
        <v>0</v>
      </c>
      <c r="AD32" s="227">
        <f>($K32*Costos!$K$6)</f>
        <v>0</v>
      </c>
      <c r="AE32" s="228">
        <f>($K32*Costos!$H$6)</f>
        <v>0</v>
      </c>
      <c r="AF32" s="227">
        <f>($K32*Costos!$K$7)</f>
        <v>0</v>
      </c>
      <c r="AG32" s="228">
        <f>($K32*Costos!$H$7)</f>
        <v>0</v>
      </c>
      <c r="AH32" s="227">
        <f>($K32*Costos!$K$8)</f>
        <v>0</v>
      </c>
      <c r="AI32" s="228">
        <f>($K32*Costos!$H$8)</f>
        <v>0</v>
      </c>
      <c r="AJ32" s="229">
        <f t="shared" si="1"/>
        <v>0</v>
      </c>
      <c r="AK32" s="211">
        <f t="shared" si="2"/>
        <v>0</v>
      </c>
      <c r="AL32" s="197"/>
      <c r="AM32" s="230">
        <f>($L32*Costos!$L$4)</f>
        <v>0</v>
      </c>
      <c r="AN32" s="228">
        <f>($L32*Costos!$I$4)</f>
        <v>0</v>
      </c>
      <c r="AO32" s="227">
        <f>($L32*Costos!$L$5)</f>
        <v>0</v>
      </c>
      <c r="AP32" s="228">
        <f>($L32*Costos!$I$5)</f>
        <v>0</v>
      </c>
      <c r="AQ32" s="227">
        <f>($L32*Costos!$L$6)</f>
        <v>0</v>
      </c>
      <c r="AR32" s="228">
        <f>($L32*Costos!$I$6)</f>
        <v>0</v>
      </c>
      <c r="AS32" s="227">
        <f>($L32*Costos!$L$7)</f>
        <v>0</v>
      </c>
      <c r="AT32" s="228">
        <f>($L32*Costos!$I$7)</f>
        <v>0</v>
      </c>
      <c r="AU32" s="227">
        <f>($L32*Costos!$L$8)</f>
        <v>0</v>
      </c>
      <c r="AV32" s="228">
        <f>($L32*Costos!$I$8)</f>
        <v>0</v>
      </c>
      <c r="AW32" s="229">
        <f t="shared" si="3"/>
        <v>0</v>
      </c>
      <c r="AX32" s="211">
        <f t="shared" si="4"/>
        <v>0</v>
      </c>
      <c r="AY32" s="241">
        <f>SUM($J$80,J82/Costos!G5)</f>
        <v>0</v>
      </c>
      <c r="AZ32" s="241">
        <f>$AY$32/7</f>
        <v>0</v>
      </c>
      <c r="BA32" s="240"/>
    </row>
    <row r="33" spans="2:53" x14ac:dyDescent="0.25">
      <c r="B33" s="16"/>
      <c r="C33" s="86"/>
      <c r="D33" s="86"/>
      <c r="E33" s="86"/>
      <c r="F33" s="86"/>
      <c r="G33" s="86"/>
      <c r="H33" s="85"/>
      <c r="I33" s="85"/>
      <c r="J33" s="111"/>
      <c r="K33" s="111"/>
      <c r="L33" s="232"/>
      <c r="M33" s="227">
        <f>($J33*Costos!$J$4)</f>
        <v>0</v>
      </c>
      <c r="N33" s="228">
        <f>($J33*Costos!$G$4)</f>
        <v>0</v>
      </c>
      <c r="O33" s="227">
        <f>($J33*Costos!$J$5)</f>
        <v>0</v>
      </c>
      <c r="P33" s="228">
        <f>($J33*Costos!$G$5)</f>
        <v>0</v>
      </c>
      <c r="Q33" s="227">
        <f>($J33*Costos!$J$6)</f>
        <v>0</v>
      </c>
      <c r="R33" s="228">
        <f>($J33*Costos!$G$6)</f>
        <v>0</v>
      </c>
      <c r="S33" s="227">
        <f>($J33*Costos!$J$7)</f>
        <v>0</v>
      </c>
      <c r="T33" s="228">
        <f>($J33*Costos!$G$7)</f>
        <v>0</v>
      </c>
      <c r="U33" s="227">
        <f>($J33*Costos!$J$8)</f>
        <v>0</v>
      </c>
      <c r="V33" s="228">
        <f>($J33*Costos!$G$8)</f>
        <v>0</v>
      </c>
      <c r="W33" s="229">
        <f t="shared" si="0"/>
        <v>0</v>
      </c>
      <c r="X33" s="211">
        <f t="shared" si="5"/>
        <v>0</v>
      </c>
      <c r="Y33" s="197"/>
      <c r="Z33" s="227">
        <f>($K33*Costos!$K$4)</f>
        <v>0</v>
      </c>
      <c r="AA33" s="228">
        <f>($K33*Costos!$H$4)</f>
        <v>0</v>
      </c>
      <c r="AB33" s="227">
        <f>($K33*Costos!$K$5)</f>
        <v>0</v>
      </c>
      <c r="AC33" s="228">
        <f>($K33*Costos!$H$5)</f>
        <v>0</v>
      </c>
      <c r="AD33" s="227">
        <f>($K33*Costos!$K$6)</f>
        <v>0</v>
      </c>
      <c r="AE33" s="228">
        <f>($K33*Costos!$H$6)</f>
        <v>0</v>
      </c>
      <c r="AF33" s="227">
        <f>($K33*Costos!$K$7)</f>
        <v>0</v>
      </c>
      <c r="AG33" s="228">
        <f>($K33*Costos!$H$7)</f>
        <v>0</v>
      </c>
      <c r="AH33" s="227">
        <f>($K33*Costos!$K$8)</f>
        <v>0</v>
      </c>
      <c r="AI33" s="228">
        <f>($K33*Costos!$H$8)</f>
        <v>0</v>
      </c>
      <c r="AJ33" s="229">
        <f t="shared" si="1"/>
        <v>0</v>
      </c>
      <c r="AK33" s="211">
        <f t="shared" si="2"/>
        <v>0</v>
      </c>
      <c r="AL33" s="197"/>
      <c r="AM33" s="230">
        <f>($L33*Costos!$L$4)</f>
        <v>0</v>
      </c>
      <c r="AN33" s="228">
        <f>($L33*Costos!$I$4)</f>
        <v>0</v>
      </c>
      <c r="AO33" s="227">
        <f>($L33*Costos!$L$5)</f>
        <v>0</v>
      </c>
      <c r="AP33" s="228">
        <f>($L33*Costos!$I$5)</f>
        <v>0</v>
      </c>
      <c r="AQ33" s="227">
        <f>($L33*Costos!$L$6)</f>
        <v>0</v>
      </c>
      <c r="AR33" s="228">
        <f>($L33*Costos!$I$6)</f>
        <v>0</v>
      </c>
      <c r="AS33" s="227">
        <f>($L33*Costos!$L$7)</f>
        <v>0</v>
      </c>
      <c r="AT33" s="228">
        <f>($L33*Costos!$I$7)</f>
        <v>0</v>
      </c>
      <c r="AU33" s="227">
        <f>($L33*Costos!$L$8)</f>
        <v>0</v>
      </c>
      <c r="AV33" s="228">
        <f>($L33*Costos!$I$8)</f>
        <v>0</v>
      </c>
      <c r="AW33" s="229">
        <f t="shared" si="3"/>
        <v>0</v>
      </c>
      <c r="AX33" s="211">
        <f t="shared" si="4"/>
        <v>0</v>
      </c>
      <c r="AY33" s="240"/>
      <c r="AZ33" s="240"/>
      <c r="BA33" s="242">
        <f>($AZ$32*15)+($AZ$35*25)</f>
        <v>166.66666666666669</v>
      </c>
    </row>
    <row r="34" spans="2:53" x14ac:dyDescent="0.25">
      <c r="B34" s="16"/>
      <c r="C34" s="86"/>
      <c r="D34" s="86"/>
      <c r="E34" s="86"/>
      <c r="F34" s="86"/>
      <c r="G34" s="86"/>
      <c r="H34" s="85"/>
      <c r="I34" s="85"/>
      <c r="J34" s="111"/>
      <c r="K34" s="111"/>
      <c r="L34" s="232"/>
      <c r="M34" s="227">
        <f>($J34*Costos!$J$4)</f>
        <v>0</v>
      </c>
      <c r="N34" s="228">
        <f>($J34*Costos!$G$4)</f>
        <v>0</v>
      </c>
      <c r="O34" s="227">
        <f>($J34*Costos!$J$5)</f>
        <v>0</v>
      </c>
      <c r="P34" s="228">
        <f>($J34*Costos!$G$5)</f>
        <v>0</v>
      </c>
      <c r="Q34" s="227">
        <f>($J34*Costos!$J$6)</f>
        <v>0</v>
      </c>
      <c r="R34" s="228">
        <f>($J34*Costos!$G$6)</f>
        <v>0</v>
      </c>
      <c r="S34" s="227">
        <f>($J34*Costos!$J$7)</f>
        <v>0</v>
      </c>
      <c r="T34" s="228">
        <f>($J34*Costos!$G$7)</f>
        <v>0</v>
      </c>
      <c r="U34" s="227">
        <f>($J34*Costos!$J$8)</f>
        <v>0</v>
      </c>
      <c r="V34" s="228">
        <f>($J34*Costos!$G$8)</f>
        <v>0</v>
      </c>
      <c r="W34" s="229">
        <f t="shared" si="0"/>
        <v>0</v>
      </c>
      <c r="X34" s="211">
        <f t="shared" si="5"/>
        <v>0</v>
      </c>
      <c r="Y34" s="197"/>
      <c r="Z34" s="227">
        <f>($K34*Costos!$K$4)</f>
        <v>0</v>
      </c>
      <c r="AA34" s="228">
        <f>($K34*Costos!$H$4)</f>
        <v>0</v>
      </c>
      <c r="AB34" s="227">
        <f>($K34*Costos!$K$5)</f>
        <v>0</v>
      </c>
      <c r="AC34" s="228">
        <f>($K34*Costos!$H$5)</f>
        <v>0</v>
      </c>
      <c r="AD34" s="227">
        <f>($K34*Costos!$K$6)</f>
        <v>0</v>
      </c>
      <c r="AE34" s="228">
        <f>($K34*Costos!$H$6)</f>
        <v>0</v>
      </c>
      <c r="AF34" s="227">
        <f>($K34*Costos!$K$7)</f>
        <v>0</v>
      </c>
      <c r="AG34" s="228">
        <f>($K34*Costos!$H$7)</f>
        <v>0</v>
      </c>
      <c r="AH34" s="227">
        <f>($K34*Costos!$K$8)</f>
        <v>0</v>
      </c>
      <c r="AI34" s="228">
        <f>($K34*Costos!$H$8)</f>
        <v>0</v>
      </c>
      <c r="AJ34" s="229">
        <f t="shared" si="1"/>
        <v>0</v>
      </c>
      <c r="AK34" s="211">
        <f t="shared" si="2"/>
        <v>0</v>
      </c>
      <c r="AL34" s="197"/>
      <c r="AM34" s="230">
        <f>($L34*Costos!$L$4)</f>
        <v>0</v>
      </c>
      <c r="AN34" s="228">
        <f>($L34*Costos!$I$4)</f>
        <v>0</v>
      </c>
      <c r="AO34" s="227">
        <f>($L34*Costos!$L$5)</f>
        <v>0</v>
      </c>
      <c r="AP34" s="228">
        <f>($L34*Costos!$I$5)</f>
        <v>0</v>
      </c>
      <c r="AQ34" s="227">
        <f>($L34*Costos!$L$6)</f>
        <v>0</v>
      </c>
      <c r="AR34" s="228">
        <f>($L34*Costos!$I$6)</f>
        <v>0</v>
      </c>
      <c r="AS34" s="227">
        <f>($L34*Costos!$L$7)</f>
        <v>0</v>
      </c>
      <c r="AT34" s="228">
        <f>($L34*Costos!$I$7)</f>
        <v>0</v>
      </c>
      <c r="AU34" s="227">
        <f>($L34*Costos!$L$8)</f>
        <v>0</v>
      </c>
      <c r="AV34" s="228">
        <f>($L34*Costos!$I$8)</f>
        <v>0</v>
      </c>
      <c r="AW34" s="229">
        <f t="shared" si="3"/>
        <v>0</v>
      </c>
      <c r="AX34" s="211">
        <f t="shared" si="4"/>
        <v>0</v>
      </c>
      <c r="AY34" s="240" t="s">
        <v>145</v>
      </c>
      <c r="AZ34" s="240"/>
      <c r="BA34" s="240"/>
    </row>
    <row r="35" spans="2:53" x14ac:dyDescent="0.25">
      <c r="B35" s="16"/>
      <c r="C35" s="86"/>
      <c r="D35" s="86"/>
      <c r="E35" s="86"/>
      <c r="F35" s="86"/>
      <c r="G35" s="86"/>
      <c r="H35" s="85"/>
      <c r="I35" s="85"/>
      <c r="J35" s="111"/>
      <c r="K35" s="111"/>
      <c r="L35" s="232"/>
      <c r="M35" s="227">
        <f>($J35*Costos!$J$4)</f>
        <v>0</v>
      </c>
      <c r="N35" s="228">
        <f>($J35*Costos!$G$4)</f>
        <v>0</v>
      </c>
      <c r="O35" s="227">
        <f>($J35*Costos!$J$5)</f>
        <v>0</v>
      </c>
      <c r="P35" s="228">
        <f>($J35*Costos!$G$5)</f>
        <v>0</v>
      </c>
      <c r="Q35" s="227">
        <f>($J35*Costos!$J$6)</f>
        <v>0</v>
      </c>
      <c r="R35" s="228">
        <f>($J35*Costos!$G$6)</f>
        <v>0</v>
      </c>
      <c r="S35" s="227">
        <f>($J35*Costos!$J$7)</f>
        <v>0</v>
      </c>
      <c r="T35" s="228">
        <f>($J35*Costos!$G$7)</f>
        <v>0</v>
      </c>
      <c r="U35" s="227">
        <f>($J35*Costos!$J$8)</f>
        <v>0</v>
      </c>
      <c r="V35" s="228">
        <f>($J35*Costos!$G$8)</f>
        <v>0</v>
      </c>
      <c r="W35" s="229">
        <f t="shared" si="0"/>
        <v>0</v>
      </c>
      <c r="X35" s="211">
        <f t="shared" si="5"/>
        <v>0</v>
      </c>
      <c r="Y35" s="197"/>
      <c r="Z35" s="227">
        <f>($K35*Costos!$K$4)</f>
        <v>0</v>
      </c>
      <c r="AA35" s="228">
        <f>($K35*Costos!$H$4)</f>
        <v>0</v>
      </c>
      <c r="AB35" s="227">
        <f>($K35*Costos!$K$5)</f>
        <v>0</v>
      </c>
      <c r="AC35" s="228">
        <f>($K35*Costos!$H$5)</f>
        <v>0</v>
      </c>
      <c r="AD35" s="227">
        <f>($K35*Costos!$K$6)</f>
        <v>0</v>
      </c>
      <c r="AE35" s="228">
        <f>($K35*Costos!$H$6)</f>
        <v>0</v>
      </c>
      <c r="AF35" s="227">
        <f>($K35*Costos!$K$7)</f>
        <v>0</v>
      </c>
      <c r="AG35" s="228">
        <f>($K35*Costos!$H$7)</f>
        <v>0</v>
      </c>
      <c r="AH35" s="227">
        <f>($K35*Costos!$K$8)</f>
        <v>0</v>
      </c>
      <c r="AI35" s="228">
        <f>($K35*Costos!$H$8)</f>
        <v>0</v>
      </c>
      <c r="AJ35" s="229">
        <f t="shared" si="1"/>
        <v>0</v>
      </c>
      <c r="AK35" s="211">
        <f t="shared" si="2"/>
        <v>0</v>
      </c>
      <c r="AL35" s="197"/>
      <c r="AM35" s="230">
        <f>($L35*Costos!$L$4)</f>
        <v>0</v>
      </c>
      <c r="AN35" s="228">
        <f>($L35*Costos!$I$4)</f>
        <v>0</v>
      </c>
      <c r="AO35" s="227">
        <f>($L35*Costos!$L$5)</f>
        <v>0</v>
      </c>
      <c r="AP35" s="228">
        <f>($L35*Costos!$I$5)</f>
        <v>0</v>
      </c>
      <c r="AQ35" s="227">
        <f>($L35*Costos!$L$6)</f>
        <v>0</v>
      </c>
      <c r="AR35" s="228">
        <f>($L35*Costos!$I$6)</f>
        <v>0</v>
      </c>
      <c r="AS35" s="227">
        <f>($L35*Costos!$L$7)</f>
        <v>0</v>
      </c>
      <c r="AT35" s="228">
        <f>($L35*Costos!$I$7)</f>
        <v>0</v>
      </c>
      <c r="AU35" s="227">
        <f>($L35*Costos!$L$8)</f>
        <v>0</v>
      </c>
      <c r="AV35" s="228">
        <f>($L35*Costos!$I$8)</f>
        <v>0</v>
      </c>
      <c r="AW35" s="229">
        <f t="shared" si="3"/>
        <v>0</v>
      </c>
      <c r="AX35" s="211">
        <f t="shared" si="4"/>
        <v>0</v>
      </c>
      <c r="AY35" s="241">
        <f>SUM($K$80:$L$80,K82/Costos!H5,'Detalle Servicios'!L82/Costos!I5)</f>
        <v>40</v>
      </c>
      <c r="AZ35" s="241">
        <f>$AY$35/6</f>
        <v>6.666666666666667</v>
      </c>
      <c r="BA35" s="240"/>
    </row>
    <row r="36" spans="2:53" x14ac:dyDescent="0.25">
      <c r="B36" s="16"/>
      <c r="C36" s="86"/>
      <c r="D36" s="86"/>
      <c r="E36" s="86"/>
      <c r="F36" s="86"/>
      <c r="G36" s="86"/>
      <c r="H36" s="85"/>
      <c r="I36" s="85"/>
      <c r="J36" s="111"/>
      <c r="K36" s="111"/>
      <c r="L36" s="232"/>
      <c r="M36" s="227">
        <f>($J36*Costos!$J$4)</f>
        <v>0</v>
      </c>
      <c r="N36" s="228">
        <f>($J36*Costos!$G$4)</f>
        <v>0</v>
      </c>
      <c r="O36" s="227">
        <f>($J36*Costos!$J$5)</f>
        <v>0</v>
      </c>
      <c r="P36" s="228">
        <f>($J36*Costos!$G$5)</f>
        <v>0</v>
      </c>
      <c r="Q36" s="227">
        <f>($J36*Costos!$J$6)</f>
        <v>0</v>
      </c>
      <c r="R36" s="228">
        <f>($J36*Costos!$G$6)</f>
        <v>0</v>
      </c>
      <c r="S36" s="227">
        <f>($J36*Costos!$J$7)</f>
        <v>0</v>
      </c>
      <c r="T36" s="228">
        <f>($J36*Costos!$G$7)</f>
        <v>0</v>
      </c>
      <c r="U36" s="227">
        <f>($J36*Costos!$J$8)</f>
        <v>0</v>
      </c>
      <c r="V36" s="228">
        <f>($J36*Costos!$G$8)</f>
        <v>0</v>
      </c>
      <c r="W36" s="229">
        <f t="shared" si="0"/>
        <v>0</v>
      </c>
      <c r="X36" s="211">
        <f t="shared" si="5"/>
        <v>0</v>
      </c>
      <c r="Y36" s="197"/>
      <c r="Z36" s="227">
        <f>($K36*Costos!$K$4)</f>
        <v>0</v>
      </c>
      <c r="AA36" s="228">
        <f>($K36*Costos!$H$4)</f>
        <v>0</v>
      </c>
      <c r="AB36" s="227">
        <f>($K36*Costos!$K$5)</f>
        <v>0</v>
      </c>
      <c r="AC36" s="228">
        <f>($K36*Costos!$H$5)</f>
        <v>0</v>
      </c>
      <c r="AD36" s="227">
        <f>($K36*Costos!$K$6)</f>
        <v>0</v>
      </c>
      <c r="AE36" s="228">
        <f>($K36*Costos!$H$6)</f>
        <v>0</v>
      </c>
      <c r="AF36" s="227">
        <f>($K36*Costos!$K$7)</f>
        <v>0</v>
      </c>
      <c r="AG36" s="228">
        <f>($K36*Costos!$H$7)</f>
        <v>0</v>
      </c>
      <c r="AH36" s="227">
        <f>($K36*Costos!$K$8)</f>
        <v>0</v>
      </c>
      <c r="AI36" s="228">
        <f>($K36*Costos!$H$8)</f>
        <v>0</v>
      </c>
      <c r="AJ36" s="229">
        <f t="shared" si="1"/>
        <v>0</v>
      </c>
      <c r="AK36" s="211">
        <f t="shared" si="2"/>
        <v>0</v>
      </c>
      <c r="AL36" s="197"/>
      <c r="AM36" s="230">
        <f>($L36*Costos!$L$4)</f>
        <v>0</v>
      </c>
      <c r="AN36" s="228">
        <f>($L36*Costos!$I$4)</f>
        <v>0</v>
      </c>
      <c r="AO36" s="227">
        <f>($L36*Costos!$L$5)</f>
        <v>0</v>
      </c>
      <c r="AP36" s="228">
        <f>($L36*Costos!$I$5)</f>
        <v>0</v>
      </c>
      <c r="AQ36" s="227">
        <f>($L36*Costos!$L$6)</f>
        <v>0</v>
      </c>
      <c r="AR36" s="228">
        <f>($L36*Costos!$I$6)</f>
        <v>0</v>
      </c>
      <c r="AS36" s="227">
        <f>($L36*Costos!$L$7)</f>
        <v>0</v>
      </c>
      <c r="AT36" s="228">
        <f>($L36*Costos!$I$7)</f>
        <v>0</v>
      </c>
      <c r="AU36" s="227">
        <f>($L36*Costos!$L$8)</f>
        <v>0</v>
      </c>
      <c r="AV36" s="228">
        <f>($L36*Costos!$I$8)</f>
        <v>0</v>
      </c>
      <c r="AW36" s="229">
        <f t="shared" si="3"/>
        <v>0</v>
      </c>
      <c r="AX36" s="211">
        <f t="shared" si="4"/>
        <v>0</v>
      </c>
      <c r="AY36" s="21"/>
      <c r="AZ36" s="21"/>
    </row>
    <row r="37" spans="2:53" x14ac:dyDescent="0.25">
      <c r="B37" s="16"/>
      <c r="C37" s="86"/>
      <c r="D37" s="86"/>
      <c r="E37" s="86"/>
      <c r="F37" s="86"/>
      <c r="G37" s="86"/>
      <c r="H37" s="85"/>
      <c r="I37" s="85"/>
      <c r="J37" s="111"/>
      <c r="K37" s="111"/>
      <c r="L37" s="232"/>
      <c r="M37" s="227">
        <f>($J37*Costos!$J$4)</f>
        <v>0</v>
      </c>
      <c r="N37" s="228">
        <f>($J37*Costos!$G$4)</f>
        <v>0</v>
      </c>
      <c r="O37" s="227">
        <f>($J37*Costos!$J$5)</f>
        <v>0</v>
      </c>
      <c r="P37" s="228">
        <f>($J37*Costos!$G$5)</f>
        <v>0</v>
      </c>
      <c r="Q37" s="227">
        <f>($J37*Costos!$J$6)</f>
        <v>0</v>
      </c>
      <c r="R37" s="228">
        <f>($J37*Costos!$G$6)</f>
        <v>0</v>
      </c>
      <c r="S37" s="227">
        <f>($J37*Costos!$J$7)</f>
        <v>0</v>
      </c>
      <c r="T37" s="228">
        <f>($J37*Costos!$G$7)</f>
        <v>0</v>
      </c>
      <c r="U37" s="227">
        <f>($J37*Costos!$J$8)</f>
        <v>0</v>
      </c>
      <c r="V37" s="228">
        <f>($J37*Costos!$G$8)</f>
        <v>0</v>
      </c>
      <c r="W37" s="229">
        <f t="shared" si="0"/>
        <v>0</v>
      </c>
      <c r="X37" s="211">
        <f t="shared" si="5"/>
        <v>0</v>
      </c>
      <c r="Y37" s="197"/>
      <c r="Z37" s="227">
        <f>($K37*Costos!$K$4)</f>
        <v>0</v>
      </c>
      <c r="AA37" s="228">
        <f>($K37*Costos!$H$4)</f>
        <v>0</v>
      </c>
      <c r="AB37" s="227">
        <f>($K37*Costos!$K$5)</f>
        <v>0</v>
      </c>
      <c r="AC37" s="228">
        <f>($K37*Costos!$H$5)</f>
        <v>0</v>
      </c>
      <c r="AD37" s="227">
        <f>($K37*Costos!$K$6)</f>
        <v>0</v>
      </c>
      <c r="AE37" s="228">
        <f>($K37*Costos!$H$6)</f>
        <v>0</v>
      </c>
      <c r="AF37" s="227">
        <f>($K37*Costos!$K$7)</f>
        <v>0</v>
      </c>
      <c r="AG37" s="228">
        <f>($K37*Costos!$H$7)</f>
        <v>0</v>
      </c>
      <c r="AH37" s="227">
        <f>($K37*Costos!$K$8)</f>
        <v>0</v>
      </c>
      <c r="AI37" s="228">
        <f>($K37*Costos!$H$8)</f>
        <v>0</v>
      </c>
      <c r="AJ37" s="229">
        <f t="shared" si="1"/>
        <v>0</v>
      </c>
      <c r="AK37" s="211">
        <f t="shared" si="2"/>
        <v>0</v>
      </c>
      <c r="AL37" s="197"/>
      <c r="AM37" s="230">
        <f>($L37*Costos!$L$4)</f>
        <v>0</v>
      </c>
      <c r="AN37" s="228">
        <f>($L37*Costos!$I$4)</f>
        <v>0</v>
      </c>
      <c r="AO37" s="227">
        <f>($L37*Costos!$L$5)</f>
        <v>0</v>
      </c>
      <c r="AP37" s="228">
        <f>($L37*Costos!$I$5)</f>
        <v>0</v>
      </c>
      <c r="AQ37" s="227">
        <f>($L37*Costos!$L$6)</f>
        <v>0</v>
      </c>
      <c r="AR37" s="228">
        <f>($L37*Costos!$I$6)</f>
        <v>0</v>
      </c>
      <c r="AS37" s="227">
        <f>($L37*Costos!$L$7)</f>
        <v>0</v>
      </c>
      <c r="AT37" s="228">
        <f>($L37*Costos!$I$7)</f>
        <v>0</v>
      </c>
      <c r="AU37" s="227">
        <f>($L37*Costos!$L$8)</f>
        <v>0</v>
      </c>
      <c r="AV37" s="228">
        <f>($L37*Costos!$I$8)</f>
        <v>0</v>
      </c>
      <c r="AW37" s="229">
        <f t="shared" si="3"/>
        <v>0</v>
      </c>
      <c r="AX37" s="211">
        <f t="shared" si="4"/>
        <v>0</v>
      </c>
    </row>
    <row r="38" spans="2:53" x14ac:dyDescent="0.25">
      <c r="B38" s="16"/>
      <c r="C38" s="86"/>
      <c r="D38" s="86"/>
      <c r="E38" s="86"/>
      <c r="F38" s="86"/>
      <c r="G38" s="86"/>
      <c r="H38" s="85"/>
      <c r="I38" s="85"/>
      <c r="J38" s="111"/>
      <c r="K38" s="111"/>
      <c r="L38" s="232"/>
      <c r="M38" s="227">
        <f>($J38*Costos!$J$4)</f>
        <v>0</v>
      </c>
      <c r="N38" s="228">
        <f>($J38*Costos!$G$4)</f>
        <v>0</v>
      </c>
      <c r="O38" s="227">
        <f>($J38*Costos!$J$5)</f>
        <v>0</v>
      </c>
      <c r="P38" s="228">
        <f>($J38*Costos!$G$5)</f>
        <v>0</v>
      </c>
      <c r="Q38" s="227">
        <f>($J38*Costos!$J$6)</f>
        <v>0</v>
      </c>
      <c r="R38" s="228">
        <f>($J38*Costos!$G$6)</f>
        <v>0</v>
      </c>
      <c r="S38" s="227">
        <f>($J38*Costos!$J$7)</f>
        <v>0</v>
      </c>
      <c r="T38" s="228">
        <f>($J38*Costos!$G$7)</f>
        <v>0</v>
      </c>
      <c r="U38" s="227">
        <f>($J38*Costos!$J$8)</f>
        <v>0</v>
      </c>
      <c r="V38" s="228">
        <f>($J38*Costos!$G$8)</f>
        <v>0</v>
      </c>
      <c r="W38" s="229">
        <f t="shared" si="0"/>
        <v>0</v>
      </c>
      <c r="X38" s="211">
        <f t="shared" si="5"/>
        <v>0</v>
      </c>
      <c r="Y38" s="197"/>
      <c r="Z38" s="227">
        <f>($K38*Costos!$K$4)</f>
        <v>0</v>
      </c>
      <c r="AA38" s="228">
        <f>($K38*Costos!$H$4)</f>
        <v>0</v>
      </c>
      <c r="AB38" s="227">
        <f>($K38*Costos!$K$5)</f>
        <v>0</v>
      </c>
      <c r="AC38" s="228">
        <f>($K38*Costos!$H$5)</f>
        <v>0</v>
      </c>
      <c r="AD38" s="227">
        <f>($K38*Costos!$K$6)</f>
        <v>0</v>
      </c>
      <c r="AE38" s="228">
        <f>($K38*Costos!$H$6)</f>
        <v>0</v>
      </c>
      <c r="AF38" s="227">
        <f>($K38*Costos!$K$7)</f>
        <v>0</v>
      </c>
      <c r="AG38" s="228">
        <f>($K38*Costos!$H$7)</f>
        <v>0</v>
      </c>
      <c r="AH38" s="227">
        <f>($K38*Costos!$K$8)</f>
        <v>0</v>
      </c>
      <c r="AI38" s="228">
        <f>($K38*Costos!$H$8)</f>
        <v>0</v>
      </c>
      <c r="AJ38" s="229">
        <f t="shared" si="1"/>
        <v>0</v>
      </c>
      <c r="AK38" s="211">
        <f t="shared" si="2"/>
        <v>0</v>
      </c>
      <c r="AL38" s="197"/>
      <c r="AM38" s="230">
        <f>($L38*Costos!$L$4)</f>
        <v>0</v>
      </c>
      <c r="AN38" s="228">
        <f>($L38*Costos!$I$4)</f>
        <v>0</v>
      </c>
      <c r="AO38" s="227">
        <f>($L38*Costos!$L$5)</f>
        <v>0</v>
      </c>
      <c r="AP38" s="228">
        <f>($L38*Costos!$I$5)</f>
        <v>0</v>
      </c>
      <c r="AQ38" s="227">
        <f>($L38*Costos!$L$6)</f>
        <v>0</v>
      </c>
      <c r="AR38" s="228">
        <f>($L38*Costos!$I$6)</f>
        <v>0</v>
      </c>
      <c r="AS38" s="227">
        <f>($L38*Costos!$L$7)</f>
        <v>0</v>
      </c>
      <c r="AT38" s="228">
        <f>($L38*Costos!$I$7)</f>
        <v>0</v>
      </c>
      <c r="AU38" s="227">
        <f>($L38*Costos!$L$8)</f>
        <v>0</v>
      </c>
      <c r="AV38" s="228">
        <f>($L38*Costos!$I$8)</f>
        <v>0</v>
      </c>
      <c r="AW38" s="229">
        <f t="shared" si="3"/>
        <v>0</v>
      </c>
      <c r="AX38" s="211">
        <f t="shared" si="4"/>
        <v>0</v>
      </c>
      <c r="AY38" s="243" t="s">
        <v>146</v>
      </c>
      <c r="AZ38" s="243"/>
      <c r="BA38" s="243" t="s">
        <v>18</v>
      </c>
    </row>
    <row r="39" spans="2:53" x14ac:dyDescent="0.25">
      <c r="B39" s="16"/>
      <c r="C39" s="86"/>
      <c r="D39" s="86"/>
      <c r="E39" s="86"/>
      <c r="F39" s="86"/>
      <c r="G39" s="86"/>
      <c r="H39" s="85"/>
      <c r="I39" s="85"/>
      <c r="J39" s="111"/>
      <c r="K39" s="111"/>
      <c r="L39" s="232"/>
      <c r="M39" s="227">
        <f>($J39*Costos!$J$4)</f>
        <v>0</v>
      </c>
      <c r="N39" s="228">
        <f>($J39*Costos!$G$4)</f>
        <v>0</v>
      </c>
      <c r="O39" s="227">
        <f>($J39*Costos!$J$5)</f>
        <v>0</v>
      </c>
      <c r="P39" s="228">
        <f>($J39*Costos!$G$5)</f>
        <v>0</v>
      </c>
      <c r="Q39" s="227">
        <f>($J39*Costos!$J$6)</f>
        <v>0</v>
      </c>
      <c r="R39" s="228">
        <f>($J39*Costos!$G$6)</f>
        <v>0</v>
      </c>
      <c r="S39" s="227">
        <f>($J39*Costos!$J$7)</f>
        <v>0</v>
      </c>
      <c r="T39" s="228">
        <f>($J39*Costos!$G$7)</f>
        <v>0</v>
      </c>
      <c r="U39" s="227">
        <f>($J39*Costos!$J$8)</f>
        <v>0</v>
      </c>
      <c r="V39" s="228">
        <f>($J39*Costos!$G$8)</f>
        <v>0</v>
      </c>
      <c r="W39" s="229">
        <f t="shared" si="0"/>
        <v>0</v>
      </c>
      <c r="X39" s="211">
        <f t="shared" si="5"/>
        <v>0</v>
      </c>
      <c r="Y39" s="197"/>
      <c r="Z39" s="227">
        <f>($K39*Costos!$K$4)</f>
        <v>0</v>
      </c>
      <c r="AA39" s="228">
        <f>($K39*Costos!$H$4)</f>
        <v>0</v>
      </c>
      <c r="AB39" s="227">
        <f>($K39*Costos!$K$5)</f>
        <v>0</v>
      </c>
      <c r="AC39" s="228">
        <f>($K39*Costos!$H$5)</f>
        <v>0</v>
      </c>
      <c r="AD39" s="227">
        <f>($K39*Costos!$K$6)</f>
        <v>0</v>
      </c>
      <c r="AE39" s="228">
        <f>($K39*Costos!$H$6)</f>
        <v>0</v>
      </c>
      <c r="AF39" s="227">
        <f>($K39*Costos!$K$7)</f>
        <v>0</v>
      </c>
      <c r="AG39" s="228">
        <f>($K39*Costos!$H$7)</f>
        <v>0</v>
      </c>
      <c r="AH39" s="227">
        <f>($K39*Costos!$K$8)</f>
        <v>0</v>
      </c>
      <c r="AI39" s="228">
        <f>($K39*Costos!$H$8)</f>
        <v>0</v>
      </c>
      <c r="AJ39" s="229">
        <f t="shared" si="1"/>
        <v>0</v>
      </c>
      <c r="AK39" s="211">
        <f t="shared" si="2"/>
        <v>0</v>
      </c>
      <c r="AL39" s="197"/>
      <c r="AM39" s="230">
        <f>($L39*Costos!$L$4)</f>
        <v>0</v>
      </c>
      <c r="AN39" s="228">
        <f>($L39*Costos!$I$4)</f>
        <v>0</v>
      </c>
      <c r="AO39" s="227">
        <f>($L39*Costos!$L$5)</f>
        <v>0</v>
      </c>
      <c r="AP39" s="228">
        <f>($L39*Costos!$I$5)</f>
        <v>0</v>
      </c>
      <c r="AQ39" s="227">
        <f>($L39*Costos!$L$6)</f>
        <v>0</v>
      </c>
      <c r="AR39" s="228">
        <f>($L39*Costos!$I$6)</f>
        <v>0</v>
      </c>
      <c r="AS39" s="227">
        <f>($L39*Costos!$L$7)</f>
        <v>0</v>
      </c>
      <c r="AT39" s="228">
        <f>($L39*Costos!$I$7)</f>
        <v>0</v>
      </c>
      <c r="AU39" s="227">
        <f>($L39*Costos!$L$8)</f>
        <v>0</v>
      </c>
      <c r="AV39" s="228">
        <f>($L39*Costos!$I$8)</f>
        <v>0</v>
      </c>
      <c r="AW39" s="229">
        <f t="shared" si="3"/>
        <v>0</v>
      </c>
      <c r="AX39" s="211">
        <f t="shared" si="4"/>
        <v>0</v>
      </c>
      <c r="AY39" s="244">
        <f>SUM($J$79,J82/Costos!G5)</f>
        <v>66</v>
      </c>
      <c r="AZ39" s="244">
        <f>$AY$39/7</f>
        <v>9.4285714285714288</v>
      </c>
      <c r="BA39" s="243"/>
    </row>
    <row r="40" spans="2:53" x14ac:dyDescent="0.25">
      <c r="B40" s="245"/>
      <c r="C40" s="246"/>
      <c r="D40" s="246"/>
      <c r="E40" s="246"/>
      <c r="F40" s="86"/>
      <c r="G40" s="86"/>
      <c r="H40" s="85"/>
      <c r="I40" s="85"/>
      <c r="J40" s="111"/>
      <c r="K40" s="111"/>
      <c r="L40" s="232"/>
      <c r="M40" s="227">
        <f>($J40*Costos!$J$4)</f>
        <v>0</v>
      </c>
      <c r="N40" s="228">
        <f>($J40*Costos!$G$4)</f>
        <v>0</v>
      </c>
      <c r="O40" s="227">
        <f>($J40*Costos!$J$5)</f>
        <v>0</v>
      </c>
      <c r="P40" s="228">
        <f>($J40*Costos!$G$5)</f>
        <v>0</v>
      </c>
      <c r="Q40" s="227">
        <f>($J40*Costos!$J$6)</f>
        <v>0</v>
      </c>
      <c r="R40" s="228">
        <f>($J40*Costos!$G$6)</f>
        <v>0</v>
      </c>
      <c r="S40" s="227">
        <f>($J40*Costos!$J$7)</f>
        <v>0</v>
      </c>
      <c r="T40" s="228">
        <f>($J40*Costos!$G$7)</f>
        <v>0</v>
      </c>
      <c r="U40" s="227">
        <f>($J40*Costos!$J$8)</f>
        <v>0</v>
      </c>
      <c r="V40" s="228">
        <f>($J40*Costos!$G$8)</f>
        <v>0</v>
      </c>
      <c r="W40" s="229">
        <f t="shared" ref="W40:W70" si="6">IF($C40="x",N40,0)+IF($D40="x",P40,0)+IF($E40="x",R40,0)+IF($F40="x",T40,0)+IF($G40="x",V40,0)</f>
        <v>0</v>
      </c>
      <c r="X40" s="211">
        <f t="shared" ref="X40:X70" si="7">IF($C40="x",M40,0)+IF($D40="x",O40,0)+IF($E40="x",Q40,0)+IF($F40="x",S40,0)+IF($G40="x",U40,0)</f>
        <v>0</v>
      </c>
      <c r="Y40" s="197"/>
      <c r="Z40" s="227">
        <f>($K40*Costos!$K$4)</f>
        <v>0</v>
      </c>
      <c r="AA40" s="228">
        <f>($K40*Costos!$H$4)</f>
        <v>0</v>
      </c>
      <c r="AB40" s="227">
        <f>($K40*Costos!$K$5)</f>
        <v>0</v>
      </c>
      <c r="AC40" s="228">
        <f>($K40*Costos!$H$5)</f>
        <v>0</v>
      </c>
      <c r="AD40" s="227">
        <f>($K40*Costos!$K$6)</f>
        <v>0</v>
      </c>
      <c r="AE40" s="228">
        <f>($K40*Costos!$H$6)</f>
        <v>0</v>
      </c>
      <c r="AF40" s="227">
        <f>($K40*Costos!$K$7)</f>
        <v>0</v>
      </c>
      <c r="AG40" s="228">
        <f>($K40*Costos!$H$7)</f>
        <v>0</v>
      </c>
      <c r="AH40" s="227">
        <f>($K40*Costos!$K$8)</f>
        <v>0</v>
      </c>
      <c r="AI40" s="228">
        <f>($K40*Costos!$H$8)</f>
        <v>0</v>
      </c>
      <c r="AJ40" s="229">
        <f t="shared" ref="AJ40:AJ70" si="8">IF($C40="x",AA40,0)+IF($D40="x",AC40,0)+IF($E40="x",AE40,0)+IF($F40="x",AG40,0)+IF($G40="x",AI40,0)</f>
        <v>0</v>
      </c>
      <c r="AK40" s="211">
        <f t="shared" ref="AK40:AK70" si="9">IF($C40="x",Z40,0)+IF($D40="x",AB40,0)+IF($E40="x",AD40,0)+IF($F40="x",AF40,0)+IF($G40="x",AH40,0)</f>
        <v>0</v>
      </c>
      <c r="AL40" s="197"/>
      <c r="AM40" s="230">
        <f>($L40*Costos!$L$4)</f>
        <v>0</v>
      </c>
      <c r="AN40" s="228">
        <f>($L40*Costos!$I$4)</f>
        <v>0</v>
      </c>
      <c r="AO40" s="227">
        <f>($L40*Costos!$L$5)</f>
        <v>0</v>
      </c>
      <c r="AP40" s="228">
        <f>($L40*Costos!$I$5)</f>
        <v>0</v>
      </c>
      <c r="AQ40" s="227">
        <f>($L40*Costos!$L$6)</f>
        <v>0</v>
      </c>
      <c r="AR40" s="228">
        <f>($L40*Costos!$I$6)</f>
        <v>0</v>
      </c>
      <c r="AS40" s="227">
        <f>($L40*Costos!$L$7)</f>
        <v>0</v>
      </c>
      <c r="AT40" s="228">
        <f>($L40*Costos!$I$7)</f>
        <v>0</v>
      </c>
      <c r="AU40" s="227">
        <f>($L40*Costos!$L$8)</f>
        <v>0</v>
      </c>
      <c r="AV40" s="228">
        <f>($L40*Costos!$I$8)</f>
        <v>0</v>
      </c>
      <c r="AW40" s="229">
        <f t="shared" ref="AW40:AW70" si="10">IF($C40="x",AN40,0)+IF($D40="x",AP40,0)+IF($E40="x",AR40,0)+IF($F40="x",AT40,0)+IF($G40="x",AV40,0)</f>
        <v>0</v>
      </c>
      <c r="AX40" s="211">
        <f t="shared" ref="AX40:AX70" si="11">IF($C40="x",AM40,0)+IF($D40="x",AO40,0)+IF($E40="x",AQ40,0)+IF($F40="x",AS40,0)+IF($G40="x",AU40,0)</f>
        <v>0</v>
      </c>
      <c r="AY40" s="243"/>
      <c r="AZ40" s="243"/>
      <c r="BA40" s="244">
        <f>($AZ$39*15)+($AZ$42*25)</f>
        <v>783.09523809523819</v>
      </c>
    </row>
    <row r="41" spans="2:53" x14ac:dyDescent="0.25">
      <c r="B41" s="247"/>
      <c r="C41" s="246"/>
      <c r="D41" s="246"/>
      <c r="E41" s="246"/>
      <c r="F41" s="86"/>
      <c r="G41" s="86"/>
      <c r="H41" s="85"/>
      <c r="I41" s="85"/>
      <c r="J41" s="111"/>
      <c r="K41" s="111"/>
      <c r="L41" s="232"/>
      <c r="M41" s="227">
        <f>($J41*Costos!$J$4)</f>
        <v>0</v>
      </c>
      <c r="N41" s="228">
        <f>($J41*Costos!$G$4)</f>
        <v>0</v>
      </c>
      <c r="O41" s="227">
        <f>($J41*Costos!$J$5)</f>
        <v>0</v>
      </c>
      <c r="P41" s="228">
        <f>($J41*Costos!$G$5)</f>
        <v>0</v>
      </c>
      <c r="Q41" s="227">
        <f>($J41*Costos!$J$6)</f>
        <v>0</v>
      </c>
      <c r="R41" s="228">
        <f>($J41*Costos!$G$6)</f>
        <v>0</v>
      </c>
      <c r="S41" s="227">
        <f>($J41*Costos!$J$7)</f>
        <v>0</v>
      </c>
      <c r="T41" s="228">
        <f>($J41*Costos!$G$7)</f>
        <v>0</v>
      </c>
      <c r="U41" s="227">
        <f>($J41*Costos!$J$8)</f>
        <v>0</v>
      </c>
      <c r="V41" s="228">
        <f>($J41*Costos!$G$8)</f>
        <v>0</v>
      </c>
      <c r="W41" s="229">
        <f t="shared" si="6"/>
        <v>0</v>
      </c>
      <c r="X41" s="211">
        <f t="shared" si="7"/>
        <v>0</v>
      </c>
      <c r="Y41" s="197"/>
      <c r="Z41" s="227">
        <f>($K41*Costos!$K$4)</f>
        <v>0</v>
      </c>
      <c r="AA41" s="228">
        <f>($K41*Costos!$H$4)</f>
        <v>0</v>
      </c>
      <c r="AB41" s="227">
        <f>($K41*Costos!$K$5)</f>
        <v>0</v>
      </c>
      <c r="AC41" s="228">
        <f>($K41*Costos!$H$5)</f>
        <v>0</v>
      </c>
      <c r="AD41" s="227">
        <f>($K41*Costos!$K$6)</f>
        <v>0</v>
      </c>
      <c r="AE41" s="228">
        <f>($K41*Costos!$H$6)</f>
        <v>0</v>
      </c>
      <c r="AF41" s="227">
        <f>($K41*Costos!$K$7)</f>
        <v>0</v>
      </c>
      <c r="AG41" s="228">
        <f>($K41*Costos!$H$7)</f>
        <v>0</v>
      </c>
      <c r="AH41" s="227">
        <f>($K41*Costos!$K$8)</f>
        <v>0</v>
      </c>
      <c r="AI41" s="228">
        <f>($K41*Costos!$H$8)</f>
        <v>0</v>
      </c>
      <c r="AJ41" s="229">
        <f t="shared" si="8"/>
        <v>0</v>
      </c>
      <c r="AK41" s="211">
        <f t="shared" si="9"/>
        <v>0</v>
      </c>
      <c r="AL41" s="197"/>
      <c r="AM41" s="230">
        <f>($L41*Costos!$L$4)</f>
        <v>0</v>
      </c>
      <c r="AN41" s="228">
        <f>($L41*Costos!$I$4)</f>
        <v>0</v>
      </c>
      <c r="AO41" s="227">
        <f>($L41*Costos!$L$5)</f>
        <v>0</v>
      </c>
      <c r="AP41" s="228">
        <f>($L41*Costos!$I$5)</f>
        <v>0</v>
      </c>
      <c r="AQ41" s="227">
        <f>($L41*Costos!$L$6)</f>
        <v>0</v>
      </c>
      <c r="AR41" s="228">
        <f>($L41*Costos!$I$6)</f>
        <v>0</v>
      </c>
      <c r="AS41" s="227">
        <f>($L41*Costos!$L$7)</f>
        <v>0</v>
      </c>
      <c r="AT41" s="228">
        <f>($L41*Costos!$I$7)</f>
        <v>0</v>
      </c>
      <c r="AU41" s="227">
        <f>($L41*Costos!$L$8)</f>
        <v>0</v>
      </c>
      <c r="AV41" s="228">
        <f>($L41*Costos!$I$8)</f>
        <v>0</v>
      </c>
      <c r="AW41" s="229">
        <f t="shared" si="10"/>
        <v>0</v>
      </c>
      <c r="AX41" s="211">
        <f t="shared" si="11"/>
        <v>0</v>
      </c>
      <c r="AY41" s="243" t="s">
        <v>147</v>
      </c>
      <c r="AZ41" s="243"/>
      <c r="BA41" s="243"/>
    </row>
    <row r="42" spans="2:53" x14ac:dyDescent="0.25">
      <c r="B42" s="248"/>
      <c r="C42" s="246"/>
      <c r="D42" s="246"/>
      <c r="E42" s="246"/>
      <c r="F42" s="86"/>
      <c r="G42" s="86"/>
      <c r="H42" s="85"/>
      <c r="I42" s="85"/>
      <c r="J42" s="111"/>
      <c r="K42" s="111"/>
      <c r="L42" s="232"/>
      <c r="M42" s="227">
        <f>($J42*Costos!$J$4)</f>
        <v>0</v>
      </c>
      <c r="N42" s="228">
        <f>($J42*Costos!$G$4)</f>
        <v>0</v>
      </c>
      <c r="O42" s="227">
        <f>($J42*Costos!$J$5)</f>
        <v>0</v>
      </c>
      <c r="P42" s="228">
        <f>($J42*Costos!$G$5)</f>
        <v>0</v>
      </c>
      <c r="Q42" s="227">
        <f>($J42*Costos!$J$6)</f>
        <v>0</v>
      </c>
      <c r="R42" s="228">
        <f>($J42*Costos!$G$6)</f>
        <v>0</v>
      </c>
      <c r="S42" s="227">
        <f>($J42*Costos!$J$7)</f>
        <v>0</v>
      </c>
      <c r="T42" s="228">
        <f>($J42*Costos!$G$7)</f>
        <v>0</v>
      </c>
      <c r="U42" s="227">
        <f>($J42*Costos!$J$8)</f>
        <v>0</v>
      </c>
      <c r="V42" s="228">
        <f>($J42*Costos!$G$8)</f>
        <v>0</v>
      </c>
      <c r="W42" s="229">
        <f t="shared" si="6"/>
        <v>0</v>
      </c>
      <c r="X42" s="211">
        <f t="shared" si="7"/>
        <v>0</v>
      </c>
      <c r="Y42" s="197"/>
      <c r="Z42" s="227">
        <f>($K42*Costos!$K$4)</f>
        <v>0</v>
      </c>
      <c r="AA42" s="228">
        <f>($K42*Costos!$H$4)</f>
        <v>0</v>
      </c>
      <c r="AB42" s="227">
        <f>($K42*Costos!$K$5)</f>
        <v>0</v>
      </c>
      <c r="AC42" s="228">
        <f>($K42*Costos!$H$5)</f>
        <v>0</v>
      </c>
      <c r="AD42" s="227">
        <f>($K42*Costos!$K$6)</f>
        <v>0</v>
      </c>
      <c r="AE42" s="228">
        <f>($K42*Costos!$H$6)</f>
        <v>0</v>
      </c>
      <c r="AF42" s="227">
        <f>($K42*Costos!$K$7)</f>
        <v>0</v>
      </c>
      <c r="AG42" s="228">
        <f>($K42*Costos!$H$7)</f>
        <v>0</v>
      </c>
      <c r="AH42" s="227">
        <f>($K42*Costos!$K$8)</f>
        <v>0</v>
      </c>
      <c r="AI42" s="228">
        <f>($K42*Costos!$H$8)</f>
        <v>0</v>
      </c>
      <c r="AJ42" s="229">
        <f t="shared" si="8"/>
        <v>0</v>
      </c>
      <c r="AK42" s="211">
        <f t="shared" si="9"/>
        <v>0</v>
      </c>
      <c r="AL42" s="197"/>
      <c r="AM42" s="230">
        <f>($L42*Costos!$L$4)</f>
        <v>0</v>
      </c>
      <c r="AN42" s="228">
        <f>($L42*Costos!$I$4)</f>
        <v>0</v>
      </c>
      <c r="AO42" s="227">
        <f>($L42*Costos!$L$5)</f>
        <v>0</v>
      </c>
      <c r="AP42" s="228">
        <f>($L42*Costos!$I$5)</f>
        <v>0</v>
      </c>
      <c r="AQ42" s="227">
        <f>($L42*Costos!$L$6)</f>
        <v>0</v>
      </c>
      <c r="AR42" s="228">
        <f>($L42*Costos!$I$6)</f>
        <v>0</v>
      </c>
      <c r="AS42" s="227">
        <f>($L42*Costos!$L$7)</f>
        <v>0</v>
      </c>
      <c r="AT42" s="228">
        <f>($L42*Costos!$I$7)</f>
        <v>0</v>
      </c>
      <c r="AU42" s="227">
        <f>($L42*Costos!$L$8)</f>
        <v>0</v>
      </c>
      <c r="AV42" s="228">
        <f>($L42*Costos!$I$8)</f>
        <v>0</v>
      </c>
      <c r="AW42" s="229">
        <f t="shared" si="10"/>
        <v>0</v>
      </c>
      <c r="AX42" s="211">
        <f t="shared" si="11"/>
        <v>0</v>
      </c>
      <c r="AY42" s="244">
        <f>SUM($K$79:$L$79,K82/Costos!H5,'Detalle Servicios'!L82/Costos!I5)</f>
        <v>154</v>
      </c>
      <c r="AZ42" s="244">
        <f>$AY$42/6</f>
        <v>25.666666666666668</v>
      </c>
      <c r="BA42" s="243"/>
    </row>
    <row r="43" spans="2:53" x14ac:dyDescent="0.25">
      <c r="B43" s="79"/>
      <c r="C43" s="86"/>
      <c r="D43" s="86"/>
      <c r="E43" s="86"/>
      <c r="F43" s="86"/>
      <c r="G43" s="86"/>
      <c r="H43" s="85"/>
      <c r="I43" s="85"/>
      <c r="J43" s="111"/>
      <c r="K43" s="111"/>
      <c r="L43" s="232"/>
      <c r="M43" s="227">
        <f>($J43*Costos!$J$4)</f>
        <v>0</v>
      </c>
      <c r="N43" s="228">
        <f>($J43*Costos!$G$4)</f>
        <v>0</v>
      </c>
      <c r="O43" s="227">
        <f>($J43*Costos!$J$5)</f>
        <v>0</v>
      </c>
      <c r="P43" s="228">
        <f>($J43*Costos!$G$5)</f>
        <v>0</v>
      </c>
      <c r="Q43" s="227">
        <f>($J43*Costos!$J$6)</f>
        <v>0</v>
      </c>
      <c r="R43" s="228">
        <f>($J43*Costos!$G$6)</f>
        <v>0</v>
      </c>
      <c r="S43" s="227">
        <f>($J43*Costos!$J$7)</f>
        <v>0</v>
      </c>
      <c r="T43" s="228">
        <f>($J43*Costos!$G$7)</f>
        <v>0</v>
      </c>
      <c r="U43" s="227">
        <f>($J43*Costos!$J$8)</f>
        <v>0</v>
      </c>
      <c r="V43" s="228">
        <f>($J43*Costos!$G$8)</f>
        <v>0</v>
      </c>
      <c r="W43" s="229">
        <f t="shared" si="6"/>
        <v>0</v>
      </c>
      <c r="X43" s="211">
        <f t="shared" si="7"/>
        <v>0</v>
      </c>
      <c r="Y43" s="197"/>
      <c r="Z43" s="227">
        <f>($K43*Costos!$K$4)</f>
        <v>0</v>
      </c>
      <c r="AA43" s="228">
        <f>($K43*Costos!$H$4)</f>
        <v>0</v>
      </c>
      <c r="AB43" s="227">
        <f>($K43*Costos!$K$5)</f>
        <v>0</v>
      </c>
      <c r="AC43" s="228">
        <f>($K43*Costos!$H$5)</f>
        <v>0</v>
      </c>
      <c r="AD43" s="227">
        <f>($K43*Costos!$K$6)</f>
        <v>0</v>
      </c>
      <c r="AE43" s="228">
        <f>($K43*Costos!$H$6)</f>
        <v>0</v>
      </c>
      <c r="AF43" s="227">
        <f>($K43*Costos!$K$7)</f>
        <v>0</v>
      </c>
      <c r="AG43" s="228">
        <f>($K43*Costos!$H$7)</f>
        <v>0</v>
      </c>
      <c r="AH43" s="227">
        <f>($K43*Costos!$K$8)</f>
        <v>0</v>
      </c>
      <c r="AI43" s="228">
        <f>($K43*Costos!$H$8)</f>
        <v>0</v>
      </c>
      <c r="AJ43" s="229">
        <f t="shared" si="8"/>
        <v>0</v>
      </c>
      <c r="AK43" s="211">
        <f t="shared" si="9"/>
        <v>0</v>
      </c>
      <c r="AL43" s="197"/>
      <c r="AM43" s="230">
        <f>($L43*Costos!$L$4)</f>
        <v>0</v>
      </c>
      <c r="AN43" s="228">
        <f>($L43*Costos!$I$4)</f>
        <v>0</v>
      </c>
      <c r="AO43" s="227">
        <f>($L43*Costos!$L$5)</f>
        <v>0</v>
      </c>
      <c r="AP43" s="228">
        <f>($L43*Costos!$I$5)</f>
        <v>0</v>
      </c>
      <c r="AQ43" s="227">
        <f>($L43*Costos!$L$6)</f>
        <v>0</v>
      </c>
      <c r="AR43" s="228">
        <f>($L43*Costos!$I$6)</f>
        <v>0</v>
      </c>
      <c r="AS43" s="227">
        <f>($L43*Costos!$L$7)</f>
        <v>0</v>
      </c>
      <c r="AT43" s="228">
        <f>($L43*Costos!$I$7)</f>
        <v>0</v>
      </c>
      <c r="AU43" s="227">
        <f>($L43*Costos!$L$8)</f>
        <v>0</v>
      </c>
      <c r="AV43" s="228">
        <f>($L43*Costos!$I$8)</f>
        <v>0</v>
      </c>
      <c r="AW43" s="229">
        <f t="shared" si="10"/>
        <v>0</v>
      </c>
      <c r="AX43" s="211">
        <f t="shared" si="11"/>
        <v>0</v>
      </c>
    </row>
    <row r="44" spans="2:53" x14ac:dyDescent="0.25">
      <c r="B44" s="79"/>
      <c r="C44" s="86"/>
      <c r="D44" s="86"/>
      <c r="E44" s="86"/>
      <c r="F44" s="86"/>
      <c r="G44" s="86"/>
      <c r="H44" s="85"/>
      <c r="I44" s="85"/>
      <c r="J44" s="111"/>
      <c r="K44" s="111"/>
      <c r="L44" s="232"/>
      <c r="M44" s="227">
        <f>($J44*Costos!$J$4)</f>
        <v>0</v>
      </c>
      <c r="N44" s="228">
        <f>($J44*Costos!$G$4)</f>
        <v>0</v>
      </c>
      <c r="O44" s="227">
        <f>($J44*Costos!$J$5)</f>
        <v>0</v>
      </c>
      <c r="P44" s="228">
        <f>($J44*Costos!$G$5)</f>
        <v>0</v>
      </c>
      <c r="Q44" s="227">
        <f>($J44*Costos!$J$6)</f>
        <v>0</v>
      </c>
      <c r="R44" s="228">
        <f>($J44*Costos!$G$6)</f>
        <v>0</v>
      </c>
      <c r="S44" s="227">
        <f>($J44*Costos!$J$7)</f>
        <v>0</v>
      </c>
      <c r="T44" s="228">
        <f>($J44*Costos!$G$7)</f>
        <v>0</v>
      </c>
      <c r="U44" s="227">
        <f>($J44*Costos!$J$8)</f>
        <v>0</v>
      </c>
      <c r="V44" s="228">
        <f>($J44*Costos!$G$8)</f>
        <v>0</v>
      </c>
      <c r="W44" s="229">
        <f t="shared" si="6"/>
        <v>0</v>
      </c>
      <c r="X44" s="211">
        <f t="shared" si="7"/>
        <v>0</v>
      </c>
      <c r="Y44" s="197"/>
      <c r="Z44" s="227">
        <f>($K44*Costos!$K$4)</f>
        <v>0</v>
      </c>
      <c r="AA44" s="228">
        <f>($K44*Costos!$H$4)</f>
        <v>0</v>
      </c>
      <c r="AB44" s="227">
        <f>($K44*Costos!$K$5)</f>
        <v>0</v>
      </c>
      <c r="AC44" s="228">
        <f>($K44*Costos!$H$5)</f>
        <v>0</v>
      </c>
      <c r="AD44" s="227">
        <f>($K44*Costos!$K$6)</f>
        <v>0</v>
      </c>
      <c r="AE44" s="228">
        <f>($K44*Costos!$H$6)</f>
        <v>0</v>
      </c>
      <c r="AF44" s="227">
        <f>($K44*Costos!$K$7)</f>
        <v>0</v>
      </c>
      <c r="AG44" s="228">
        <f>($K44*Costos!$H$7)</f>
        <v>0</v>
      </c>
      <c r="AH44" s="227">
        <f>($K44*Costos!$K$8)</f>
        <v>0</v>
      </c>
      <c r="AI44" s="228">
        <f>($K44*Costos!$H$8)</f>
        <v>0</v>
      </c>
      <c r="AJ44" s="229">
        <f t="shared" si="8"/>
        <v>0</v>
      </c>
      <c r="AK44" s="211">
        <f t="shared" si="9"/>
        <v>0</v>
      </c>
      <c r="AL44" s="197"/>
      <c r="AM44" s="230">
        <f>($L44*Costos!$L$4)</f>
        <v>0</v>
      </c>
      <c r="AN44" s="228">
        <f>($L44*Costos!$I$4)</f>
        <v>0</v>
      </c>
      <c r="AO44" s="227">
        <f>($L44*Costos!$L$5)</f>
        <v>0</v>
      </c>
      <c r="AP44" s="228">
        <f>($L44*Costos!$I$5)</f>
        <v>0</v>
      </c>
      <c r="AQ44" s="227">
        <f>($L44*Costos!$L$6)</f>
        <v>0</v>
      </c>
      <c r="AR44" s="228">
        <f>($L44*Costos!$I$6)</f>
        <v>0</v>
      </c>
      <c r="AS44" s="227">
        <f>($L44*Costos!$L$7)</f>
        <v>0</v>
      </c>
      <c r="AT44" s="228">
        <f>($L44*Costos!$I$7)</f>
        <v>0</v>
      </c>
      <c r="AU44" s="227">
        <f>($L44*Costos!$L$8)</f>
        <v>0</v>
      </c>
      <c r="AV44" s="228">
        <f>($L44*Costos!$I$8)</f>
        <v>0</v>
      </c>
      <c r="AW44" s="229">
        <f t="shared" si="10"/>
        <v>0</v>
      </c>
      <c r="AX44" s="211">
        <f t="shared" si="11"/>
        <v>0</v>
      </c>
    </row>
    <row r="45" spans="2:53" x14ac:dyDescent="0.25">
      <c r="B45" s="79"/>
      <c r="C45" s="86"/>
      <c r="D45" s="86"/>
      <c r="E45" s="86"/>
      <c r="F45" s="86"/>
      <c r="G45" s="86"/>
      <c r="H45" s="85"/>
      <c r="I45" s="85"/>
      <c r="J45" s="111"/>
      <c r="K45" s="111"/>
      <c r="L45" s="232"/>
      <c r="M45" s="227">
        <f>($J45*Costos!$J$4)</f>
        <v>0</v>
      </c>
      <c r="N45" s="228">
        <f>($J45*Costos!$G$4)</f>
        <v>0</v>
      </c>
      <c r="O45" s="227">
        <f>($J45*Costos!$J$5)</f>
        <v>0</v>
      </c>
      <c r="P45" s="228">
        <f>($J45*Costos!$G$5)</f>
        <v>0</v>
      </c>
      <c r="Q45" s="227">
        <f>($J45*Costos!$J$6)</f>
        <v>0</v>
      </c>
      <c r="R45" s="228">
        <f>($J45*Costos!$G$6)</f>
        <v>0</v>
      </c>
      <c r="S45" s="227">
        <f>($J45*Costos!$J$7)</f>
        <v>0</v>
      </c>
      <c r="T45" s="228">
        <f>($J45*Costos!$G$7)</f>
        <v>0</v>
      </c>
      <c r="U45" s="227">
        <f>($J45*Costos!$J$8)</f>
        <v>0</v>
      </c>
      <c r="V45" s="228">
        <f>($J45*Costos!$G$8)</f>
        <v>0</v>
      </c>
      <c r="W45" s="229">
        <f t="shared" si="6"/>
        <v>0</v>
      </c>
      <c r="X45" s="211">
        <f t="shared" si="7"/>
        <v>0</v>
      </c>
      <c r="Y45" s="197"/>
      <c r="Z45" s="227">
        <f>($K45*Costos!$K$4)</f>
        <v>0</v>
      </c>
      <c r="AA45" s="228">
        <f>($K45*Costos!$H$4)</f>
        <v>0</v>
      </c>
      <c r="AB45" s="227">
        <f>($K45*Costos!$K$5)</f>
        <v>0</v>
      </c>
      <c r="AC45" s="228">
        <f>($K45*Costos!$H$5)</f>
        <v>0</v>
      </c>
      <c r="AD45" s="227">
        <f>($K45*Costos!$K$6)</f>
        <v>0</v>
      </c>
      <c r="AE45" s="228">
        <f>($K45*Costos!$H$6)</f>
        <v>0</v>
      </c>
      <c r="AF45" s="227">
        <f>($K45*Costos!$K$7)</f>
        <v>0</v>
      </c>
      <c r="AG45" s="228">
        <f>($K45*Costos!$H$7)</f>
        <v>0</v>
      </c>
      <c r="AH45" s="227">
        <f>($K45*Costos!$K$8)</f>
        <v>0</v>
      </c>
      <c r="AI45" s="228">
        <f>($K45*Costos!$H$8)</f>
        <v>0</v>
      </c>
      <c r="AJ45" s="229">
        <f t="shared" si="8"/>
        <v>0</v>
      </c>
      <c r="AK45" s="211">
        <f t="shared" si="9"/>
        <v>0</v>
      </c>
      <c r="AL45" s="197"/>
      <c r="AM45" s="230">
        <f>($L45*Costos!$L$4)</f>
        <v>0</v>
      </c>
      <c r="AN45" s="228">
        <f>($L45*Costos!$I$4)</f>
        <v>0</v>
      </c>
      <c r="AO45" s="227">
        <f>($L45*Costos!$L$5)</f>
        <v>0</v>
      </c>
      <c r="AP45" s="228">
        <f>($L45*Costos!$I$5)</f>
        <v>0</v>
      </c>
      <c r="AQ45" s="227">
        <f>($L45*Costos!$L$6)</f>
        <v>0</v>
      </c>
      <c r="AR45" s="228">
        <f>($L45*Costos!$I$6)</f>
        <v>0</v>
      </c>
      <c r="AS45" s="227">
        <f>($L45*Costos!$L$7)</f>
        <v>0</v>
      </c>
      <c r="AT45" s="228">
        <f>($L45*Costos!$I$7)</f>
        <v>0</v>
      </c>
      <c r="AU45" s="227">
        <f>($L45*Costos!$L$8)</f>
        <v>0</v>
      </c>
      <c r="AV45" s="228">
        <f>($L45*Costos!$I$8)</f>
        <v>0</v>
      </c>
      <c r="AW45" s="229">
        <f t="shared" si="10"/>
        <v>0</v>
      </c>
      <c r="AX45" s="211">
        <f t="shared" si="11"/>
        <v>0</v>
      </c>
    </row>
    <row r="46" spans="2:53" x14ac:dyDescent="0.25">
      <c r="B46" s="249"/>
      <c r="C46" s="86"/>
      <c r="D46" s="86"/>
      <c r="E46" s="86"/>
      <c r="F46" s="86"/>
      <c r="G46" s="86"/>
      <c r="H46" s="85"/>
      <c r="I46" s="85"/>
      <c r="J46" s="111"/>
      <c r="K46" s="111"/>
      <c r="L46" s="232"/>
      <c r="M46" s="227">
        <f>($J46*Costos!$J$4)</f>
        <v>0</v>
      </c>
      <c r="N46" s="228">
        <f>($J46*Costos!$G$4)</f>
        <v>0</v>
      </c>
      <c r="O46" s="227">
        <f>($J46*Costos!$J$5)</f>
        <v>0</v>
      </c>
      <c r="P46" s="228">
        <f>($J46*Costos!$G$5)</f>
        <v>0</v>
      </c>
      <c r="Q46" s="227">
        <f>($J46*Costos!$J$6)</f>
        <v>0</v>
      </c>
      <c r="R46" s="228">
        <f>($J46*Costos!$G$6)</f>
        <v>0</v>
      </c>
      <c r="S46" s="227">
        <f>($J46*Costos!$J$7)</f>
        <v>0</v>
      </c>
      <c r="T46" s="228">
        <f>($J46*Costos!$G$7)</f>
        <v>0</v>
      </c>
      <c r="U46" s="227">
        <f>($J46*Costos!$J$8)</f>
        <v>0</v>
      </c>
      <c r="V46" s="228">
        <f>($J46*Costos!$G$8)</f>
        <v>0</v>
      </c>
      <c r="W46" s="229">
        <f t="shared" si="6"/>
        <v>0</v>
      </c>
      <c r="X46" s="211">
        <f t="shared" si="7"/>
        <v>0</v>
      </c>
      <c r="Y46" s="197"/>
      <c r="Z46" s="227">
        <f>($K46*Costos!$K$4)</f>
        <v>0</v>
      </c>
      <c r="AA46" s="228">
        <f>($K46*Costos!$H$4)</f>
        <v>0</v>
      </c>
      <c r="AB46" s="227">
        <f>($K46*Costos!$K$5)</f>
        <v>0</v>
      </c>
      <c r="AC46" s="228">
        <f>($K46*Costos!$H$5)</f>
        <v>0</v>
      </c>
      <c r="AD46" s="227">
        <f>($K46*Costos!$K$6)</f>
        <v>0</v>
      </c>
      <c r="AE46" s="228">
        <f>($K46*Costos!$H$6)</f>
        <v>0</v>
      </c>
      <c r="AF46" s="227">
        <f>($K46*Costos!$K$7)</f>
        <v>0</v>
      </c>
      <c r="AG46" s="228">
        <f>($K46*Costos!$H$7)</f>
        <v>0</v>
      </c>
      <c r="AH46" s="227">
        <f>($K46*Costos!$K$8)</f>
        <v>0</v>
      </c>
      <c r="AI46" s="228">
        <f>($K46*Costos!$H$8)</f>
        <v>0</v>
      </c>
      <c r="AJ46" s="229">
        <f t="shared" si="8"/>
        <v>0</v>
      </c>
      <c r="AK46" s="211">
        <f t="shared" si="9"/>
        <v>0</v>
      </c>
      <c r="AL46" s="197"/>
      <c r="AM46" s="230">
        <f>($L46*Costos!$L$4)</f>
        <v>0</v>
      </c>
      <c r="AN46" s="228">
        <f>($L46*Costos!$I$4)</f>
        <v>0</v>
      </c>
      <c r="AO46" s="227">
        <f>($L46*Costos!$L$5)</f>
        <v>0</v>
      </c>
      <c r="AP46" s="228">
        <f>($L46*Costos!$I$5)</f>
        <v>0</v>
      </c>
      <c r="AQ46" s="227">
        <f>($L46*Costos!$L$6)</f>
        <v>0</v>
      </c>
      <c r="AR46" s="228">
        <f>($L46*Costos!$I$6)</f>
        <v>0</v>
      </c>
      <c r="AS46" s="227">
        <f>($L46*Costos!$L$7)</f>
        <v>0</v>
      </c>
      <c r="AT46" s="228">
        <f>($L46*Costos!$I$7)</f>
        <v>0</v>
      </c>
      <c r="AU46" s="227">
        <f>($L46*Costos!$L$8)</f>
        <v>0</v>
      </c>
      <c r="AV46" s="228">
        <f>($L46*Costos!$I$8)</f>
        <v>0</v>
      </c>
      <c r="AW46" s="229">
        <f t="shared" si="10"/>
        <v>0</v>
      </c>
      <c r="AX46" s="211">
        <f t="shared" si="11"/>
        <v>0</v>
      </c>
    </row>
    <row r="47" spans="2:53" x14ac:dyDescent="0.25">
      <c r="B47" s="79"/>
      <c r="C47" s="86"/>
      <c r="D47" s="86"/>
      <c r="E47" s="86"/>
      <c r="F47" s="86"/>
      <c r="G47" s="86"/>
      <c r="H47" s="85"/>
      <c r="I47" s="85"/>
      <c r="J47" s="111"/>
      <c r="K47" s="111"/>
      <c r="L47" s="232"/>
      <c r="M47" s="227">
        <f>($J47*Costos!$J$4)</f>
        <v>0</v>
      </c>
      <c r="N47" s="228">
        <f>($J47*Costos!$G$4)</f>
        <v>0</v>
      </c>
      <c r="O47" s="227">
        <f>($J47*Costos!$J$5)</f>
        <v>0</v>
      </c>
      <c r="P47" s="228">
        <f>($J47*Costos!$G$5)</f>
        <v>0</v>
      </c>
      <c r="Q47" s="227">
        <f>($J47*Costos!$J$6)</f>
        <v>0</v>
      </c>
      <c r="R47" s="228">
        <f>($J47*Costos!$G$6)</f>
        <v>0</v>
      </c>
      <c r="S47" s="227">
        <f>($J47*Costos!$J$7)</f>
        <v>0</v>
      </c>
      <c r="T47" s="228">
        <f>($J47*Costos!$G$7)</f>
        <v>0</v>
      </c>
      <c r="U47" s="227">
        <f>($J47*Costos!$J$8)</f>
        <v>0</v>
      </c>
      <c r="V47" s="228">
        <f>($J47*Costos!$G$8)</f>
        <v>0</v>
      </c>
      <c r="W47" s="229">
        <f t="shared" si="6"/>
        <v>0</v>
      </c>
      <c r="X47" s="211">
        <f t="shared" si="7"/>
        <v>0</v>
      </c>
      <c r="Y47" s="197"/>
      <c r="Z47" s="227">
        <f>($K47*Costos!$K$4)</f>
        <v>0</v>
      </c>
      <c r="AA47" s="228">
        <f>($K47*Costos!$H$4)</f>
        <v>0</v>
      </c>
      <c r="AB47" s="227">
        <f>($K47*Costos!$K$5)</f>
        <v>0</v>
      </c>
      <c r="AC47" s="228">
        <f>($K47*Costos!$H$5)</f>
        <v>0</v>
      </c>
      <c r="AD47" s="227">
        <f>($K47*Costos!$K$6)</f>
        <v>0</v>
      </c>
      <c r="AE47" s="228">
        <f>($K47*Costos!$H$6)</f>
        <v>0</v>
      </c>
      <c r="AF47" s="227">
        <f>($K47*Costos!$K$7)</f>
        <v>0</v>
      </c>
      <c r="AG47" s="228">
        <f>($K47*Costos!$H$7)</f>
        <v>0</v>
      </c>
      <c r="AH47" s="227">
        <f>($K47*Costos!$K$8)</f>
        <v>0</v>
      </c>
      <c r="AI47" s="228">
        <f>($K47*Costos!$H$8)</f>
        <v>0</v>
      </c>
      <c r="AJ47" s="229">
        <f t="shared" si="8"/>
        <v>0</v>
      </c>
      <c r="AK47" s="211">
        <f t="shared" si="9"/>
        <v>0</v>
      </c>
      <c r="AL47" s="197"/>
      <c r="AM47" s="230">
        <f>($L47*Costos!$L$4)</f>
        <v>0</v>
      </c>
      <c r="AN47" s="228">
        <f>($L47*Costos!$I$4)</f>
        <v>0</v>
      </c>
      <c r="AO47" s="227">
        <f>($L47*Costos!$L$5)</f>
        <v>0</v>
      </c>
      <c r="AP47" s="228">
        <f>($L47*Costos!$I$5)</f>
        <v>0</v>
      </c>
      <c r="AQ47" s="227">
        <f>($L47*Costos!$L$6)</f>
        <v>0</v>
      </c>
      <c r="AR47" s="228">
        <f>($L47*Costos!$I$6)</f>
        <v>0</v>
      </c>
      <c r="AS47" s="227">
        <f>($L47*Costos!$L$7)</f>
        <v>0</v>
      </c>
      <c r="AT47" s="228">
        <f>($L47*Costos!$I$7)</f>
        <v>0</v>
      </c>
      <c r="AU47" s="227">
        <f>($L47*Costos!$L$8)</f>
        <v>0</v>
      </c>
      <c r="AV47" s="228">
        <f>($L47*Costos!$I$8)</f>
        <v>0</v>
      </c>
      <c r="AW47" s="229">
        <f t="shared" si="10"/>
        <v>0</v>
      </c>
      <c r="AX47" s="211">
        <f t="shared" si="11"/>
        <v>0</v>
      </c>
    </row>
    <row r="48" spans="2:53" x14ac:dyDescent="0.25">
      <c r="B48" s="79"/>
      <c r="C48" s="86"/>
      <c r="D48" s="86"/>
      <c r="E48" s="86"/>
      <c r="F48" s="86"/>
      <c r="G48" s="86"/>
      <c r="H48" s="85"/>
      <c r="I48" s="85"/>
      <c r="J48" s="111"/>
      <c r="K48" s="111"/>
      <c r="L48" s="232"/>
      <c r="M48" s="227">
        <f>($J48*Costos!$J$4)</f>
        <v>0</v>
      </c>
      <c r="N48" s="228">
        <f>($J48*Costos!$G$4)</f>
        <v>0</v>
      </c>
      <c r="O48" s="227">
        <f>($J48*Costos!$J$5)</f>
        <v>0</v>
      </c>
      <c r="P48" s="228">
        <f>($J48*Costos!$G$5)</f>
        <v>0</v>
      </c>
      <c r="Q48" s="227">
        <f>($J48*Costos!$J$6)</f>
        <v>0</v>
      </c>
      <c r="R48" s="228">
        <f>($J48*Costos!$G$6)</f>
        <v>0</v>
      </c>
      <c r="S48" s="227">
        <f>($J48*Costos!$J$7)</f>
        <v>0</v>
      </c>
      <c r="T48" s="228">
        <f>($J48*Costos!$G$7)</f>
        <v>0</v>
      </c>
      <c r="U48" s="227">
        <f>($J48*Costos!$J$8)</f>
        <v>0</v>
      </c>
      <c r="V48" s="228">
        <f>($J48*Costos!$G$8)</f>
        <v>0</v>
      </c>
      <c r="W48" s="229">
        <f t="shared" si="6"/>
        <v>0</v>
      </c>
      <c r="X48" s="211">
        <f t="shared" si="7"/>
        <v>0</v>
      </c>
      <c r="Y48" s="197"/>
      <c r="Z48" s="227">
        <f>($K48*Costos!$K$4)</f>
        <v>0</v>
      </c>
      <c r="AA48" s="228">
        <f>($K48*Costos!$H$4)</f>
        <v>0</v>
      </c>
      <c r="AB48" s="227">
        <f>($K48*Costos!$K$5)</f>
        <v>0</v>
      </c>
      <c r="AC48" s="228">
        <f>($K48*Costos!$H$5)</f>
        <v>0</v>
      </c>
      <c r="AD48" s="227">
        <f>($K48*Costos!$K$6)</f>
        <v>0</v>
      </c>
      <c r="AE48" s="228">
        <f>($K48*Costos!$H$6)</f>
        <v>0</v>
      </c>
      <c r="AF48" s="227">
        <f>($K48*Costos!$K$7)</f>
        <v>0</v>
      </c>
      <c r="AG48" s="228">
        <f>($K48*Costos!$H$7)</f>
        <v>0</v>
      </c>
      <c r="AH48" s="227">
        <f>($K48*Costos!$K$8)</f>
        <v>0</v>
      </c>
      <c r="AI48" s="228">
        <f>($K48*Costos!$H$8)</f>
        <v>0</v>
      </c>
      <c r="AJ48" s="229">
        <f t="shared" si="8"/>
        <v>0</v>
      </c>
      <c r="AK48" s="211">
        <f t="shared" si="9"/>
        <v>0</v>
      </c>
      <c r="AL48" s="197"/>
      <c r="AM48" s="230">
        <f>($L48*Costos!$L$4)</f>
        <v>0</v>
      </c>
      <c r="AN48" s="228">
        <f>($L48*Costos!$I$4)</f>
        <v>0</v>
      </c>
      <c r="AO48" s="227">
        <f>($L48*Costos!$L$5)</f>
        <v>0</v>
      </c>
      <c r="AP48" s="228">
        <f>($L48*Costos!$I$5)</f>
        <v>0</v>
      </c>
      <c r="AQ48" s="227">
        <f>($L48*Costos!$L$6)</f>
        <v>0</v>
      </c>
      <c r="AR48" s="228">
        <f>($L48*Costos!$I$6)</f>
        <v>0</v>
      </c>
      <c r="AS48" s="227">
        <f>($L48*Costos!$L$7)</f>
        <v>0</v>
      </c>
      <c r="AT48" s="228">
        <f>($L48*Costos!$I$7)</f>
        <v>0</v>
      </c>
      <c r="AU48" s="227">
        <f>($L48*Costos!$L$8)</f>
        <v>0</v>
      </c>
      <c r="AV48" s="228">
        <f>($L48*Costos!$I$8)</f>
        <v>0</v>
      </c>
      <c r="AW48" s="229">
        <f t="shared" si="10"/>
        <v>0</v>
      </c>
      <c r="AX48" s="211">
        <f t="shared" si="11"/>
        <v>0</v>
      </c>
    </row>
    <row r="49" spans="2:50" x14ac:dyDescent="0.25">
      <c r="B49" s="79"/>
      <c r="C49" s="86"/>
      <c r="D49" s="86"/>
      <c r="E49" s="86"/>
      <c r="F49" s="86"/>
      <c r="G49" s="86"/>
      <c r="H49" s="85"/>
      <c r="I49" s="85"/>
      <c r="J49" s="111"/>
      <c r="K49" s="111"/>
      <c r="L49" s="232"/>
      <c r="M49" s="227">
        <f>($J49*Costos!$J$4)</f>
        <v>0</v>
      </c>
      <c r="N49" s="228">
        <f>($J49*Costos!$G$4)</f>
        <v>0</v>
      </c>
      <c r="O49" s="227">
        <f>($J49*Costos!$J$5)</f>
        <v>0</v>
      </c>
      <c r="P49" s="228">
        <f>($J49*Costos!$G$5)</f>
        <v>0</v>
      </c>
      <c r="Q49" s="227">
        <f>($J49*Costos!$J$6)</f>
        <v>0</v>
      </c>
      <c r="R49" s="228">
        <f>($J49*Costos!$G$6)</f>
        <v>0</v>
      </c>
      <c r="S49" s="227">
        <f>($J49*Costos!$J$7)</f>
        <v>0</v>
      </c>
      <c r="T49" s="228">
        <f>($J49*Costos!$G$7)</f>
        <v>0</v>
      </c>
      <c r="U49" s="227">
        <f>($J49*Costos!$J$8)</f>
        <v>0</v>
      </c>
      <c r="V49" s="228">
        <f>($J49*Costos!$G$8)</f>
        <v>0</v>
      </c>
      <c r="W49" s="229">
        <f t="shared" si="6"/>
        <v>0</v>
      </c>
      <c r="X49" s="211">
        <f t="shared" si="7"/>
        <v>0</v>
      </c>
      <c r="Y49" s="197"/>
      <c r="Z49" s="227">
        <f>($K49*Costos!$K$4)</f>
        <v>0</v>
      </c>
      <c r="AA49" s="228">
        <f>($K49*Costos!$H$4)</f>
        <v>0</v>
      </c>
      <c r="AB49" s="227">
        <f>($K49*Costos!$K$5)</f>
        <v>0</v>
      </c>
      <c r="AC49" s="228">
        <f>($K49*Costos!$H$5)</f>
        <v>0</v>
      </c>
      <c r="AD49" s="227">
        <f>($K49*Costos!$K$6)</f>
        <v>0</v>
      </c>
      <c r="AE49" s="228">
        <f>($K49*Costos!$H$6)</f>
        <v>0</v>
      </c>
      <c r="AF49" s="227">
        <f>($K49*Costos!$K$7)</f>
        <v>0</v>
      </c>
      <c r="AG49" s="228">
        <f>($K49*Costos!$H$7)</f>
        <v>0</v>
      </c>
      <c r="AH49" s="227">
        <f>($K49*Costos!$K$8)</f>
        <v>0</v>
      </c>
      <c r="AI49" s="228">
        <f>($K49*Costos!$H$8)</f>
        <v>0</v>
      </c>
      <c r="AJ49" s="229">
        <f t="shared" si="8"/>
        <v>0</v>
      </c>
      <c r="AK49" s="211">
        <f t="shared" si="9"/>
        <v>0</v>
      </c>
      <c r="AL49" s="197"/>
      <c r="AM49" s="230">
        <f>($L49*Costos!$L$4)</f>
        <v>0</v>
      </c>
      <c r="AN49" s="228">
        <f>($L49*Costos!$I$4)</f>
        <v>0</v>
      </c>
      <c r="AO49" s="227">
        <f>($L49*Costos!$L$5)</f>
        <v>0</v>
      </c>
      <c r="AP49" s="228">
        <f>($L49*Costos!$I$5)</f>
        <v>0</v>
      </c>
      <c r="AQ49" s="227">
        <f>($L49*Costos!$L$6)</f>
        <v>0</v>
      </c>
      <c r="AR49" s="228">
        <f>($L49*Costos!$I$6)</f>
        <v>0</v>
      </c>
      <c r="AS49" s="227">
        <f>($L49*Costos!$L$7)</f>
        <v>0</v>
      </c>
      <c r="AT49" s="228">
        <f>($L49*Costos!$I$7)</f>
        <v>0</v>
      </c>
      <c r="AU49" s="227">
        <f>($L49*Costos!$L$8)</f>
        <v>0</v>
      </c>
      <c r="AV49" s="228">
        <f>($L49*Costos!$I$8)</f>
        <v>0</v>
      </c>
      <c r="AW49" s="229">
        <f t="shared" si="10"/>
        <v>0</v>
      </c>
      <c r="AX49" s="211">
        <f t="shared" si="11"/>
        <v>0</v>
      </c>
    </row>
    <row r="50" spans="2:50" x14ac:dyDescent="0.25">
      <c r="B50" s="79"/>
      <c r="C50" s="86"/>
      <c r="D50" s="86"/>
      <c r="E50" s="86"/>
      <c r="F50" s="86"/>
      <c r="G50" s="86"/>
      <c r="H50" s="85"/>
      <c r="I50" s="85"/>
      <c r="J50" s="111"/>
      <c r="K50" s="111"/>
      <c r="L50" s="232"/>
      <c r="M50" s="227">
        <f>($J50*Costos!$J$4)</f>
        <v>0</v>
      </c>
      <c r="N50" s="228">
        <f>($J50*Costos!$G$4)</f>
        <v>0</v>
      </c>
      <c r="O50" s="227">
        <f>($J50*Costos!$J$5)</f>
        <v>0</v>
      </c>
      <c r="P50" s="228">
        <f>($J50*Costos!$G$5)</f>
        <v>0</v>
      </c>
      <c r="Q50" s="227">
        <f>($J50*Costos!$J$6)</f>
        <v>0</v>
      </c>
      <c r="R50" s="228">
        <f>($J50*Costos!$G$6)</f>
        <v>0</v>
      </c>
      <c r="S50" s="227">
        <f>($J50*Costos!$J$7)</f>
        <v>0</v>
      </c>
      <c r="T50" s="228">
        <f>($J50*Costos!$G$7)</f>
        <v>0</v>
      </c>
      <c r="U50" s="227">
        <f>($J50*Costos!$J$8)</f>
        <v>0</v>
      </c>
      <c r="V50" s="228">
        <f>($J50*Costos!$G$8)</f>
        <v>0</v>
      </c>
      <c r="W50" s="229">
        <f t="shared" si="6"/>
        <v>0</v>
      </c>
      <c r="X50" s="211">
        <f t="shared" si="7"/>
        <v>0</v>
      </c>
      <c r="Y50" s="197"/>
      <c r="Z50" s="227">
        <f>($K50*Costos!$K$4)</f>
        <v>0</v>
      </c>
      <c r="AA50" s="228">
        <f>($K50*Costos!$H$4)</f>
        <v>0</v>
      </c>
      <c r="AB50" s="227">
        <f>($K50*Costos!$K$5)</f>
        <v>0</v>
      </c>
      <c r="AC50" s="228">
        <f>($K50*Costos!$H$5)</f>
        <v>0</v>
      </c>
      <c r="AD50" s="227">
        <f>($K50*Costos!$K$6)</f>
        <v>0</v>
      </c>
      <c r="AE50" s="228">
        <f>($K50*Costos!$H$6)</f>
        <v>0</v>
      </c>
      <c r="AF50" s="227">
        <f>($K50*Costos!$K$7)</f>
        <v>0</v>
      </c>
      <c r="AG50" s="228">
        <f>($K50*Costos!$H$7)</f>
        <v>0</v>
      </c>
      <c r="AH50" s="227">
        <f>($K50*Costos!$K$8)</f>
        <v>0</v>
      </c>
      <c r="AI50" s="228">
        <f>($K50*Costos!$H$8)</f>
        <v>0</v>
      </c>
      <c r="AJ50" s="229">
        <f t="shared" si="8"/>
        <v>0</v>
      </c>
      <c r="AK50" s="211">
        <f t="shared" si="9"/>
        <v>0</v>
      </c>
      <c r="AL50" s="197"/>
      <c r="AM50" s="230">
        <f>($L50*Costos!$L$4)</f>
        <v>0</v>
      </c>
      <c r="AN50" s="228">
        <f>($L50*Costos!$I$4)</f>
        <v>0</v>
      </c>
      <c r="AO50" s="227">
        <f>($L50*Costos!$L$5)</f>
        <v>0</v>
      </c>
      <c r="AP50" s="228">
        <f>($L50*Costos!$I$5)</f>
        <v>0</v>
      </c>
      <c r="AQ50" s="227">
        <f>($L50*Costos!$L$6)</f>
        <v>0</v>
      </c>
      <c r="AR50" s="228">
        <f>($L50*Costos!$I$6)</f>
        <v>0</v>
      </c>
      <c r="AS50" s="227">
        <f>($L50*Costos!$L$7)</f>
        <v>0</v>
      </c>
      <c r="AT50" s="228">
        <f>($L50*Costos!$I$7)</f>
        <v>0</v>
      </c>
      <c r="AU50" s="227">
        <f>($L50*Costos!$L$8)</f>
        <v>0</v>
      </c>
      <c r="AV50" s="228">
        <f>($L50*Costos!$I$8)</f>
        <v>0</v>
      </c>
      <c r="AW50" s="229">
        <f t="shared" si="10"/>
        <v>0</v>
      </c>
      <c r="AX50" s="211">
        <f t="shared" si="11"/>
        <v>0</v>
      </c>
    </row>
    <row r="51" spans="2:50" x14ac:dyDescent="0.25">
      <c r="B51" s="79"/>
      <c r="C51" s="86"/>
      <c r="D51" s="86"/>
      <c r="E51" s="86"/>
      <c r="F51" s="86"/>
      <c r="G51" s="86"/>
      <c r="H51" s="85"/>
      <c r="I51" s="85"/>
      <c r="J51" s="111"/>
      <c r="K51" s="111"/>
      <c r="L51" s="232"/>
      <c r="M51" s="227">
        <f>($J51*Costos!$J$4)</f>
        <v>0</v>
      </c>
      <c r="N51" s="228">
        <f>($J51*Costos!$G$4)</f>
        <v>0</v>
      </c>
      <c r="O51" s="227">
        <f>($J51*Costos!$J$5)</f>
        <v>0</v>
      </c>
      <c r="P51" s="228">
        <f>($J51*Costos!$G$5)</f>
        <v>0</v>
      </c>
      <c r="Q51" s="227">
        <f>($J51*Costos!$J$6)</f>
        <v>0</v>
      </c>
      <c r="R51" s="228">
        <f>($J51*Costos!$G$6)</f>
        <v>0</v>
      </c>
      <c r="S51" s="227">
        <f>($J51*Costos!$J$7)</f>
        <v>0</v>
      </c>
      <c r="T51" s="228">
        <f>($J51*Costos!$G$7)</f>
        <v>0</v>
      </c>
      <c r="U51" s="227">
        <f>($J51*Costos!$J$8)</f>
        <v>0</v>
      </c>
      <c r="V51" s="228">
        <f>($J51*Costos!$G$8)</f>
        <v>0</v>
      </c>
      <c r="W51" s="229">
        <f t="shared" si="6"/>
        <v>0</v>
      </c>
      <c r="X51" s="211">
        <f t="shared" si="7"/>
        <v>0</v>
      </c>
      <c r="Y51" s="197"/>
      <c r="Z51" s="227">
        <f>($K51*Costos!$K$4)</f>
        <v>0</v>
      </c>
      <c r="AA51" s="228">
        <f>($K51*Costos!$H$4)</f>
        <v>0</v>
      </c>
      <c r="AB51" s="227">
        <f>($K51*Costos!$K$5)</f>
        <v>0</v>
      </c>
      <c r="AC51" s="228">
        <f>($K51*Costos!$H$5)</f>
        <v>0</v>
      </c>
      <c r="AD51" s="227">
        <f>($K51*Costos!$K$6)</f>
        <v>0</v>
      </c>
      <c r="AE51" s="228">
        <f>($K51*Costos!$H$6)</f>
        <v>0</v>
      </c>
      <c r="AF51" s="227">
        <f>($K51*Costos!$K$7)</f>
        <v>0</v>
      </c>
      <c r="AG51" s="228">
        <f>($K51*Costos!$H$7)</f>
        <v>0</v>
      </c>
      <c r="AH51" s="227">
        <f>($K51*Costos!$K$8)</f>
        <v>0</v>
      </c>
      <c r="AI51" s="228">
        <f>($K51*Costos!$H$8)</f>
        <v>0</v>
      </c>
      <c r="AJ51" s="229">
        <f t="shared" si="8"/>
        <v>0</v>
      </c>
      <c r="AK51" s="211">
        <f t="shared" si="9"/>
        <v>0</v>
      </c>
      <c r="AL51" s="197"/>
      <c r="AM51" s="230">
        <f>($L51*Costos!$L$4)</f>
        <v>0</v>
      </c>
      <c r="AN51" s="228">
        <f>($L51*Costos!$I$4)</f>
        <v>0</v>
      </c>
      <c r="AO51" s="227">
        <f>($L51*Costos!$L$5)</f>
        <v>0</v>
      </c>
      <c r="AP51" s="228">
        <f>($L51*Costos!$I$5)</f>
        <v>0</v>
      </c>
      <c r="AQ51" s="227">
        <f>($L51*Costos!$L$6)</f>
        <v>0</v>
      </c>
      <c r="AR51" s="228">
        <f>($L51*Costos!$I$6)</f>
        <v>0</v>
      </c>
      <c r="AS51" s="227">
        <f>($L51*Costos!$L$7)</f>
        <v>0</v>
      </c>
      <c r="AT51" s="228">
        <f>($L51*Costos!$I$7)</f>
        <v>0</v>
      </c>
      <c r="AU51" s="227">
        <f>($L51*Costos!$L$8)</f>
        <v>0</v>
      </c>
      <c r="AV51" s="228">
        <f>($L51*Costos!$I$8)</f>
        <v>0</v>
      </c>
      <c r="AW51" s="229">
        <f t="shared" si="10"/>
        <v>0</v>
      </c>
      <c r="AX51" s="211">
        <f t="shared" si="11"/>
        <v>0</v>
      </c>
    </row>
    <row r="52" spans="2:50" x14ac:dyDescent="0.25">
      <c r="B52" s="79"/>
      <c r="C52" s="86"/>
      <c r="D52" s="86"/>
      <c r="E52" s="86"/>
      <c r="F52" s="86"/>
      <c r="G52" s="86"/>
      <c r="H52" s="85"/>
      <c r="I52" s="85"/>
      <c r="J52" s="111"/>
      <c r="K52" s="111"/>
      <c r="L52" s="232"/>
      <c r="M52" s="227">
        <f>($J52*Costos!$J$4)</f>
        <v>0</v>
      </c>
      <c r="N52" s="228">
        <f>($J52*Costos!$G$4)</f>
        <v>0</v>
      </c>
      <c r="O52" s="227">
        <f>($J52*Costos!$J$5)</f>
        <v>0</v>
      </c>
      <c r="P52" s="228">
        <f>($J52*Costos!$G$5)</f>
        <v>0</v>
      </c>
      <c r="Q52" s="227">
        <f>($J52*Costos!$J$6)</f>
        <v>0</v>
      </c>
      <c r="R52" s="228">
        <f>($J52*Costos!$G$6)</f>
        <v>0</v>
      </c>
      <c r="S52" s="227">
        <f>($J52*Costos!$J$7)</f>
        <v>0</v>
      </c>
      <c r="T52" s="228">
        <f>($J52*Costos!$G$7)</f>
        <v>0</v>
      </c>
      <c r="U52" s="227">
        <f>($J52*Costos!$J$8)</f>
        <v>0</v>
      </c>
      <c r="V52" s="228">
        <f>($J52*Costos!$G$8)</f>
        <v>0</v>
      </c>
      <c r="W52" s="229">
        <f t="shared" si="6"/>
        <v>0</v>
      </c>
      <c r="X52" s="211">
        <f t="shared" si="7"/>
        <v>0</v>
      </c>
      <c r="Y52" s="197"/>
      <c r="Z52" s="227">
        <f>($K52*Costos!$K$4)</f>
        <v>0</v>
      </c>
      <c r="AA52" s="228">
        <f>($K52*Costos!$H$4)</f>
        <v>0</v>
      </c>
      <c r="AB52" s="227">
        <f>($K52*Costos!$K$5)</f>
        <v>0</v>
      </c>
      <c r="AC52" s="228">
        <f>($K52*Costos!$H$5)</f>
        <v>0</v>
      </c>
      <c r="AD52" s="227">
        <f>($K52*Costos!$K$6)</f>
        <v>0</v>
      </c>
      <c r="AE52" s="228">
        <f>($K52*Costos!$H$6)</f>
        <v>0</v>
      </c>
      <c r="AF52" s="227">
        <f>($K52*Costos!$K$7)</f>
        <v>0</v>
      </c>
      <c r="AG52" s="228">
        <f>($K52*Costos!$H$7)</f>
        <v>0</v>
      </c>
      <c r="AH52" s="227">
        <f>($K52*Costos!$K$8)</f>
        <v>0</v>
      </c>
      <c r="AI52" s="228">
        <f>($K52*Costos!$H$8)</f>
        <v>0</v>
      </c>
      <c r="AJ52" s="229">
        <f t="shared" si="8"/>
        <v>0</v>
      </c>
      <c r="AK52" s="211">
        <f t="shared" si="9"/>
        <v>0</v>
      </c>
      <c r="AL52" s="197"/>
      <c r="AM52" s="230">
        <f>($L52*Costos!$L$4)</f>
        <v>0</v>
      </c>
      <c r="AN52" s="228">
        <f>($L52*Costos!$I$4)</f>
        <v>0</v>
      </c>
      <c r="AO52" s="227">
        <f>($L52*Costos!$L$5)</f>
        <v>0</v>
      </c>
      <c r="AP52" s="228">
        <f>($L52*Costos!$I$5)</f>
        <v>0</v>
      </c>
      <c r="AQ52" s="227">
        <f>($L52*Costos!$L$6)</f>
        <v>0</v>
      </c>
      <c r="AR52" s="228">
        <f>($L52*Costos!$I$6)</f>
        <v>0</v>
      </c>
      <c r="AS52" s="227">
        <f>($L52*Costos!$L$7)</f>
        <v>0</v>
      </c>
      <c r="AT52" s="228">
        <f>($L52*Costos!$I$7)</f>
        <v>0</v>
      </c>
      <c r="AU52" s="227">
        <f>($L52*Costos!$L$8)</f>
        <v>0</v>
      </c>
      <c r="AV52" s="228">
        <f>($L52*Costos!$I$8)</f>
        <v>0</v>
      </c>
      <c r="AW52" s="229">
        <f t="shared" si="10"/>
        <v>0</v>
      </c>
      <c r="AX52" s="211">
        <f t="shared" si="11"/>
        <v>0</v>
      </c>
    </row>
    <row r="53" spans="2:50" x14ac:dyDescent="0.25">
      <c r="B53" s="79"/>
      <c r="C53" s="86"/>
      <c r="D53" s="86"/>
      <c r="E53" s="86"/>
      <c r="F53" s="86"/>
      <c r="G53" s="86"/>
      <c r="H53" s="85"/>
      <c r="I53" s="85"/>
      <c r="J53" s="111"/>
      <c r="K53" s="111"/>
      <c r="L53" s="232"/>
      <c r="M53" s="227">
        <f>($J53*Costos!$J$4)</f>
        <v>0</v>
      </c>
      <c r="N53" s="228">
        <f>($J53*Costos!$G$4)</f>
        <v>0</v>
      </c>
      <c r="O53" s="227">
        <f>($J53*Costos!$J$5)</f>
        <v>0</v>
      </c>
      <c r="P53" s="228">
        <f>($J53*Costos!$G$5)</f>
        <v>0</v>
      </c>
      <c r="Q53" s="227">
        <f>($J53*Costos!$J$6)</f>
        <v>0</v>
      </c>
      <c r="R53" s="228">
        <f>($J53*Costos!$G$6)</f>
        <v>0</v>
      </c>
      <c r="S53" s="227">
        <f>($J53*Costos!$J$7)</f>
        <v>0</v>
      </c>
      <c r="T53" s="228">
        <f>($J53*Costos!$G$7)</f>
        <v>0</v>
      </c>
      <c r="U53" s="227">
        <f>($J53*Costos!$J$8)</f>
        <v>0</v>
      </c>
      <c r="V53" s="228">
        <f>($J53*Costos!$G$8)</f>
        <v>0</v>
      </c>
      <c r="W53" s="229">
        <f t="shared" si="6"/>
        <v>0</v>
      </c>
      <c r="X53" s="211">
        <f t="shared" si="7"/>
        <v>0</v>
      </c>
      <c r="Y53" s="197"/>
      <c r="Z53" s="227">
        <f>($K53*Costos!$K$4)</f>
        <v>0</v>
      </c>
      <c r="AA53" s="228">
        <f>($K53*Costos!$H$4)</f>
        <v>0</v>
      </c>
      <c r="AB53" s="227">
        <f>($K53*Costos!$K$5)</f>
        <v>0</v>
      </c>
      <c r="AC53" s="228">
        <f>($K53*Costos!$H$5)</f>
        <v>0</v>
      </c>
      <c r="AD53" s="227">
        <f>($K53*Costos!$K$6)</f>
        <v>0</v>
      </c>
      <c r="AE53" s="228">
        <f>($K53*Costos!$H$6)</f>
        <v>0</v>
      </c>
      <c r="AF53" s="227">
        <f>($K53*Costos!$K$7)</f>
        <v>0</v>
      </c>
      <c r="AG53" s="228">
        <f>($K53*Costos!$H$7)</f>
        <v>0</v>
      </c>
      <c r="AH53" s="227">
        <f>($K53*Costos!$K$8)</f>
        <v>0</v>
      </c>
      <c r="AI53" s="228">
        <f>($K53*Costos!$H$8)</f>
        <v>0</v>
      </c>
      <c r="AJ53" s="229">
        <f t="shared" si="8"/>
        <v>0</v>
      </c>
      <c r="AK53" s="211">
        <f t="shared" si="9"/>
        <v>0</v>
      </c>
      <c r="AL53" s="197"/>
      <c r="AM53" s="230">
        <f>($L53*Costos!$L$4)</f>
        <v>0</v>
      </c>
      <c r="AN53" s="228">
        <f>($L53*Costos!$I$4)</f>
        <v>0</v>
      </c>
      <c r="AO53" s="227">
        <f>($L53*Costos!$L$5)</f>
        <v>0</v>
      </c>
      <c r="AP53" s="228">
        <f>($L53*Costos!$I$5)</f>
        <v>0</v>
      </c>
      <c r="AQ53" s="227">
        <f>($L53*Costos!$L$6)</f>
        <v>0</v>
      </c>
      <c r="AR53" s="228">
        <f>($L53*Costos!$I$6)</f>
        <v>0</v>
      </c>
      <c r="AS53" s="227">
        <f>($L53*Costos!$L$7)</f>
        <v>0</v>
      </c>
      <c r="AT53" s="228">
        <f>($L53*Costos!$I$7)</f>
        <v>0</v>
      </c>
      <c r="AU53" s="227">
        <f>($L53*Costos!$L$8)</f>
        <v>0</v>
      </c>
      <c r="AV53" s="228">
        <f>($L53*Costos!$I$8)</f>
        <v>0</v>
      </c>
      <c r="AW53" s="229">
        <f t="shared" si="10"/>
        <v>0</v>
      </c>
      <c r="AX53" s="211">
        <f t="shared" si="11"/>
        <v>0</v>
      </c>
    </row>
    <row r="54" spans="2:50" x14ac:dyDescent="0.25">
      <c r="B54" s="79"/>
      <c r="C54" s="86"/>
      <c r="D54" s="86"/>
      <c r="E54" s="86"/>
      <c r="F54" s="86"/>
      <c r="G54" s="86"/>
      <c r="H54" s="85"/>
      <c r="I54" s="85"/>
      <c r="J54" s="111"/>
      <c r="K54" s="111"/>
      <c r="L54" s="232"/>
      <c r="M54" s="227">
        <f>($J54*Costos!$J$4)</f>
        <v>0</v>
      </c>
      <c r="N54" s="228">
        <f>($J54*Costos!$G$4)</f>
        <v>0</v>
      </c>
      <c r="O54" s="227">
        <f>($J54*Costos!$J$5)</f>
        <v>0</v>
      </c>
      <c r="P54" s="228">
        <f>($J54*Costos!$G$5)</f>
        <v>0</v>
      </c>
      <c r="Q54" s="227">
        <f>($J54*Costos!$J$6)</f>
        <v>0</v>
      </c>
      <c r="R54" s="228">
        <f>($J54*Costos!$G$6)</f>
        <v>0</v>
      </c>
      <c r="S54" s="227">
        <f>($J54*Costos!$J$7)</f>
        <v>0</v>
      </c>
      <c r="T54" s="228">
        <f>($J54*Costos!$G$7)</f>
        <v>0</v>
      </c>
      <c r="U54" s="227">
        <f>($J54*Costos!$J$8)</f>
        <v>0</v>
      </c>
      <c r="V54" s="228">
        <f>($J54*Costos!$G$8)</f>
        <v>0</v>
      </c>
      <c r="W54" s="229">
        <f t="shared" si="6"/>
        <v>0</v>
      </c>
      <c r="X54" s="211">
        <f t="shared" si="7"/>
        <v>0</v>
      </c>
      <c r="Y54" s="197"/>
      <c r="Z54" s="227">
        <f>($K54*Costos!$K$4)</f>
        <v>0</v>
      </c>
      <c r="AA54" s="228">
        <f>($K54*Costos!$H$4)</f>
        <v>0</v>
      </c>
      <c r="AB54" s="227">
        <f>($K54*Costos!$K$5)</f>
        <v>0</v>
      </c>
      <c r="AC54" s="228">
        <f>($K54*Costos!$H$5)</f>
        <v>0</v>
      </c>
      <c r="AD54" s="227">
        <f>($K54*Costos!$K$6)</f>
        <v>0</v>
      </c>
      <c r="AE54" s="228">
        <f>($K54*Costos!$H$6)</f>
        <v>0</v>
      </c>
      <c r="AF54" s="227">
        <f>($K54*Costos!$K$7)</f>
        <v>0</v>
      </c>
      <c r="AG54" s="228">
        <f>($K54*Costos!$H$7)</f>
        <v>0</v>
      </c>
      <c r="AH54" s="227">
        <f>($K54*Costos!$K$8)</f>
        <v>0</v>
      </c>
      <c r="AI54" s="228">
        <f>($K54*Costos!$H$8)</f>
        <v>0</v>
      </c>
      <c r="AJ54" s="229">
        <f t="shared" si="8"/>
        <v>0</v>
      </c>
      <c r="AK54" s="211">
        <f t="shared" si="9"/>
        <v>0</v>
      </c>
      <c r="AL54" s="197"/>
      <c r="AM54" s="230">
        <f>($L54*Costos!$L$4)</f>
        <v>0</v>
      </c>
      <c r="AN54" s="228">
        <f>($L54*Costos!$I$4)</f>
        <v>0</v>
      </c>
      <c r="AO54" s="227">
        <f>($L54*Costos!$L$5)</f>
        <v>0</v>
      </c>
      <c r="AP54" s="228">
        <f>($L54*Costos!$I$5)</f>
        <v>0</v>
      </c>
      <c r="AQ54" s="227">
        <f>($L54*Costos!$L$6)</f>
        <v>0</v>
      </c>
      <c r="AR54" s="228">
        <f>($L54*Costos!$I$6)</f>
        <v>0</v>
      </c>
      <c r="AS54" s="227">
        <f>($L54*Costos!$L$7)</f>
        <v>0</v>
      </c>
      <c r="AT54" s="228">
        <f>($L54*Costos!$I$7)</f>
        <v>0</v>
      </c>
      <c r="AU54" s="227">
        <f>($L54*Costos!$L$8)</f>
        <v>0</v>
      </c>
      <c r="AV54" s="228">
        <f>($L54*Costos!$I$8)</f>
        <v>0</v>
      </c>
      <c r="AW54" s="229">
        <f t="shared" si="10"/>
        <v>0</v>
      </c>
      <c r="AX54" s="211">
        <f t="shared" si="11"/>
        <v>0</v>
      </c>
    </row>
    <row r="55" spans="2:50" x14ac:dyDescent="0.25">
      <c r="B55" s="249"/>
      <c r="C55" s="86"/>
      <c r="D55" s="86"/>
      <c r="E55" s="86"/>
      <c r="F55" s="86"/>
      <c r="G55" s="86"/>
      <c r="H55" s="85"/>
      <c r="I55" s="85"/>
      <c r="J55" s="111"/>
      <c r="K55" s="111"/>
      <c r="L55" s="232"/>
      <c r="M55" s="227">
        <f>($J55*Costos!$J$4)</f>
        <v>0</v>
      </c>
      <c r="N55" s="228">
        <f>($J55*Costos!$G$4)</f>
        <v>0</v>
      </c>
      <c r="O55" s="227">
        <f>($J55*Costos!$J$5)</f>
        <v>0</v>
      </c>
      <c r="P55" s="228">
        <f>($J55*Costos!$G$5)</f>
        <v>0</v>
      </c>
      <c r="Q55" s="227">
        <f>($J55*Costos!$J$6)</f>
        <v>0</v>
      </c>
      <c r="R55" s="228">
        <f>($J55*Costos!$G$6)</f>
        <v>0</v>
      </c>
      <c r="S55" s="227">
        <f>($J55*Costos!$J$7)</f>
        <v>0</v>
      </c>
      <c r="T55" s="228">
        <f>($J55*Costos!$G$7)</f>
        <v>0</v>
      </c>
      <c r="U55" s="227">
        <f>($J55*Costos!$J$8)</f>
        <v>0</v>
      </c>
      <c r="V55" s="228">
        <f>($J55*Costos!$G$8)</f>
        <v>0</v>
      </c>
      <c r="W55" s="229">
        <f t="shared" si="6"/>
        <v>0</v>
      </c>
      <c r="X55" s="211">
        <f t="shared" si="7"/>
        <v>0</v>
      </c>
      <c r="Y55" s="197"/>
      <c r="Z55" s="227">
        <f>($K55*Costos!$K$4)</f>
        <v>0</v>
      </c>
      <c r="AA55" s="228">
        <f>($K55*Costos!$H$4)</f>
        <v>0</v>
      </c>
      <c r="AB55" s="227">
        <f>($K55*Costos!$K$5)</f>
        <v>0</v>
      </c>
      <c r="AC55" s="228">
        <f>($K55*Costos!$H$5)</f>
        <v>0</v>
      </c>
      <c r="AD55" s="227">
        <f>($K55*Costos!$K$6)</f>
        <v>0</v>
      </c>
      <c r="AE55" s="228">
        <f>($K55*Costos!$H$6)</f>
        <v>0</v>
      </c>
      <c r="AF55" s="227">
        <f>($K55*Costos!$K$7)</f>
        <v>0</v>
      </c>
      <c r="AG55" s="228">
        <f>($K55*Costos!$H$7)</f>
        <v>0</v>
      </c>
      <c r="AH55" s="227">
        <f>($K55*Costos!$K$8)</f>
        <v>0</v>
      </c>
      <c r="AI55" s="228">
        <f>($K55*Costos!$H$8)</f>
        <v>0</v>
      </c>
      <c r="AJ55" s="229">
        <f t="shared" si="8"/>
        <v>0</v>
      </c>
      <c r="AK55" s="211">
        <f t="shared" si="9"/>
        <v>0</v>
      </c>
      <c r="AL55" s="197"/>
      <c r="AM55" s="230">
        <f>($L55*Costos!$L$4)</f>
        <v>0</v>
      </c>
      <c r="AN55" s="228">
        <f>($L55*Costos!$I$4)</f>
        <v>0</v>
      </c>
      <c r="AO55" s="227">
        <f>($L55*Costos!$L$5)</f>
        <v>0</v>
      </c>
      <c r="AP55" s="228">
        <f>($L55*Costos!$I$5)</f>
        <v>0</v>
      </c>
      <c r="AQ55" s="227">
        <f>($L55*Costos!$L$6)</f>
        <v>0</v>
      </c>
      <c r="AR55" s="228">
        <f>($L55*Costos!$I$6)</f>
        <v>0</v>
      </c>
      <c r="AS55" s="227">
        <f>($L55*Costos!$L$7)</f>
        <v>0</v>
      </c>
      <c r="AT55" s="228">
        <f>($L55*Costos!$I$7)</f>
        <v>0</v>
      </c>
      <c r="AU55" s="227">
        <f>($L55*Costos!$L$8)</f>
        <v>0</v>
      </c>
      <c r="AV55" s="228">
        <f>($L55*Costos!$I$8)</f>
        <v>0</v>
      </c>
      <c r="AW55" s="229">
        <f t="shared" si="10"/>
        <v>0</v>
      </c>
      <c r="AX55" s="211">
        <f t="shared" si="11"/>
        <v>0</v>
      </c>
    </row>
    <row r="56" spans="2:50" x14ac:dyDescent="0.25">
      <c r="B56" s="79"/>
      <c r="C56" s="86"/>
      <c r="D56" s="86"/>
      <c r="E56" s="86"/>
      <c r="F56" s="86"/>
      <c r="G56" s="86"/>
      <c r="H56" s="85"/>
      <c r="I56" s="85"/>
      <c r="J56" s="111"/>
      <c r="K56" s="111"/>
      <c r="L56" s="232"/>
      <c r="M56" s="227">
        <f>($J56*Costos!$J$4)</f>
        <v>0</v>
      </c>
      <c r="N56" s="228">
        <f>($J56*Costos!$G$4)</f>
        <v>0</v>
      </c>
      <c r="O56" s="227">
        <f>($J56*Costos!$J$5)</f>
        <v>0</v>
      </c>
      <c r="P56" s="228">
        <f>($J56*Costos!$G$5)</f>
        <v>0</v>
      </c>
      <c r="Q56" s="227">
        <f>($J56*Costos!$J$6)</f>
        <v>0</v>
      </c>
      <c r="R56" s="228">
        <f>($J56*Costos!$G$6)</f>
        <v>0</v>
      </c>
      <c r="S56" s="227">
        <f>($J56*Costos!$J$7)</f>
        <v>0</v>
      </c>
      <c r="T56" s="228">
        <f>($J56*Costos!$G$7)</f>
        <v>0</v>
      </c>
      <c r="U56" s="227">
        <f>($J56*Costos!$J$8)</f>
        <v>0</v>
      </c>
      <c r="V56" s="228">
        <f>($J56*Costos!$G$8)</f>
        <v>0</v>
      </c>
      <c r="W56" s="229">
        <f t="shared" si="6"/>
        <v>0</v>
      </c>
      <c r="X56" s="211">
        <f t="shared" si="7"/>
        <v>0</v>
      </c>
      <c r="Y56" s="197"/>
      <c r="Z56" s="227">
        <f>($K56*Costos!$K$4)</f>
        <v>0</v>
      </c>
      <c r="AA56" s="228">
        <f>($K56*Costos!$H$4)</f>
        <v>0</v>
      </c>
      <c r="AB56" s="227">
        <f>($K56*Costos!$K$5)</f>
        <v>0</v>
      </c>
      <c r="AC56" s="228">
        <f>($K56*Costos!$H$5)</f>
        <v>0</v>
      </c>
      <c r="AD56" s="227">
        <f>($K56*Costos!$K$6)</f>
        <v>0</v>
      </c>
      <c r="AE56" s="228">
        <f>($K56*Costos!$H$6)</f>
        <v>0</v>
      </c>
      <c r="AF56" s="227">
        <f>($K56*Costos!$K$7)</f>
        <v>0</v>
      </c>
      <c r="AG56" s="228">
        <f>($K56*Costos!$H$7)</f>
        <v>0</v>
      </c>
      <c r="AH56" s="227">
        <f>($K56*Costos!$K$8)</f>
        <v>0</v>
      </c>
      <c r="AI56" s="228">
        <f>($K56*Costos!$H$8)</f>
        <v>0</v>
      </c>
      <c r="AJ56" s="229">
        <f t="shared" si="8"/>
        <v>0</v>
      </c>
      <c r="AK56" s="211">
        <f t="shared" si="9"/>
        <v>0</v>
      </c>
      <c r="AL56" s="197"/>
      <c r="AM56" s="230">
        <f>($L56*Costos!$L$4)</f>
        <v>0</v>
      </c>
      <c r="AN56" s="228">
        <f>($L56*Costos!$I$4)</f>
        <v>0</v>
      </c>
      <c r="AO56" s="227">
        <f>($L56*Costos!$L$5)</f>
        <v>0</v>
      </c>
      <c r="AP56" s="228">
        <f>($L56*Costos!$I$5)</f>
        <v>0</v>
      </c>
      <c r="AQ56" s="227">
        <f>($L56*Costos!$L$6)</f>
        <v>0</v>
      </c>
      <c r="AR56" s="228">
        <f>($L56*Costos!$I$6)</f>
        <v>0</v>
      </c>
      <c r="AS56" s="227">
        <f>($L56*Costos!$L$7)</f>
        <v>0</v>
      </c>
      <c r="AT56" s="228">
        <f>($L56*Costos!$I$7)</f>
        <v>0</v>
      </c>
      <c r="AU56" s="227">
        <f>($L56*Costos!$L$8)</f>
        <v>0</v>
      </c>
      <c r="AV56" s="228">
        <f>($L56*Costos!$I$8)</f>
        <v>0</v>
      </c>
      <c r="AW56" s="229">
        <f t="shared" si="10"/>
        <v>0</v>
      </c>
      <c r="AX56" s="211">
        <f t="shared" si="11"/>
        <v>0</v>
      </c>
    </row>
    <row r="57" spans="2:50" x14ac:dyDescent="0.25">
      <c r="B57" s="79"/>
      <c r="C57" s="86"/>
      <c r="D57" s="86"/>
      <c r="E57" s="86"/>
      <c r="F57" s="86"/>
      <c r="G57" s="86"/>
      <c r="H57" s="85"/>
      <c r="I57" s="85"/>
      <c r="J57" s="111"/>
      <c r="K57" s="111"/>
      <c r="L57" s="232"/>
      <c r="M57" s="227">
        <f>($J57*Costos!$J$4)</f>
        <v>0</v>
      </c>
      <c r="N57" s="228">
        <f>($J57*Costos!$G$4)</f>
        <v>0</v>
      </c>
      <c r="O57" s="227">
        <f>($J57*Costos!$J$5)</f>
        <v>0</v>
      </c>
      <c r="P57" s="228">
        <f>($J57*Costos!$G$5)</f>
        <v>0</v>
      </c>
      <c r="Q57" s="227">
        <f>($J57*Costos!$J$6)</f>
        <v>0</v>
      </c>
      <c r="R57" s="228">
        <f>($J57*Costos!$G$6)</f>
        <v>0</v>
      </c>
      <c r="S57" s="227">
        <f>($J57*Costos!$J$7)</f>
        <v>0</v>
      </c>
      <c r="T57" s="228">
        <f>($J57*Costos!$G$7)</f>
        <v>0</v>
      </c>
      <c r="U57" s="227">
        <f>($J57*Costos!$J$8)</f>
        <v>0</v>
      </c>
      <c r="V57" s="228">
        <f>($J57*Costos!$G$8)</f>
        <v>0</v>
      </c>
      <c r="W57" s="229">
        <f t="shared" si="6"/>
        <v>0</v>
      </c>
      <c r="X57" s="211">
        <f t="shared" si="7"/>
        <v>0</v>
      </c>
      <c r="Y57" s="197"/>
      <c r="Z57" s="227">
        <f>($K57*Costos!$K$4)</f>
        <v>0</v>
      </c>
      <c r="AA57" s="228">
        <f>($K57*Costos!$H$4)</f>
        <v>0</v>
      </c>
      <c r="AB57" s="227">
        <f>($K57*Costos!$K$5)</f>
        <v>0</v>
      </c>
      <c r="AC57" s="228">
        <f>($K57*Costos!$H$5)</f>
        <v>0</v>
      </c>
      <c r="AD57" s="227">
        <f>($K57*Costos!$K$6)</f>
        <v>0</v>
      </c>
      <c r="AE57" s="228">
        <f>($K57*Costos!$H$6)</f>
        <v>0</v>
      </c>
      <c r="AF57" s="227">
        <f>($K57*Costos!$K$7)</f>
        <v>0</v>
      </c>
      <c r="AG57" s="228">
        <f>($K57*Costos!$H$7)</f>
        <v>0</v>
      </c>
      <c r="AH57" s="227">
        <f>($K57*Costos!$K$8)</f>
        <v>0</v>
      </c>
      <c r="AI57" s="228">
        <f>($K57*Costos!$H$8)</f>
        <v>0</v>
      </c>
      <c r="AJ57" s="229">
        <f t="shared" si="8"/>
        <v>0</v>
      </c>
      <c r="AK57" s="211">
        <f t="shared" si="9"/>
        <v>0</v>
      </c>
      <c r="AL57" s="197"/>
      <c r="AM57" s="230">
        <f>($L57*Costos!$L$4)</f>
        <v>0</v>
      </c>
      <c r="AN57" s="228">
        <f>($L57*Costos!$I$4)</f>
        <v>0</v>
      </c>
      <c r="AO57" s="227">
        <f>($L57*Costos!$L$5)</f>
        <v>0</v>
      </c>
      <c r="AP57" s="228">
        <f>($L57*Costos!$I$5)</f>
        <v>0</v>
      </c>
      <c r="AQ57" s="227">
        <f>($L57*Costos!$L$6)</f>
        <v>0</v>
      </c>
      <c r="AR57" s="228">
        <f>($L57*Costos!$I$6)</f>
        <v>0</v>
      </c>
      <c r="AS57" s="227">
        <f>($L57*Costos!$L$7)</f>
        <v>0</v>
      </c>
      <c r="AT57" s="228">
        <f>($L57*Costos!$I$7)</f>
        <v>0</v>
      </c>
      <c r="AU57" s="227">
        <f>($L57*Costos!$L$8)</f>
        <v>0</v>
      </c>
      <c r="AV57" s="228">
        <f>($L57*Costos!$I$8)</f>
        <v>0</v>
      </c>
      <c r="AW57" s="229">
        <f t="shared" si="10"/>
        <v>0</v>
      </c>
      <c r="AX57" s="211">
        <f t="shared" si="11"/>
        <v>0</v>
      </c>
    </row>
    <row r="58" spans="2:50" x14ac:dyDescent="0.25">
      <c r="B58" s="79"/>
      <c r="C58" s="86"/>
      <c r="D58" s="86"/>
      <c r="E58" s="86"/>
      <c r="F58" s="86"/>
      <c r="G58" s="86"/>
      <c r="H58" s="85"/>
      <c r="I58" s="85"/>
      <c r="J58" s="111"/>
      <c r="K58" s="111"/>
      <c r="L58" s="232"/>
      <c r="M58" s="227">
        <f>($J58*Costos!$J$4)</f>
        <v>0</v>
      </c>
      <c r="N58" s="228">
        <f>($J58*Costos!$G$4)</f>
        <v>0</v>
      </c>
      <c r="O58" s="227">
        <f>($J58*Costos!$J$5)</f>
        <v>0</v>
      </c>
      <c r="P58" s="228">
        <f>($J58*Costos!$G$5)</f>
        <v>0</v>
      </c>
      <c r="Q58" s="227">
        <f>($J58*Costos!$J$6)</f>
        <v>0</v>
      </c>
      <c r="R58" s="228">
        <f>($J58*Costos!$G$6)</f>
        <v>0</v>
      </c>
      <c r="S58" s="227">
        <f>($J58*Costos!$J$7)</f>
        <v>0</v>
      </c>
      <c r="T58" s="228">
        <f>($J58*Costos!$G$7)</f>
        <v>0</v>
      </c>
      <c r="U58" s="227">
        <f>($J58*Costos!$J$8)</f>
        <v>0</v>
      </c>
      <c r="V58" s="228">
        <f>($J58*Costos!$G$8)</f>
        <v>0</v>
      </c>
      <c r="W58" s="229">
        <f t="shared" si="6"/>
        <v>0</v>
      </c>
      <c r="X58" s="211">
        <f t="shared" si="7"/>
        <v>0</v>
      </c>
      <c r="Y58" s="197"/>
      <c r="Z58" s="227">
        <f>($K58*Costos!$K$4)</f>
        <v>0</v>
      </c>
      <c r="AA58" s="228">
        <f>($K58*Costos!$H$4)</f>
        <v>0</v>
      </c>
      <c r="AB58" s="227">
        <f>($K58*Costos!$K$5)</f>
        <v>0</v>
      </c>
      <c r="AC58" s="228">
        <f>($K58*Costos!$H$5)</f>
        <v>0</v>
      </c>
      <c r="AD58" s="227">
        <f>($K58*Costos!$K$6)</f>
        <v>0</v>
      </c>
      <c r="AE58" s="228">
        <f>($K58*Costos!$H$6)</f>
        <v>0</v>
      </c>
      <c r="AF58" s="227">
        <f>($K58*Costos!$K$7)</f>
        <v>0</v>
      </c>
      <c r="AG58" s="228">
        <f>($K58*Costos!$H$7)</f>
        <v>0</v>
      </c>
      <c r="AH58" s="227">
        <f>($K58*Costos!$K$8)</f>
        <v>0</v>
      </c>
      <c r="AI58" s="228">
        <f>($K58*Costos!$H$8)</f>
        <v>0</v>
      </c>
      <c r="AJ58" s="229">
        <f t="shared" si="8"/>
        <v>0</v>
      </c>
      <c r="AK58" s="211">
        <f t="shared" si="9"/>
        <v>0</v>
      </c>
      <c r="AL58" s="197"/>
      <c r="AM58" s="230">
        <f>($L58*Costos!$L$4)</f>
        <v>0</v>
      </c>
      <c r="AN58" s="228">
        <f>($L58*Costos!$I$4)</f>
        <v>0</v>
      </c>
      <c r="AO58" s="227">
        <f>($L58*Costos!$L$5)</f>
        <v>0</v>
      </c>
      <c r="AP58" s="228">
        <f>($L58*Costos!$I$5)</f>
        <v>0</v>
      </c>
      <c r="AQ58" s="227">
        <f>($L58*Costos!$L$6)</f>
        <v>0</v>
      </c>
      <c r="AR58" s="228">
        <f>($L58*Costos!$I$6)</f>
        <v>0</v>
      </c>
      <c r="AS58" s="227">
        <f>($L58*Costos!$L$7)</f>
        <v>0</v>
      </c>
      <c r="AT58" s="228">
        <f>($L58*Costos!$I$7)</f>
        <v>0</v>
      </c>
      <c r="AU58" s="227">
        <f>($L58*Costos!$L$8)</f>
        <v>0</v>
      </c>
      <c r="AV58" s="228">
        <f>($L58*Costos!$I$8)</f>
        <v>0</v>
      </c>
      <c r="AW58" s="229">
        <f t="shared" si="10"/>
        <v>0</v>
      </c>
      <c r="AX58" s="211">
        <f t="shared" si="11"/>
        <v>0</v>
      </c>
    </row>
    <row r="59" spans="2:50" x14ac:dyDescent="0.25">
      <c r="B59" s="79"/>
      <c r="C59" s="86"/>
      <c r="D59" s="86"/>
      <c r="E59" s="86"/>
      <c r="F59" s="86"/>
      <c r="G59" s="86"/>
      <c r="H59" s="85"/>
      <c r="I59" s="85"/>
      <c r="J59" s="111"/>
      <c r="K59" s="111"/>
      <c r="L59" s="232"/>
      <c r="M59" s="227">
        <f>$J59*Costos!$J$4</f>
        <v>0</v>
      </c>
      <c r="N59" s="228">
        <f>($J59*Costos!$G$4)</f>
        <v>0</v>
      </c>
      <c r="O59" s="227">
        <f>($J59*Costos!$J$5)</f>
        <v>0</v>
      </c>
      <c r="P59" s="228">
        <f>($J59*Costos!$G$5)</f>
        <v>0</v>
      </c>
      <c r="Q59" s="227">
        <f>($J59*Costos!$J$6)</f>
        <v>0</v>
      </c>
      <c r="R59" s="228">
        <f>($J59*Costos!$G$6)</f>
        <v>0</v>
      </c>
      <c r="S59" s="227">
        <f>($J59*Costos!$J$7)</f>
        <v>0</v>
      </c>
      <c r="T59" s="228">
        <f>($J59*Costos!$G$7)</f>
        <v>0</v>
      </c>
      <c r="U59" s="227">
        <f>($J59*Costos!$J$8)</f>
        <v>0</v>
      </c>
      <c r="V59" s="228">
        <f>($J59*Costos!$G$8)</f>
        <v>0</v>
      </c>
      <c r="W59" s="229">
        <f t="shared" si="6"/>
        <v>0</v>
      </c>
      <c r="X59" s="211">
        <f t="shared" si="7"/>
        <v>0</v>
      </c>
      <c r="Y59" s="197"/>
      <c r="Z59" s="227">
        <f>($K59*Costos!$K$4)</f>
        <v>0</v>
      </c>
      <c r="AA59" s="228">
        <f>($K59*Costos!$H$4)</f>
        <v>0</v>
      </c>
      <c r="AB59" s="227">
        <f>($K59*Costos!$K$5)</f>
        <v>0</v>
      </c>
      <c r="AC59" s="228">
        <f>($K59*Costos!$H$5)</f>
        <v>0</v>
      </c>
      <c r="AD59" s="227">
        <f>($K59*Costos!$K$6)</f>
        <v>0</v>
      </c>
      <c r="AE59" s="228">
        <f>($K59*Costos!$H$6)</f>
        <v>0</v>
      </c>
      <c r="AF59" s="227">
        <f>($K59*Costos!$K$7)</f>
        <v>0</v>
      </c>
      <c r="AG59" s="228">
        <f>($K59*Costos!$H$7)</f>
        <v>0</v>
      </c>
      <c r="AH59" s="227">
        <f>($K59*Costos!$K$8)</f>
        <v>0</v>
      </c>
      <c r="AI59" s="228">
        <f>($K59*Costos!$H$8)</f>
        <v>0</v>
      </c>
      <c r="AJ59" s="229">
        <f t="shared" si="8"/>
        <v>0</v>
      </c>
      <c r="AK59" s="211">
        <f t="shared" si="9"/>
        <v>0</v>
      </c>
      <c r="AL59" s="197"/>
      <c r="AM59" s="230">
        <f>($L59*Costos!$L$4)</f>
        <v>0</v>
      </c>
      <c r="AN59" s="228">
        <f>($L59*Costos!$I$4)</f>
        <v>0</v>
      </c>
      <c r="AO59" s="227">
        <f>($L59*Costos!$L$5)</f>
        <v>0</v>
      </c>
      <c r="AP59" s="228">
        <f>($L59*Costos!$I$5)</f>
        <v>0</v>
      </c>
      <c r="AQ59" s="227">
        <f>($L59*Costos!$L$6)</f>
        <v>0</v>
      </c>
      <c r="AR59" s="228">
        <f>($L59*Costos!$I$6)</f>
        <v>0</v>
      </c>
      <c r="AS59" s="227">
        <f>($L59*Costos!$L$7)</f>
        <v>0</v>
      </c>
      <c r="AT59" s="228">
        <f>($L59*Costos!$I$7)</f>
        <v>0</v>
      </c>
      <c r="AU59" s="227">
        <f>($L59*Costos!$L$8)</f>
        <v>0</v>
      </c>
      <c r="AV59" s="228">
        <f>($L59*Costos!$I$8)</f>
        <v>0</v>
      </c>
      <c r="AW59" s="229">
        <f t="shared" si="10"/>
        <v>0</v>
      </c>
      <c r="AX59" s="211">
        <f t="shared" si="11"/>
        <v>0</v>
      </c>
    </row>
    <row r="60" spans="2:50" x14ac:dyDescent="0.25">
      <c r="B60" s="249"/>
      <c r="C60" s="86"/>
      <c r="D60" s="86"/>
      <c r="E60" s="86"/>
      <c r="F60" s="86"/>
      <c r="G60" s="86"/>
      <c r="H60" s="85"/>
      <c r="I60" s="85"/>
      <c r="J60" s="111"/>
      <c r="K60" s="111"/>
      <c r="L60" s="232"/>
      <c r="M60" s="227">
        <f>($J60*Costos!$J$4)</f>
        <v>0</v>
      </c>
      <c r="N60" s="228">
        <f>($J60*Costos!$G$4)</f>
        <v>0</v>
      </c>
      <c r="O60" s="227">
        <f>($J60*Costos!$J$5)</f>
        <v>0</v>
      </c>
      <c r="P60" s="228">
        <f>($J60*Costos!$G$5)</f>
        <v>0</v>
      </c>
      <c r="Q60" s="227">
        <f>($J60*Costos!$J$6)</f>
        <v>0</v>
      </c>
      <c r="R60" s="228">
        <f>($J60*Costos!$G$6)</f>
        <v>0</v>
      </c>
      <c r="S60" s="227">
        <f>($J60*Costos!$J$7)</f>
        <v>0</v>
      </c>
      <c r="T60" s="228">
        <f>($J60*Costos!$G$7)</f>
        <v>0</v>
      </c>
      <c r="U60" s="227">
        <f>($J60*Costos!$J$8)</f>
        <v>0</v>
      </c>
      <c r="V60" s="228">
        <f>($J60*Costos!$G$8)</f>
        <v>0</v>
      </c>
      <c r="W60" s="229">
        <f t="shared" si="6"/>
        <v>0</v>
      </c>
      <c r="X60" s="211">
        <f t="shared" si="7"/>
        <v>0</v>
      </c>
      <c r="Y60" s="197"/>
      <c r="Z60" s="227">
        <f>($K60*Costos!$K$4)</f>
        <v>0</v>
      </c>
      <c r="AA60" s="228">
        <f>($K60*Costos!$H$4)</f>
        <v>0</v>
      </c>
      <c r="AB60" s="227">
        <f>($K60*Costos!$K$5)</f>
        <v>0</v>
      </c>
      <c r="AC60" s="228">
        <f>($K60*Costos!$H$5)</f>
        <v>0</v>
      </c>
      <c r="AD60" s="227">
        <f>($K60*Costos!$K$6)</f>
        <v>0</v>
      </c>
      <c r="AE60" s="228">
        <f>($K60*Costos!$H$6)</f>
        <v>0</v>
      </c>
      <c r="AF60" s="227">
        <f>($K60*Costos!$K$7)</f>
        <v>0</v>
      </c>
      <c r="AG60" s="228">
        <f>($K60*Costos!$H$7)</f>
        <v>0</v>
      </c>
      <c r="AH60" s="227">
        <f>($K60*Costos!$K$8)</f>
        <v>0</v>
      </c>
      <c r="AI60" s="228">
        <f>($K60*Costos!$H$8)</f>
        <v>0</v>
      </c>
      <c r="AJ60" s="229">
        <f t="shared" si="8"/>
        <v>0</v>
      </c>
      <c r="AK60" s="211">
        <f t="shared" si="9"/>
        <v>0</v>
      </c>
      <c r="AL60" s="197"/>
      <c r="AM60" s="230">
        <f>($L60*Costos!$L$4)</f>
        <v>0</v>
      </c>
      <c r="AN60" s="228">
        <f>($L60*Costos!$I$4)</f>
        <v>0</v>
      </c>
      <c r="AO60" s="227">
        <f>($L60*Costos!$L$5)</f>
        <v>0</v>
      </c>
      <c r="AP60" s="228">
        <f>($L60*Costos!$I$5)</f>
        <v>0</v>
      </c>
      <c r="AQ60" s="227">
        <f>($L60*Costos!$L$6)</f>
        <v>0</v>
      </c>
      <c r="AR60" s="228">
        <f>($L60*Costos!$I$6)</f>
        <v>0</v>
      </c>
      <c r="AS60" s="227">
        <f>($L60*Costos!$L$7)</f>
        <v>0</v>
      </c>
      <c r="AT60" s="228">
        <f>($L60*Costos!$I$7)</f>
        <v>0</v>
      </c>
      <c r="AU60" s="227">
        <f>($L60*Costos!$L$8)</f>
        <v>0</v>
      </c>
      <c r="AV60" s="228">
        <f>($L60*Costos!$I$8)</f>
        <v>0</v>
      </c>
      <c r="AW60" s="229">
        <f t="shared" si="10"/>
        <v>0</v>
      </c>
      <c r="AX60" s="211">
        <f t="shared" si="11"/>
        <v>0</v>
      </c>
    </row>
    <row r="61" spans="2:50" x14ac:dyDescent="0.25">
      <c r="B61" s="79"/>
      <c r="C61" s="86"/>
      <c r="D61" s="86"/>
      <c r="E61" s="86"/>
      <c r="F61" s="86"/>
      <c r="G61" s="86"/>
      <c r="H61" s="85"/>
      <c r="I61" s="85"/>
      <c r="J61" s="111"/>
      <c r="K61" s="111"/>
      <c r="L61" s="232"/>
      <c r="M61" s="227">
        <f>($J61*Costos!$J$4)</f>
        <v>0</v>
      </c>
      <c r="N61" s="228">
        <f>($J61*Costos!$G$4)</f>
        <v>0</v>
      </c>
      <c r="O61" s="227">
        <f>($J61*Costos!$J$5)</f>
        <v>0</v>
      </c>
      <c r="P61" s="228">
        <f>($J61*Costos!$G$5)</f>
        <v>0</v>
      </c>
      <c r="Q61" s="227">
        <f>($J61*Costos!$J$6)</f>
        <v>0</v>
      </c>
      <c r="R61" s="228">
        <f>($J61*Costos!$G$6)</f>
        <v>0</v>
      </c>
      <c r="S61" s="227">
        <f>($J61*Costos!$J$7)</f>
        <v>0</v>
      </c>
      <c r="T61" s="228">
        <f>($J61*Costos!$G$7)</f>
        <v>0</v>
      </c>
      <c r="U61" s="227">
        <f>($J61*Costos!$J$8)</f>
        <v>0</v>
      </c>
      <c r="V61" s="228">
        <f>($J61*Costos!$G$8)</f>
        <v>0</v>
      </c>
      <c r="W61" s="229">
        <f t="shared" si="6"/>
        <v>0</v>
      </c>
      <c r="X61" s="211">
        <f t="shared" si="7"/>
        <v>0</v>
      </c>
      <c r="Y61" s="197"/>
      <c r="Z61" s="227">
        <f>($K61*Costos!$K$4)</f>
        <v>0</v>
      </c>
      <c r="AA61" s="228">
        <f>($K61*Costos!$H$4)</f>
        <v>0</v>
      </c>
      <c r="AB61" s="227">
        <f>($K61*Costos!$K$5)</f>
        <v>0</v>
      </c>
      <c r="AC61" s="228">
        <f>($K61*Costos!$H$5)</f>
        <v>0</v>
      </c>
      <c r="AD61" s="227">
        <f>($K61*Costos!$K$6)</f>
        <v>0</v>
      </c>
      <c r="AE61" s="228">
        <f>($K61*Costos!$H$6)</f>
        <v>0</v>
      </c>
      <c r="AF61" s="227">
        <f>($K61*Costos!$K$7)</f>
        <v>0</v>
      </c>
      <c r="AG61" s="228">
        <f>($K61*Costos!$H$7)</f>
        <v>0</v>
      </c>
      <c r="AH61" s="227">
        <f>($K61*Costos!$K$8)</f>
        <v>0</v>
      </c>
      <c r="AI61" s="228">
        <f>($K61*Costos!$H$8)</f>
        <v>0</v>
      </c>
      <c r="AJ61" s="229">
        <f t="shared" si="8"/>
        <v>0</v>
      </c>
      <c r="AK61" s="211">
        <f t="shared" si="9"/>
        <v>0</v>
      </c>
      <c r="AL61" s="197"/>
      <c r="AM61" s="230">
        <f>($L61*Costos!$L$4)</f>
        <v>0</v>
      </c>
      <c r="AN61" s="228">
        <f>($L61*Costos!$I$4)</f>
        <v>0</v>
      </c>
      <c r="AO61" s="227">
        <f>($L61*Costos!$L$5)</f>
        <v>0</v>
      </c>
      <c r="AP61" s="228">
        <f>($L61*Costos!$I$5)</f>
        <v>0</v>
      </c>
      <c r="AQ61" s="227">
        <f>($L61*Costos!$L$6)</f>
        <v>0</v>
      </c>
      <c r="AR61" s="228">
        <f>($L61*Costos!$I$6)</f>
        <v>0</v>
      </c>
      <c r="AS61" s="227">
        <f>($L61*Costos!$L$7)</f>
        <v>0</v>
      </c>
      <c r="AT61" s="228">
        <f>($L61*Costos!$I$7)</f>
        <v>0</v>
      </c>
      <c r="AU61" s="227">
        <f>($L61*Costos!$L$8)</f>
        <v>0</v>
      </c>
      <c r="AV61" s="228">
        <f>($L61*Costos!$I$8)</f>
        <v>0</v>
      </c>
      <c r="AW61" s="229">
        <f t="shared" si="10"/>
        <v>0</v>
      </c>
      <c r="AX61" s="211">
        <f t="shared" si="11"/>
        <v>0</v>
      </c>
    </row>
    <row r="62" spans="2:50" x14ac:dyDescent="0.25">
      <c r="B62" s="79"/>
      <c r="C62" s="86"/>
      <c r="D62" s="86"/>
      <c r="E62" s="86"/>
      <c r="F62" s="86"/>
      <c r="G62" s="86"/>
      <c r="H62" s="85"/>
      <c r="I62" s="85"/>
      <c r="J62" s="111"/>
      <c r="K62" s="111"/>
      <c r="L62" s="232"/>
      <c r="M62" s="227">
        <f>($J62*Costos!$J$4)</f>
        <v>0</v>
      </c>
      <c r="N62" s="228">
        <f>($J62*Costos!$G$4)</f>
        <v>0</v>
      </c>
      <c r="O62" s="227">
        <f>($J62*Costos!$J$5)</f>
        <v>0</v>
      </c>
      <c r="P62" s="228">
        <f>($J62*Costos!$G$5)</f>
        <v>0</v>
      </c>
      <c r="Q62" s="227">
        <f>($J62*Costos!$J$6)</f>
        <v>0</v>
      </c>
      <c r="R62" s="228">
        <f>($J62*Costos!$G$6)</f>
        <v>0</v>
      </c>
      <c r="S62" s="227">
        <f>($J62*Costos!$J$7)</f>
        <v>0</v>
      </c>
      <c r="T62" s="228">
        <f>($J62*Costos!$G$7)</f>
        <v>0</v>
      </c>
      <c r="U62" s="227">
        <f>($J62*Costos!$J$8)</f>
        <v>0</v>
      </c>
      <c r="V62" s="228">
        <f>($J62*Costos!$G$8)</f>
        <v>0</v>
      </c>
      <c r="W62" s="229">
        <f t="shared" si="6"/>
        <v>0</v>
      </c>
      <c r="X62" s="211">
        <f t="shared" si="7"/>
        <v>0</v>
      </c>
      <c r="Y62" s="197"/>
      <c r="Z62" s="227">
        <f>($K62*Costos!$K$4)</f>
        <v>0</v>
      </c>
      <c r="AA62" s="228">
        <f>($K62*Costos!$H$4)</f>
        <v>0</v>
      </c>
      <c r="AB62" s="227">
        <f>($K62*Costos!$K$5)</f>
        <v>0</v>
      </c>
      <c r="AC62" s="228">
        <f>($K62*Costos!$H$5)</f>
        <v>0</v>
      </c>
      <c r="AD62" s="227">
        <f>($K62*Costos!$K$6)</f>
        <v>0</v>
      </c>
      <c r="AE62" s="228">
        <f>($K62*Costos!$H$6)</f>
        <v>0</v>
      </c>
      <c r="AF62" s="227">
        <f>($K62*Costos!$K$7)</f>
        <v>0</v>
      </c>
      <c r="AG62" s="228">
        <f>($K62*Costos!$H$7)</f>
        <v>0</v>
      </c>
      <c r="AH62" s="227">
        <f>($K62*Costos!$K$8)</f>
        <v>0</v>
      </c>
      <c r="AI62" s="228">
        <f>($K62*Costos!$H$8)</f>
        <v>0</v>
      </c>
      <c r="AJ62" s="229">
        <f t="shared" si="8"/>
        <v>0</v>
      </c>
      <c r="AK62" s="211">
        <f t="shared" si="9"/>
        <v>0</v>
      </c>
      <c r="AL62" s="197"/>
      <c r="AM62" s="230">
        <f>($L62*Costos!$L$4)</f>
        <v>0</v>
      </c>
      <c r="AN62" s="228">
        <f>($L62*Costos!$I$4)</f>
        <v>0</v>
      </c>
      <c r="AO62" s="227">
        <f>($L62*Costos!$L$5)</f>
        <v>0</v>
      </c>
      <c r="AP62" s="228">
        <f>($L62*Costos!$I$5)</f>
        <v>0</v>
      </c>
      <c r="AQ62" s="227">
        <f>($L62*Costos!$L$6)</f>
        <v>0</v>
      </c>
      <c r="AR62" s="228">
        <f>($L62*Costos!$I$6)</f>
        <v>0</v>
      </c>
      <c r="AS62" s="227">
        <f>($L62*Costos!$L$7)</f>
        <v>0</v>
      </c>
      <c r="AT62" s="228">
        <f>($L62*Costos!$I$7)</f>
        <v>0</v>
      </c>
      <c r="AU62" s="227">
        <f>($L62*Costos!$L$8)</f>
        <v>0</v>
      </c>
      <c r="AV62" s="228">
        <f>($L62*Costos!$I$8)</f>
        <v>0</v>
      </c>
      <c r="AW62" s="229">
        <f t="shared" si="10"/>
        <v>0</v>
      </c>
      <c r="AX62" s="211">
        <f t="shared" si="11"/>
        <v>0</v>
      </c>
    </row>
    <row r="63" spans="2:50" x14ac:dyDescent="0.25">
      <c r="B63" s="79"/>
      <c r="C63" s="86"/>
      <c r="D63" s="86"/>
      <c r="E63" s="86"/>
      <c r="F63" s="86"/>
      <c r="G63" s="86"/>
      <c r="H63" s="85"/>
      <c r="I63" s="85"/>
      <c r="J63" s="111"/>
      <c r="K63" s="111"/>
      <c r="L63" s="232"/>
      <c r="M63" s="227">
        <f>($J63*Costos!$J$4)</f>
        <v>0</v>
      </c>
      <c r="N63" s="228">
        <f>($J63*Costos!$G$4)</f>
        <v>0</v>
      </c>
      <c r="O63" s="227">
        <f>($J63*Costos!$J$5)</f>
        <v>0</v>
      </c>
      <c r="P63" s="228">
        <f>($J63*Costos!$G$5)</f>
        <v>0</v>
      </c>
      <c r="Q63" s="227">
        <f>($J63*Costos!$J$6)</f>
        <v>0</v>
      </c>
      <c r="R63" s="228">
        <f>($J63*Costos!$G$6)</f>
        <v>0</v>
      </c>
      <c r="S63" s="227">
        <f>($J63*Costos!$J$7)</f>
        <v>0</v>
      </c>
      <c r="T63" s="228">
        <f>($J63*Costos!$G$7)</f>
        <v>0</v>
      </c>
      <c r="U63" s="227">
        <f>($J63*Costos!$J$8)</f>
        <v>0</v>
      </c>
      <c r="V63" s="228">
        <f>($J63*Costos!$G$8)</f>
        <v>0</v>
      </c>
      <c r="W63" s="229">
        <f t="shared" si="6"/>
        <v>0</v>
      </c>
      <c r="X63" s="211">
        <f t="shared" si="7"/>
        <v>0</v>
      </c>
      <c r="Y63" s="197"/>
      <c r="Z63" s="227">
        <f>($K63*Costos!$K$4)</f>
        <v>0</v>
      </c>
      <c r="AA63" s="228">
        <f>($K63*Costos!$H$4)</f>
        <v>0</v>
      </c>
      <c r="AB63" s="227">
        <f>($K63*Costos!$K$5)</f>
        <v>0</v>
      </c>
      <c r="AC63" s="228">
        <f>($K63*Costos!$H$5)</f>
        <v>0</v>
      </c>
      <c r="AD63" s="227">
        <f>($K63*Costos!$K$6)</f>
        <v>0</v>
      </c>
      <c r="AE63" s="228">
        <f>($K63*Costos!$H$6)</f>
        <v>0</v>
      </c>
      <c r="AF63" s="227">
        <f>($K63*Costos!$K$7)</f>
        <v>0</v>
      </c>
      <c r="AG63" s="228">
        <f>($K63*Costos!$H$7)</f>
        <v>0</v>
      </c>
      <c r="AH63" s="227">
        <f>($K63*Costos!$K$8)</f>
        <v>0</v>
      </c>
      <c r="AI63" s="228">
        <f>($K63*Costos!$H$8)</f>
        <v>0</v>
      </c>
      <c r="AJ63" s="229">
        <f t="shared" si="8"/>
        <v>0</v>
      </c>
      <c r="AK63" s="211">
        <f t="shared" si="9"/>
        <v>0</v>
      </c>
      <c r="AL63" s="197"/>
      <c r="AM63" s="230">
        <f>($L63*Costos!$L$4)</f>
        <v>0</v>
      </c>
      <c r="AN63" s="228">
        <f>($L63*Costos!$I$4)</f>
        <v>0</v>
      </c>
      <c r="AO63" s="227">
        <f>($L63*Costos!$L$5)</f>
        <v>0</v>
      </c>
      <c r="AP63" s="228">
        <f>($L63*Costos!$I$5)</f>
        <v>0</v>
      </c>
      <c r="AQ63" s="227">
        <f>($L63*Costos!$L$6)</f>
        <v>0</v>
      </c>
      <c r="AR63" s="228">
        <f>($L63*Costos!$I$6)</f>
        <v>0</v>
      </c>
      <c r="AS63" s="227">
        <f>($L63*Costos!$L$7)</f>
        <v>0</v>
      </c>
      <c r="AT63" s="228">
        <f>($L63*Costos!$I$7)</f>
        <v>0</v>
      </c>
      <c r="AU63" s="227">
        <f>($L63*Costos!$L$8)</f>
        <v>0</v>
      </c>
      <c r="AV63" s="228">
        <f>($L63*Costos!$I$8)</f>
        <v>0</v>
      </c>
      <c r="AW63" s="229">
        <f t="shared" si="10"/>
        <v>0</v>
      </c>
      <c r="AX63" s="211">
        <f t="shared" si="11"/>
        <v>0</v>
      </c>
    </row>
    <row r="64" spans="2:50" x14ac:dyDescent="0.25">
      <c r="B64" s="79"/>
      <c r="C64" s="86"/>
      <c r="D64" s="86"/>
      <c r="E64" s="86"/>
      <c r="F64" s="86"/>
      <c r="G64" s="86"/>
      <c r="H64" s="85"/>
      <c r="I64" s="85"/>
      <c r="J64" s="111"/>
      <c r="K64" s="111"/>
      <c r="L64" s="232"/>
      <c r="M64" s="227">
        <f>($J64*Costos!$J$4)</f>
        <v>0</v>
      </c>
      <c r="N64" s="228">
        <f>($J64*Costos!$G$4)</f>
        <v>0</v>
      </c>
      <c r="O64" s="227">
        <f>($J64*Costos!$J$5)</f>
        <v>0</v>
      </c>
      <c r="P64" s="228">
        <f>($J64*Costos!$G$5)</f>
        <v>0</v>
      </c>
      <c r="Q64" s="227">
        <f>($J64*Costos!$J$6)</f>
        <v>0</v>
      </c>
      <c r="R64" s="228">
        <f>($J64*Costos!$G$6)</f>
        <v>0</v>
      </c>
      <c r="S64" s="227">
        <f>($J64*Costos!$J$7)</f>
        <v>0</v>
      </c>
      <c r="T64" s="228">
        <f>($J64*Costos!$G$7)</f>
        <v>0</v>
      </c>
      <c r="U64" s="227">
        <f>($J64*Costos!$J$8)</f>
        <v>0</v>
      </c>
      <c r="V64" s="228">
        <f>($J64*Costos!$G$8)</f>
        <v>0</v>
      </c>
      <c r="W64" s="229">
        <f t="shared" si="6"/>
        <v>0</v>
      </c>
      <c r="X64" s="211">
        <f t="shared" si="7"/>
        <v>0</v>
      </c>
      <c r="Y64" s="197"/>
      <c r="Z64" s="227">
        <f>($K64*Costos!$K$4)</f>
        <v>0</v>
      </c>
      <c r="AA64" s="228">
        <f>($K64*Costos!$H$4)</f>
        <v>0</v>
      </c>
      <c r="AB64" s="227">
        <f>($K64*Costos!$K$5)</f>
        <v>0</v>
      </c>
      <c r="AC64" s="228">
        <f>($K64*Costos!$H$5)</f>
        <v>0</v>
      </c>
      <c r="AD64" s="227">
        <f>($K64*Costos!$K$6)</f>
        <v>0</v>
      </c>
      <c r="AE64" s="228">
        <f>($K64*Costos!$H$6)</f>
        <v>0</v>
      </c>
      <c r="AF64" s="227">
        <f>($K64*Costos!$K$7)</f>
        <v>0</v>
      </c>
      <c r="AG64" s="228">
        <f>($K64*Costos!$H$7)</f>
        <v>0</v>
      </c>
      <c r="AH64" s="227">
        <f>($K64*Costos!$K$8)</f>
        <v>0</v>
      </c>
      <c r="AI64" s="228">
        <f>($K64*Costos!$H$8)</f>
        <v>0</v>
      </c>
      <c r="AJ64" s="229">
        <f t="shared" si="8"/>
        <v>0</v>
      </c>
      <c r="AK64" s="211">
        <f t="shared" si="9"/>
        <v>0</v>
      </c>
      <c r="AL64" s="197"/>
      <c r="AM64" s="230">
        <f>($L64*Costos!$L$4)</f>
        <v>0</v>
      </c>
      <c r="AN64" s="228">
        <f>($L64*Costos!$I$4)</f>
        <v>0</v>
      </c>
      <c r="AO64" s="227">
        <f>($L64*Costos!$L$5)</f>
        <v>0</v>
      </c>
      <c r="AP64" s="228">
        <f>($L64*Costos!$I$5)</f>
        <v>0</v>
      </c>
      <c r="AQ64" s="227">
        <f>($L64*Costos!$L$6)</f>
        <v>0</v>
      </c>
      <c r="AR64" s="228">
        <f>($L64*Costos!$I$6)</f>
        <v>0</v>
      </c>
      <c r="AS64" s="227">
        <f>($L64*Costos!$L$7)</f>
        <v>0</v>
      </c>
      <c r="AT64" s="228">
        <f>($L64*Costos!$I$7)</f>
        <v>0</v>
      </c>
      <c r="AU64" s="227">
        <f>($L64*Costos!$L$8)</f>
        <v>0</v>
      </c>
      <c r="AV64" s="228">
        <f>($L64*Costos!$I$8)</f>
        <v>0</v>
      </c>
      <c r="AW64" s="229">
        <f t="shared" si="10"/>
        <v>0</v>
      </c>
      <c r="AX64" s="211">
        <f t="shared" si="11"/>
        <v>0</v>
      </c>
    </row>
    <row r="65" spans="2:52" x14ac:dyDescent="0.25">
      <c r="B65" s="79"/>
      <c r="C65" s="86"/>
      <c r="D65" s="86"/>
      <c r="E65" s="86"/>
      <c r="F65" s="86"/>
      <c r="G65" s="86"/>
      <c r="H65" s="85"/>
      <c r="I65" s="85"/>
      <c r="J65" s="111"/>
      <c r="K65" s="111"/>
      <c r="L65" s="232"/>
      <c r="M65" s="227">
        <f>($J65*Costos!$J$4)</f>
        <v>0</v>
      </c>
      <c r="N65" s="228">
        <f>($J65*Costos!$G$4)</f>
        <v>0</v>
      </c>
      <c r="O65" s="227">
        <f>($J65*Costos!$J$5)</f>
        <v>0</v>
      </c>
      <c r="P65" s="228">
        <f>($J65*Costos!$G$5)</f>
        <v>0</v>
      </c>
      <c r="Q65" s="227">
        <f>($J65*Costos!$J$6)</f>
        <v>0</v>
      </c>
      <c r="R65" s="228">
        <f>($J65*Costos!$G$6)</f>
        <v>0</v>
      </c>
      <c r="S65" s="227">
        <f>($J65*Costos!$J$7)</f>
        <v>0</v>
      </c>
      <c r="T65" s="228">
        <f>($J65*Costos!$G$7)</f>
        <v>0</v>
      </c>
      <c r="U65" s="227">
        <f>($J65*Costos!$J$8)</f>
        <v>0</v>
      </c>
      <c r="V65" s="228">
        <f>($J65*Costos!$G$8)</f>
        <v>0</v>
      </c>
      <c r="W65" s="229">
        <f t="shared" si="6"/>
        <v>0</v>
      </c>
      <c r="X65" s="211">
        <f t="shared" si="7"/>
        <v>0</v>
      </c>
      <c r="Y65" s="197"/>
      <c r="Z65" s="227">
        <f>($K65*Costos!$K$4)</f>
        <v>0</v>
      </c>
      <c r="AA65" s="228">
        <f>($K65*Costos!$H$4)</f>
        <v>0</v>
      </c>
      <c r="AB65" s="227">
        <f>($K65*Costos!$K$5)</f>
        <v>0</v>
      </c>
      <c r="AC65" s="228">
        <f>($K65*Costos!$H$5)</f>
        <v>0</v>
      </c>
      <c r="AD65" s="227">
        <f>($K65*Costos!$K$6)</f>
        <v>0</v>
      </c>
      <c r="AE65" s="228">
        <f>($K65*Costos!$H$6)</f>
        <v>0</v>
      </c>
      <c r="AF65" s="227">
        <f>($K65*Costos!$K$7)</f>
        <v>0</v>
      </c>
      <c r="AG65" s="228">
        <f>($K65*Costos!$H$7)</f>
        <v>0</v>
      </c>
      <c r="AH65" s="227">
        <f>($K65*Costos!$K$8)</f>
        <v>0</v>
      </c>
      <c r="AI65" s="228">
        <f>($K65*Costos!$H$8)</f>
        <v>0</v>
      </c>
      <c r="AJ65" s="229">
        <f t="shared" si="8"/>
        <v>0</v>
      </c>
      <c r="AK65" s="211">
        <f t="shared" si="9"/>
        <v>0</v>
      </c>
      <c r="AL65" s="197"/>
      <c r="AM65" s="230">
        <f>($L65*Costos!$L$4)</f>
        <v>0</v>
      </c>
      <c r="AN65" s="228">
        <f>($L65*Costos!$I$4)</f>
        <v>0</v>
      </c>
      <c r="AO65" s="227">
        <f>($L65*Costos!$L$5)</f>
        <v>0</v>
      </c>
      <c r="AP65" s="228">
        <f>($L65*Costos!$I$5)</f>
        <v>0</v>
      </c>
      <c r="AQ65" s="227">
        <f>($L65*Costos!$L$6)</f>
        <v>0</v>
      </c>
      <c r="AR65" s="228">
        <f>($L65*Costos!$I$6)</f>
        <v>0</v>
      </c>
      <c r="AS65" s="227">
        <f>($L65*Costos!$L$7)</f>
        <v>0</v>
      </c>
      <c r="AT65" s="228">
        <f>($L65*Costos!$I$7)</f>
        <v>0</v>
      </c>
      <c r="AU65" s="227">
        <f>($L65*Costos!$L$8)</f>
        <v>0</v>
      </c>
      <c r="AV65" s="228">
        <f>($L65*Costos!$I$8)</f>
        <v>0</v>
      </c>
      <c r="AW65" s="229">
        <f t="shared" si="10"/>
        <v>0</v>
      </c>
      <c r="AX65" s="211">
        <f t="shared" si="11"/>
        <v>0</v>
      </c>
    </row>
    <row r="66" spans="2:52" x14ac:dyDescent="0.25">
      <c r="B66" s="79"/>
      <c r="C66" s="86"/>
      <c r="D66" s="86"/>
      <c r="E66" s="86"/>
      <c r="F66" s="86"/>
      <c r="G66" s="86"/>
      <c r="H66" s="85"/>
      <c r="I66" s="85"/>
      <c r="J66" s="111"/>
      <c r="K66" s="111"/>
      <c r="L66" s="232"/>
      <c r="M66" s="227">
        <f>($J66*Costos!$J$4)</f>
        <v>0</v>
      </c>
      <c r="N66" s="228">
        <f>($J66*Costos!$G$4)</f>
        <v>0</v>
      </c>
      <c r="O66" s="227">
        <f>($J66*Costos!$J$5)</f>
        <v>0</v>
      </c>
      <c r="P66" s="228">
        <f>($J66*Costos!$G$5)</f>
        <v>0</v>
      </c>
      <c r="Q66" s="227">
        <f>($J66*Costos!$J$6)</f>
        <v>0</v>
      </c>
      <c r="R66" s="228">
        <f>($J66*Costos!$G$6)</f>
        <v>0</v>
      </c>
      <c r="S66" s="227">
        <f>($J66*Costos!$J$7)</f>
        <v>0</v>
      </c>
      <c r="T66" s="228">
        <f>($J66*Costos!$G$7)</f>
        <v>0</v>
      </c>
      <c r="U66" s="227">
        <f>($J66*Costos!$J$8)</f>
        <v>0</v>
      </c>
      <c r="V66" s="228">
        <f>($J66*Costos!$G$8)</f>
        <v>0</v>
      </c>
      <c r="W66" s="229">
        <f t="shared" si="6"/>
        <v>0</v>
      </c>
      <c r="X66" s="211">
        <f t="shared" si="7"/>
        <v>0</v>
      </c>
      <c r="Y66" s="197"/>
      <c r="Z66" s="227">
        <f>($K66*Costos!$K$4)</f>
        <v>0</v>
      </c>
      <c r="AA66" s="228">
        <f>($K66*Costos!$H$4)</f>
        <v>0</v>
      </c>
      <c r="AB66" s="227">
        <f>($K66*Costos!$K$5)</f>
        <v>0</v>
      </c>
      <c r="AC66" s="228">
        <f>($K66*Costos!$H$5)</f>
        <v>0</v>
      </c>
      <c r="AD66" s="227">
        <f>($K66*Costos!$K$6)</f>
        <v>0</v>
      </c>
      <c r="AE66" s="228">
        <f>($K66*Costos!$H$6)</f>
        <v>0</v>
      </c>
      <c r="AF66" s="227">
        <f>($K66*Costos!$K$7)</f>
        <v>0</v>
      </c>
      <c r="AG66" s="228">
        <f>($K66*Costos!$H$7)</f>
        <v>0</v>
      </c>
      <c r="AH66" s="227">
        <f>($K66*Costos!$K$8)</f>
        <v>0</v>
      </c>
      <c r="AI66" s="228">
        <f>($K66*Costos!$H$8)</f>
        <v>0</v>
      </c>
      <c r="AJ66" s="229">
        <f t="shared" si="8"/>
        <v>0</v>
      </c>
      <c r="AK66" s="211">
        <f t="shared" si="9"/>
        <v>0</v>
      </c>
      <c r="AL66" s="197"/>
      <c r="AM66" s="230">
        <f>($L66*Costos!$L$4)</f>
        <v>0</v>
      </c>
      <c r="AN66" s="228">
        <f>($L66*Costos!$I$4)</f>
        <v>0</v>
      </c>
      <c r="AO66" s="227">
        <f>($L66*Costos!$L$5)</f>
        <v>0</v>
      </c>
      <c r="AP66" s="228">
        <f>($L66*Costos!$I$5)</f>
        <v>0</v>
      </c>
      <c r="AQ66" s="227">
        <f>($L66*Costos!$L$6)</f>
        <v>0</v>
      </c>
      <c r="AR66" s="228">
        <f>($L66*Costos!$I$6)</f>
        <v>0</v>
      </c>
      <c r="AS66" s="227">
        <f>($L66*Costos!$L$7)</f>
        <v>0</v>
      </c>
      <c r="AT66" s="228">
        <f>($L66*Costos!$I$7)</f>
        <v>0</v>
      </c>
      <c r="AU66" s="227">
        <f>($L66*Costos!$L$8)</f>
        <v>0</v>
      </c>
      <c r="AV66" s="228">
        <f>($L66*Costos!$I$8)</f>
        <v>0</v>
      </c>
      <c r="AW66" s="229">
        <f t="shared" si="10"/>
        <v>0</v>
      </c>
      <c r="AX66" s="211">
        <f t="shared" si="11"/>
        <v>0</v>
      </c>
    </row>
    <row r="67" spans="2:52" x14ac:dyDescent="0.25">
      <c r="B67" s="79"/>
      <c r="C67" s="86"/>
      <c r="D67" s="86"/>
      <c r="E67" s="86"/>
      <c r="F67" s="86"/>
      <c r="G67" s="86"/>
      <c r="H67" s="85"/>
      <c r="I67" s="85"/>
      <c r="J67" s="111"/>
      <c r="K67" s="111"/>
      <c r="L67" s="232"/>
      <c r="M67" s="227">
        <f>($J67*Costos!$J$4)</f>
        <v>0</v>
      </c>
      <c r="N67" s="228">
        <f>($J67*Costos!$G$4)</f>
        <v>0</v>
      </c>
      <c r="O67" s="227">
        <f>($J67*Costos!$J$5)</f>
        <v>0</v>
      </c>
      <c r="P67" s="228">
        <f>($J67*Costos!$G$5)</f>
        <v>0</v>
      </c>
      <c r="Q67" s="227">
        <f>($J67*Costos!$J$6)</f>
        <v>0</v>
      </c>
      <c r="R67" s="228">
        <f>($J67*Costos!$G$6)</f>
        <v>0</v>
      </c>
      <c r="S67" s="227">
        <f>($J67*Costos!$J$7)</f>
        <v>0</v>
      </c>
      <c r="T67" s="228">
        <f>($J67*Costos!$G$7)</f>
        <v>0</v>
      </c>
      <c r="U67" s="227">
        <f>($J67*Costos!$J$8)</f>
        <v>0</v>
      </c>
      <c r="V67" s="228">
        <f>($J67*Costos!$G$8)</f>
        <v>0</v>
      </c>
      <c r="W67" s="229">
        <f t="shared" si="6"/>
        <v>0</v>
      </c>
      <c r="X67" s="211">
        <f t="shared" si="7"/>
        <v>0</v>
      </c>
      <c r="Y67" s="197"/>
      <c r="Z67" s="227">
        <f>($K67*Costos!$K$4)</f>
        <v>0</v>
      </c>
      <c r="AA67" s="228">
        <f>($K67*Costos!$H$4)</f>
        <v>0</v>
      </c>
      <c r="AB67" s="227">
        <f>($K67*Costos!$K$5)</f>
        <v>0</v>
      </c>
      <c r="AC67" s="228">
        <f>($K67*Costos!$H$5)</f>
        <v>0</v>
      </c>
      <c r="AD67" s="227">
        <f>($K67*Costos!$K$6)</f>
        <v>0</v>
      </c>
      <c r="AE67" s="228">
        <f>($K67*Costos!$H$6)</f>
        <v>0</v>
      </c>
      <c r="AF67" s="227">
        <f>($K67*Costos!$K$7)</f>
        <v>0</v>
      </c>
      <c r="AG67" s="228">
        <f>($K67*Costos!$H$7)</f>
        <v>0</v>
      </c>
      <c r="AH67" s="227">
        <f>($K67*Costos!$K$8)</f>
        <v>0</v>
      </c>
      <c r="AI67" s="228">
        <f>($K67*Costos!$H$8)</f>
        <v>0</v>
      </c>
      <c r="AJ67" s="229">
        <f t="shared" si="8"/>
        <v>0</v>
      </c>
      <c r="AK67" s="211">
        <f t="shared" si="9"/>
        <v>0</v>
      </c>
      <c r="AL67" s="197"/>
      <c r="AM67" s="230">
        <f>($L67*Costos!$L$4)</f>
        <v>0</v>
      </c>
      <c r="AN67" s="228">
        <f>($L67*Costos!$I$4)</f>
        <v>0</v>
      </c>
      <c r="AO67" s="227">
        <f>($L67*Costos!$L$5)</f>
        <v>0</v>
      </c>
      <c r="AP67" s="228">
        <f>($L67*Costos!$I$5)</f>
        <v>0</v>
      </c>
      <c r="AQ67" s="227">
        <f>($L67*Costos!$L$6)</f>
        <v>0</v>
      </c>
      <c r="AR67" s="228">
        <f>($L67*Costos!$I$6)</f>
        <v>0</v>
      </c>
      <c r="AS67" s="227">
        <f>($L67*Costos!$L$7)</f>
        <v>0</v>
      </c>
      <c r="AT67" s="228">
        <f>($L67*Costos!$I$7)</f>
        <v>0</v>
      </c>
      <c r="AU67" s="227">
        <f>($L67*Costos!$L$8)</f>
        <v>0</v>
      </c>
      <c r="AV67" s="228">
        <f>($L67*Costos!$I$8)</f>
        <v>0</v>
      </c>
      <c r="AW67" s="229">
        <f t="shared" si="10"/>
        <v>0</v>
      </c>
      <c r="AX67" s="211">
        <f t="shared" si="11"/>
        <v>0</v>
      </c>
    </row>
    <row r="68" spans="2:52" x14ac:dyDescent="0.25">
      <c r="B68" s="79"/>
      <c r="C68" s="86"/>
      <c r="D68" s="86"/>
      <c r="E68" s="86"/>
      <c r="F68" s="86"/>
      <c r="G68" s="86"/>
      <c r="H68" s="85"/>
      <c r="I68" s="85"/>
      <c r="J68" s="111"/>
      <c r="K68" s="111"/>
      <c r="L68" s="232"/>
      <c r="M68" s="227">
        <f>($J68*Costos!$J$4)</f>
        <v>0</v>
      </c>
      <c r="N68" s="228">
        <f>($J68*Costos!$G$4)</f>
        <v>0</v>
      </c>
      <c r="O68" s="227">
        <f>($J68*Costos!$J$5)</f>
        <v>0</v>
      </c>
      <c r="P68" s="228">
        <f>($J68*Costos!$G$5)</f>
        <v>0</v>
      </c>
      <c r="Q68" s="227">
        <f>($J68*Costos!$J$6)</f>
        <v>0</v>
      </c>
      <c r="R68" s="228">
        <f>($J68*Costos!$G$6)</f>
        <v>0</v>
      </c>
      <c r="S68" s="227">
        <f>($J68*Costos!$J$7)</f>
        <v>0</v>
      </c>
      <c r="T68" s="228">
        <f>($J68*Costos!$G$7)</f>
        <v>0</v>
      </c>
      <c r="U68" s="227">
        <f>($J68*Costos!$J$8)</f>
        <v>0</v>
      </c>
      <c r="V68" s="228">
        <f>($J68*Costos!$G$8)</f>
        <v>0</v>
      </c>
      <c r="W68" s="229">
        <f t="shared" si="6"/>
        <v>0</v>
      </c>
      <c r="X68" s="211">
        <f t="shared" si="7"/>
        <v>0</v>
      </c>
      <c r="Y68" s="197"/>
      <c r="Z68" s="227">
        <f>($K68*Costos!$K$4)</f>
        <v>0</v>
      </c>
      <c r="AA68" s="228">
        <f>($K68*Costos!$H$4)</f>
        <v>0</v>
      </c>
      <c r="AB68" s="227">
        <f>($K68*Costos!$K$5)</f>
        <v>0</v>
      </c>
      <c r="AC68" s="228">
        <f>($K68*Costos!$H$5)</f>
        <v>0</v>
      </c>
      <c r="AD68" s="227">
        <f>($K68*Costos!$K$6)</f>
        <v>0</v>
      </c>
      <c r="AE68" s="228">
        <f>($K68*Costos!$H$6)</f>
        <v>0</v>
      </c>
      <c r="AF68" s="227">
        <f>($K68*Costos!$K$7)</f>
        <v>0</v>
      </c>
      <c r="AG68" s="228">
        <f>($K68*Costos!$H$7)</f>
        <v>0</v>
      </c>
      <c r="AH68" s="227">
        <f>($K68*Costos!$K$8)</f>
        <v>0</v>
      </c>
      <c r="AI68" s="228">
        <f>($K68*Costos!$H$8)</f>
        <v>0</v>
      </c>
      <c r="AJ68" s="229">
        <f t="shared" si="8"/>
        <v>0</v>
      </c>
      <c r="AK68" s="211">
        <f t="shared" si="9"/>
        <v>0</v>
      </c>
      <c r="AL68" s="197"/>
      <c r="AM68" s="230">
        <f>($L68*Costos!$L$4)</f>
        <v>0</v>
      </c>
      <c r="AN68" s="228">
        <f>($L68*Costos!$I$4)</f>
        <v>0</v>
      </c>
      <c r="AO68" s="227">
        <f>($L68*Costos!$L$5)</f>
        <v>0</v>
      </c>
      <c r="AP68" s="228">
        <f>($L68*Costos!$I$5)</f>
        <v>0</v>
      </c>
      <c r="AQ68" s="227">
        <f>($L68*Costos!$L$6)</f>
        <v>0</v>
      </c>
      <c r="AR68" s="228">
        <f>($L68*Costos!$I$6)</f>
        <v>0</v>
      </c>
      <c r="AS68" s="227">
        <f>($L68*Costos!$L$7)</f>
        <v>0</v>
      </c>
      <c r="AT68" s="228">
        <f>($L68*Costos!$I$7)</f>
        <v>0</v>
      </c>
      <c r="AU68" s="227">
        <f>($L68*Costos!$L$8)</f>
        <v>0</v>
      </c>
      <c r="AV68" s="228">
        <f>($L68*Costos!$I$8)</f>
        <v>0</v>
      </c>
      <c r="AW68" s="229">
        <f t="shared" si="10"/>
        <v>0</v>
      </c>
      <c r="AX68" s="211">
        <f t="shared" si="11"/>
        <v>0</v>
      </c>
    </row>
    <row r="69" spans="2:52" x14ac:dyDescent="0.25">
      <c r="B69" s="79"/>
      <c r="C69" s="86"/>
      <c r="D69" s="86"/>
      <c r="E69" s="86"/>
      <c r="F69" s="86"/>
      <c r="G69" s="86"/>
      <c r="H69" s="85"/>
      <c r="I69" s="85"/>
      <c r="J69" s="111"/>
      <c r="K69" s="111"/>
      <c r="L69" s="232"/>
      <c r="M69" s="227">
        <f>($J69*Costos!$J$4)</f>
        <v>0</v>
      </c>
      <c r="N69" s="228">
        <f>($J69*Costos!$G$4)</f>
        <v>0</v>
      </c>
      <c r="O69" s="227">
        <f>($J69*Costos!$J$5)</f>
        <v>0</v>
      </c>
      <c r="P69" s="228">
        <f>($J69*Costos!$G$5)</f>
        <v>0</v>
      </c>
      <c r="Q69" s="227">
        <f>($J69*Costos!$J$6)</f>
        <v>0</v>
      </c>
      <c r="R69" s="228">
        <f>($J69*Costos!$G$6)</f>
        <v>0</v>
      </c>
      <c r="S69" s="227">
        <f>($J69*Costos!$J$7)</f>
        <v>0</v>
      </c>
      <c r="T69" s="228">
        <f>($J69*Costos!$G$7)</f>
        <v>0</v>
      </c>
      <c r="U69" s="227">
        <f>($J69*Costos!$J$8)</f>
        <v>0</v>
      </c>
      <c r="V69" s="228">
        <f>($J69*Costos!$G$8)</f>
        <v>0</v>
      </c>
      <c r="W69" s="229">
        <f t="shared" si="6"/>
        <v>0</v>
      </c>
      <c r="X69" s="211">
        <f t="shared" si="7"/>
        <v>0</v>
      </c>
      <c r="Y69" s="197"/>
      <c r="Z69" s="227">
        <f>($K69*Costos!$K$4)</f>
        <v>0</v>
      </c>
      <c r="AA69" s="228">
        <f>($K69*Costos!$H$4)</f>
        <v>0</v>
      </c>
      <c r="AB69" s="227">
        <f>($K69*Costos!$K$5)</f>
        <v>0</v>
      </c>
      <c r="AC69" s="228">
        <f>($K69*Costos!$H$5)</f>
        <v>0</v>
      </c>
      <c r="AD69" s="227">
        <f>($K69*Costos!$K$6)</f>
        <v>0</v>
      </c>
      <c r="AE69" s="228">
        <f>($K69*Costos!$H$6)</f>
        <v>0</v>
      </c>
      <c r="AF69" s="227">
        <f>($K69*Costos!$K$7)</f>
        <v>0</v>
      </c>
      <c r="AG69" s="228">
        <f>($K69*Costos!$H$7)</f>
        <v>0</v>
      </c>
      <c r="AH69" s="227">
        <f>($K69*Costos!$K$8)</f>
        <v>0</v>
      </c>
      <c r="AI69" s="228">
        <f>($K69*Costos!$H$8)</f>
        <v>0</v>
      </c>
      <c r="AJ69" s="229">
        <f t="shared" si="8"/>
        <v>0</v>
      </c>
      <c r="AK69" s="211">
        <f t="shared" si="9"/>
        <v>0</v>
      </c>
      <c r="AL69" s="197"/>
      <c r="AM69" s="230">
        <f>($L69*Costos!$L$4)</f>
        <v>0</v>
      </c>
      <c r="AN69" s="228">
        <f>($L69*Costos!$I$4)</f>
        <v>0</v>
      </c>
      <c r="AO69" s="227">
        <f>($L69*Costos!$L$5)</f>
        <v>0</v>
      </c>
      <c r="AP69" s="228">
        <f>($L69*Costos!$I$5)</f>
        <v>0</v>
      </c>
      <c r="AQ69" s="227">
        <f>($L69*Costos!$L$6)</f>
        <v>0</v>
      </c>
      <c r="AR69" s="228">
        <f>($L69*Costos!$I$6)</f>
        <v>0</v>
      </c>
      <c r="AS69" s="227">
        <f>($L69*Costos!$L$7)</f>
        <v>0</v>
      </c>
      <c r="AT69" s="228">
        <f>($L69*Costos!$I$7)</f>
        <v>0</v>
      </c>
      <c r="AU69" s="227">
        <f>($L69*Costos!$L$8)</f>
        <v>0</v>
      </c>
      <c r="AV69" s="228">
        <f>($L69*Costos!$I$8)</f>
        <v>0</v>
      </c>
      <c r="AW69" s="229">
        <f t="shared" si="10"/>
        <v>0</v>
      </c>
      <c r="AX69" s="211">
        <f t="shared" si="11"/>
        <v>0</v>
      </c>
    </row>
    <row r="70" spans="2:52" x14ac:dyDescent="0.25">
      <c r="B70" s="250" t="s">
        <v>148</v>
      </c>
      <c r="C70" s="143"/>
      <c r="D70" s="143" t="s">
        <v>67</v>
      </c>
      <c r="E70" s="143"/>
      <c r="F70" s="143"/>
      <c r="G70" s="143"/>
      <c r="H70" s="142"/>
      <c r="I70" s="142"/>
      <c r="J70" s="251"/>
      <c r="K70" s="252">
        <f>J70*0.2</f>
        <v>0</v>
      </c>
      <c r="L70" s="252"/>
      <c r="M70" s="227">
        <f>($J70*Costos!$J$4)</f>
        <v>0</v>
      </c>
      <c r="N70" s="228">
        <f>($J70*Costos!$G$4)</f>
        <v>0</v>
      </c>
      <c r="O70" s="227">
        <f>($J70*Costos!$J$5)</f>
        <v>0</v>
      </c>
      <c r="P70" s="228">
        <f>($J70*Costos!$G$5)</f>
        <v>0</v>
      </c>
      <c r="Q70" s="227">
        <f>($J70*Costos!$J$6)</f>
        <v>0</v>
      </c>
      <c r="R70" s="228">
        <f>($J70*Costos!$G$6)</f>
        <v>0</v>
      </c>
      <c r="S70" s="227">
        <f>($J70*Costos!$J$7)</f>
        <v>0</v>
      </c>
      <c r="T70" s="228">
        <f>($J70*Costos!$G$7)</f>
        <v>0</v>
      </c>
      <c r="U70" s="227">
        <f>($J70*Costos!$J$8)</f>
        <v>0</v>
      </c>
      <c r="V70" s="228">
        <f>($J70*Costos!$G$8)</f>
        <v>0</v>
      </c>
      <c r="W70" s="229">
        <f t="shared" si="6"/>
        <v>0</v>
      </c>
      <c r="X70" s="211">
        <f t="shared" si="7"/>
        <v>0</v>
      </c>
      <c r="Y70" s="197"/>
      <c r="Z70" s="227">
        <f>($K70*Costos!$K$4)</f>
        <v>0</v>
      </c>
      <c r="AA70" s="228">
        <f>($K70*Costos!$H$4)</f>
        <v>0</v>
      </c>
      <c r="AB70" s="227">
        <f>($K70*Costos!$K$5)</f>
        <v>0</v>
      </c>
      <c r="AC70" s="228">
        <f>($K70*Costos!$H$5)</f>
        <v>0</v>
      </c>
      <c r="AD70" s="227">
        <f>($K70*Costos!$K$6)</f>
        <v>0</v>
      </c>
      <c r="AE70" s="228">
        <f>($K70*Costos!$H$6)</f>
        <v>0</v>
      </c>
      <c r="AF70" s="227">
        <f>($K70*Costos!$K$7)</f>
        <v>0</v>
      </c>
      <c r="AG70" s="228">
        <f>($K70*Costos!$H$7)</f>
        <v>0</v>
      </c>
      <c r="AH70" s="227">
        <f>($K70*Costos!$K$8)</f>
        <v>0</v>
      </c>
      <c r="AI70" s="228">
        <f>($K70*Costos!$H$8)</f>
        <v>0</v>
      </c>
      <c r="AJ70" s="229">
        <f t="shared" si="8"/>
        <v>0</v>
      </c>
      <c r="AK70" s="211">
        <f t="shared" si="9"/>
        <v>0</v>
      </c>
      <c r="AL70" s="197"/>
      <c r="AM70" s="230">
        <f>($L70*Costos!$L$4)</f>
        <v>0</v>
      </c>
      <c r="AN70" s="228">
        <f>($L70*Costos!$I$4)</f>
        <v>0</v>
      </c>
      <c r="AO70" s="227">
        <f>($L70*Costos!$L$5)</f>
        <v>0</v>
      </c>
      <c r="AP70" s="228">
        <f>($L70*Costos!$I$5)</f>
        <v>0</v>
      </c>
      <c r="AQ70" s="227">
        <f>($L70*Costos!$L$6)</f>
        <v>0</v>
      </c>
      <c r="AR70" s="228">
        <f>($L70*Costos!$I$6)</f>
        <v>0</v>
      </c>
      <c r="AS70" s="227">
        <f>($L70*Costos!$L$7)</f>
        <v>0</v>
      </c>
      <c r="AT70" s="228">
        <f>($L70*Costos!$I$7)</f>
        <v>0</v>
      </c>
      <c r="AU70" s="227">
        <f>($L70*Costos!$L$8)</f>
        <v>0</v>
      </c>
      <c r="AV70" s="228">
        <f>($L70*Costos!$I$8)</f>
        <v>0</v>
      </c>
      <c r="AW70" s="229">
        <f t="shared" si="10"/>
        <v>0</v>
      </c>
      <c r="AX70" s="211">
        <f t="shared" si="11"/>
        <v>0</v>
      </c>
    </row>
    <row r="71" spans="2:52" ht="15.75" customHeight="1" x14ac:dyDescent="0.25">
      <c r="B71" s="253" t="s">
        <v>93</v>
      </c>
      <c r="C71" s="254"/>
      <c r="D71" s="254"/>
      <c r="E71" s="254"/>
      <c r="F71" s="254"/>
      <c r="G71" s="254"/>
      <c r="H71" s="255"/>
      <c r="I71" s="255"/>
      <c r="J71" s="256">
        <f>SUM(J8:J70)*0.1</f>
        <v>2.3000000000000003</v>
      </c>
      <c r="K71" s="256">
        <f>SUM(K8:K70)*0.1</f>
        <v>0</v>
      </c>
      <c r="L71" s="256">
        <f>SUM(L8:L70)*0.1</f>
        <v>0</v>
      </c>
      <c r="M71" s="257">
        <f>($J71*Costos!$J$4)</f>
        <v>39.9906015037594</v>
      </c>
      <c r="N71" s="257">
        <f>($J71*Costos!$G$4)</f>
        <v>31.992481203007522</v>
      </c>
      <c r="O71" s="257">
        <f>($J71*Costos!$J$5)</f>
        <v>66.651002506265669</v>
      </c>
      <c r="P71" s="257">
        <f>($J71*Costos!$G$5)</f>
        <v>53.320802005012531</v>
      </c>
      <c r="Q71" s="257">
        <f>($J71*Costos!$J$6)</f>
        <v>79.981203007518801</v>
      </c>
      <c r="R71" s="257">
        <f>($J71*Costos!$G$6)</f>
        <v>63.984962406015043</v>
      </c>
      <c r="S71" s="257">
        <f>($J71*Costos!$J$7)</f>
        <v>201.25000000000003</v>
      </c>
      <c r="T71" s="257">
        <f>($J71*Costos!$G$7)</f>
        <v>161.00000000000003</v>
      </c>
      <c r="U71" s="257">
        <f>($J71*Costos!$J$8)</f>
        <v>287.50000000000006</v>
      </c>
      <c r="V71" s="257">
        <f>($J71*Costos!$G$8)</f>
        <v>230.00000000000003</v>
      </c>
      <c r="W71" s="258">
        <f>SUM(W8:W70)*0.1</f>
        <v>66.303258145363415</v>
      </c>
      <c r="X71" s="258">
        <f>SUM(X8:X70)*0.1</f>
        <v>82.879072681704258</v>
      </c>
      <c r="Y71" s="197"/>
      <c r="Z71" s="257">
        <f>($J71*Costos!$J$4)+($K71*Costos!$K$4)</f>
        <v>39.9906015037594</v>
      </c>
      <c r="AA71" s="257">
        <f>($J71*Costos!$G$4)+($K71*Costos!$H$4)</f>
        <v>31.992481203007522</v>
      </c>
      <c r="AB71" s="257">
        <f>($J71*Costos!$J$5)+($K71*Costos!$K$5)</f>
        <v>66.651002506265669</v>
      </c>
      <c r="AC71" s="257">
        <f>($J71*Costos!$G$5)+($K71*Costos!$H$5)</f>
        <v>53.320802005012531</v>
      </c>
      <c r="AD71" s="257">
        <f>($J71*Costos!$J$6)+($K71*Costos!$K$6)</f>
        <v>79.981203007518801</v>
      </c>
      <c r="AE71" s="257">
        <f>($J71*Costos!$G$6)+($K71*Costos!$H$6)</f>
        <v>63.984962406015043</v>
      </c>
      <c r="AF71" s="257">
        <f>($J71*Costos!$J$7)+($K71*Costos!$K$7)</f>
        <v>201.25000000000003</v>
      </c>
      <c r="AG71" s="257">
        <f>($J71*Costos!$G$7)+($K71*Costos!$H$7)</f>
        <v>161.00000000000003</v>
      </c>
      <c r="AH71" s="257">
        <f>($J71*Costos!$J$8)+($K71*Costos!$K$8)</f>
        <v>287.50000000000006</v>
      </c>
      <c r="AI71" s="257">
        <f>($J71*Costos!$G$8)+($K71*Costos!$H$8)</f>
        <v>230.00000000000003</v>
      </c>
      <c r="AJ71" s="258">
        <f>SUM(AJ8:AJ70)*0.1</f>
        <v>0</v>
      </c>
      <c r="AK71" s="258">
        <f>SUM(AK8:AK70)*0.1</f>
        <v>0</v>
      </c>
      <c r="AL71" s="197"/>
      <c r="AM71" s="257">
        <f>($J71*Costos!$J$4)+($L71*Costos!$L$4)</f>
        <v>39.9906015037594</v>
      </c>
      <c r="AN71" s="257">
        <f>($J71*Costos!$G$4)+($K71*Costos!$H$4)</f>
        <v>31.992481203007522</v>
      </c>
      <c r="AO71" s="257">
        <f>($J71*Costos!$J$5)+($K71*Costos!$K$5)</f>
        <v>66.651002506265669</v>
      </c>
      <c r="AP71" s="257">
        <f>($J71*Costos!$G$5)+($K71*Costos!$H$5)</f>
        <v>53.320802005012531</v>
      </c>
      <c r="AQ71" s="257">
        <f>($J71*Costos!$J$6)+($K71*Costos!$K$6)</f>
        <v>79.981203007518801</v>
      </c>
      <c r="AR71" s="257">
        <f>($J71*Costos!$G$6)+($K71*Costos!$H$6)</f>
        <v>63.984962406015043</v>
      </c>
      <c r="AS71" s="257">
        <f>($J71*Costos!$J$7)+($K71*Costos!$K$7)</f>
        <v>201.25000000000003</v>
      </c>
      <c r="AT71" s="257">
        <f>($J71*Costos!$G$7)+($K71*Costos!$H$7)</f>
        <v>161.00000000000003</v>
      </c>
      <c r="AU71" s="257">
        <f>($J71*Costos!$J$8)+($K71*Costos!$K$8)</f>
        <v>287.50000000000006</v>
      </c>
      <c r="AV71" s="257">
        <f>($J71*Costos!$G$8)+($K71*Costos!$H$8)</f>
        <v>230.00000000000003</v>
      </c>
      <c r="AW71" s="258">
        <f>SUM(AW8:AW70)*0.1</f>
        <v>0</v>
      </c>
      <c r="AX71" s="258">
        <f>SUM(AX8:AX70)*0.1</f>
        <v>0</v>
      </c>
      <c r="AY71" s="21"/>
    </row>
    <row r="72" spans="2:52" x14ac:dyDescent="0.25">
      <c r="B72" s="259"/>
      <c r="C72" s="260"/>
      <c r="D72" s="260"/>
      <c r="E72" s="260"/>
      <c r="F72" s="260"/>
      <c r="G72" s="260"/>
      <c r="H72" s="261"/>
      <c r="I72" s="261"/>
      <c r="J72" s="232"/>
      <c r="K72" s="232"/>
      <c r="L72" s="232"/>
      <c r="M72" s="262"/>
      <c r="N72" s="263"/>
      <c r="O72" s="262"/>
      <c r="P72" s="263"/>
      <c r="Q72" s="262"/>
      <c r="R72" s="263"/>
      <c r="S72" s="262"/>
      <c r="T72" s="263"/>
      <c r="U72" s="262"/>
      <c r="V72" s="263"/>
      <c r="W72" s="264"/>
      <c r="X72" s="265"/>
      <c r="Y72" s="197"/>
      <c r="Z72" s="262"/>
      <c r="AA72" s="263"/>
      <c r="AB72" s="262"/>
      <c r="AC72" s="263"/>
      <c r="AD72" s="262"/>
      <c r="AE72" s="263"/>
      <c r="AF72" s="262"/>
      <c r="AG72" s="263"/>
      <c r="AH72" s="262"/>
      <c r="AI72" s="263"/>
      <c r="AJ72" s="264"/>
      <c r="AK72" s="265"/>
      <c r="AL72" s="197"/>
      <c r="AM72" s="266"/>
      <c r="AN72" s="263"/>
      <c r="AO72" s="262"/>
      <c r="AP72" s="263"/>
      <c r="AQ72" s="262"/>
      <c r="AR72" s="263"/>
      <c r="AS72" s="262"/>
      <c r="AT72" s="263"/>
      <c r="AU72" s="262"/>
      <c r="AV72" s="263"/>
      <c r="AW72" s="264"/>
      <c r="AX72" s="265"/>
      <c r="AY72" s="21"/>
    </row>
    <row r="73" spans="2:52" ht="10.5" hidden="1" customHeight="1" x14ac:dyDescent="0.25">
      <c r="B73" s="121"/>
      <c r="C73" s="122"/>
      <c r="D73" s="122"/>
      <c r="E73" s="122"/>
      <c r="F73" s="122"/>
      <c r="G73" s="122"/>
      <c r="H73" s="122"/>
      <c r="I73" s="122"/>
      <c r="J73" s="123"/>
      <c r="K73" s="123"/>
      <c r="L73" s="123"/>
      <c r="M73" s="267"/>
      <c r="N73" s="268"/>
      <c r="O73" s="267"/>
      <c r="P73" s="268"/>
      <c r="Q73" s="267"/>
      <c r="R73" s="268"/>
      <c r="S73" s="267"/>
      <c r="T73" s="268"/>
      <c r="U73" s="267"/>
      <c r="V73" s="268"/>
      <c r="W73" s="269"/>
      <c r="X73" s="270"/>
      <c r="Y73" s="271"/>
      <c r="Z73" s="267"/>
      <c r="AA73" s="268"/>
      <c r="AB73" s="267"/>
      <c r="AC73" s="268"/>
      <c r="AD73" s="267"/>
      <c r="AE73" s="268"/>
      <c r="AF73" s="267"/>
      <c r="AG73" s="268"/>
      <c r="AH73" s="267"/>
      <c r="AI73" s="268"/>
      <c r="AJ73" s="269"/>
      <c r="AK73" s="270"/>
      <c r="AL73" s="197"/>
      <c r="AM73" s="267"/>
      <c r="AN73" s="268"/>
      <c r="AO73" s="267"/>
      <c r="AP73" s="268"/>
      <c r="AQ73" s="267"/>
      <c r="AR73" s="268"/>
      <c r="AS73" s="267"/>
      <c r="AT73" s="268"/>
      <c r="AU73" s="267"/>
      <c r="AV73" s="268"/>
      <c r="AW73" s="269"/>
      <c r="AX73" s="270"/>
      <c r="AY73" s="21"/>
    </row>
    <row r="74" spans="2:52" x14ac:dyDescent="0.25">
      <c r="B74" s="84" t="s">
        <v>95</v>
      </c>
      <c r="C74" s="85"/>
      <c r="D74" s="85" t="s">
        <v>67</v>
      </c>
      <c r="E74" s="85"/>
      <c r="F74" s="85"/>
      <c r="G74" s="85"/>
      <c r="H74" s="86">
        <v>15</v>
      </c>
      <c r="I74" s="85"/>
      <c r="J74" s="87"/>
      <c r="K74" s="87"/>
      <c r="L74" s="87"/>
      <c r="M74" s="272"/>
      <c r="N74" s="273"/>
      <c r="O74" s="272"/>
      <c r="P74" s="273"/>
      <c r="Q74" s="272"/>
      <c r="R74" s="273"/>
      <c r="S74" s="272"/>
      <c r="T74" s="273"/>
      <c r="U74" s="272"/>
      <c r="V74" s="273"/>
      <c r="W74" s="210">
        <f>X74-(((40+70)+10)*H74)*X107</f>
        <v>1440</v>
      </c>
      <c r="X74" s="211">
        <f>((40+70)+10)*H74</f>
        <v>1800</v>
      </c>
      <c r="Y74" s="197"/>
      <c r="Z74" s="272"/>
      <c r="AA74" s="273"/>
      <c r="AB74" s="272"/>
      <c r="AC74" s="273"/>
      <c r="AD74" s="272"/>
      <c r="AE74" s="273"/>
      <c r="AF74" s="272"/>
      <c r="AG74" s="273"/>
      <c r="AH74" s="272"/>
      <c r="AI74" s="273"/>
      <c r="AJ74" s="210">
        <f>((40+70)+10)*U74</f>
        <v>0</v>
      </c>
      <c r="AK74" s="211">
        <f>((40+70)+10)*U74</f>
        <v>0</v>
      </c>
      <c r="AL74" s="197"/>
      <c r="AM74" s="274"/>
      <c r="AN74" s="273"/>
      <c r="AO74" s="272"/>
      <c r="AP74" s="273"/>
      <c r="AQ74" s="272"/>
      <c r="AR74" s="273"/>
      <c r="AS74" s="272"/>
      <c r="AT74" s="273"/>
      <c r="AU74" s="272"/>
      <c r="AV74" s="273"/>
      <c r="AW74" s="210">
        <f>((40+70)+10)*AH74</f>
        <v>0</v>
      </c>
      <c r="AX74" s="211">
        <f>((40+70)+10)*AH74</f>
        <v>0</v>
      </c>
      <c r="AY74" s="21"/>
    </row>
    <row r="75" spans="2:52" x14ac:dyDescent="0.25">
      <c r="B75" s="91" t="s">
        <v>96</v>
      </c>
      <c r="C75" s="92"/>
      <c r="D75" s="92" t="s">
        <v>67</v>
      </c>
      <c r="E75" s="92"/>
      <c r="F75" s="92"/>
      <c r="G75" s="92"/>
      <c r="H75" s="127">
        <v>20</v>
      </c>
      <c r="I75" s="92"/>
      <c r="J75" s="94"/>
      <c r="K75" s="94"/>
      <c r="L75" s="94"/>
      <c r="M75" s="275"/>
      <c r="N75" s="276"/>
      <c r="O75" s="275"/>
      <c r="P75" s="276"/>
      <c r="Q75" s="275"/>
      <c r="R75" s="276"/>
      <c r="S75" s="275"/>
      <c r="T75" s="276"/>
      <c r="U75" s="275"/>
      <c r="V75" s="276"/>
      <c r="W75" s="219">
        <f>H75*200</f>
        <v>4000</v>
      </c>
      <c r="X75" s="220">
        <f>H75*200</f>
        <v>4000</v>
      </c>
      <c r="Y75" s="197"/>
      <c r="Z75" s="275"/>
      <c r="AA75" s="276"/>
      <c r="AB75" s="275"/>
      <c r="AC75" s="276"/>
      <c r="AD75" s="275"/>
      <c r="AE75" s="276"/>
      <c r="AF75" s="275"/>
      <c r="AG75" s="276"/>
      <c r="AH75" s="275"/>
      <c r="AI75" s="276"/>
      <c r="AJ75" s="219">
        <f>U75*200</f>
        <v>0</v>
      </c>
      <c r="AK75" s="220">
        <f>U75*200</f>
        <v>0</v>
      </c>
      <c r="AL75" s="197"/>
      <c r="AM75" s="277"/>
      <c r="AN75" s="276"/>
      <c r="AO75" s="275"/>
      <c r="AP75" s="276"/>
      <c r="AQ75" s="275"/>
      <c r="AR75" s="276"/>
      <c r="AS75" s="275"/>
      <c r="AT75" s="276"/>
      <c r="AU75" s="275"/>
      <c r="AV75" s="276"/>
      <c r="AW75" s="219">
        <f>AH75*200</f>
        <v>0</v>
      </c>
      <c r="AX75" s="220">
        <f>AH75*200</f>
        <v>0</v>
      </c>
      <c r="AY75" s="21"/>
    </row>
    <row r="76" spans="2:52" x14ac:dyDescent="0.25">
      <c r="B76" s="91" t="s">
        <v>149</v>
      </c>
      <c r="C76" s="278"/>
      <c r="D76" s="278"/>
      <c r="E76" s="278"/>
      <c r="F76" s="278"/>
      <c r="G76" s="278"/>
      <c r="H76" s="279"/>
      <c r="I76" s="279"/>
      <c r="J76" s="280">
        <v>2</v>
      </c>
      <c r="K76" s="280">
        <v>2</v>
      </c>
      <c r="L76" s="281"/>
      <c r="M76" s="227"/>
      <c r="N76" s="228"/>
      <c r="O76" s="227"/>
      <c r="P76" s="228"/>
      <c r="Q76" s="227"/>
      <c r="R76" s="228"/>
      <c r="S76" s="227"/>
      <c r="T76" s="228"/>
      <c r="U76" s="227"/>
      <c r="V76" s="228"/>
      <c r="W76" s="229">
        <f>+X76</f>
        <v>20</v>
      </c>
      <c r="X76" s="211">
        <f>J76*K76*5</f>
        <v>20</v>
      </c>
      <c r="Y76" s="282">
        <f>SUM(X4:X76)</f>
        <v>8335.6436036380001</v>
      </c>
      <c r="Z76" s="227"/>
      <c r="AA76" s="228"/>
      <c r="AB76" s="227"/>
      <c r="AC76" s="228"/>
      <c r="AD76" s="227"/>
      <c r="AE76" s="228"/>
      <c r="AF76" s="227"/>
      <c r="AG76" s="228"/>
      <c r="AH76" s="227"/>
      <c r="AI76" s="228"/>
      <c r="AJ76" s="229">
        <f>IF($C76="x",AA76,0)+IF($D76="x",AC76,0)+IF($E76="x",AE76,0)+IF($F76="x",AG76,0)+IF($G76="x",AI76,0)</f>
        <v>0</v>
      </c>
      <c r="AK76" s="211"/>
      <c r="AL76" s="282">
        <f>SUM(AK4:AK75)</f>
        <v>0</v>
      </c>
      <c r="AM76" s="230"/>
      <c r="AN76" s="228"/>
      <c r="AO76" s="227"/>
      <c r="AP76" s="228"/>
      <c r="AQ76" s="227"/>
      <c r="AR76" s="228"/>
      <c r="AS76" s="227"/>
      <c r="AT76" s="228"/>
      <c r="AU76" s="227"/>
      <c r="AV76" s="228"/>
      <c r="AW76" s="229"/>
      <c r="AX76" s="211">
        <f>IF($C76="x",AM76,0)+IF($D76="x",AO76,0)+IF($E76="x",AQ76,0)+IF($F76="x",AS76,0)+IF($G76="x",AU76,0)</f>
        <v>0</v>
      </c>
      <c r="AY76" s="282">
        <f>SUM(AX4:AX75)</f>
        <v>0</v>
      </c>
    </row>
    <row r="77" spans="2:52" x14ac:dyDescent="0.25">
      <c r="B77" s="136" t="s">
        <v>98</v>
      </c>
      <c r="C77" s="107"/>
      <c r="D77" s="107" t="s">
        <v>67</v>
      </c>
      <c r="E77" s="107"/>
      <c r="F77" s="107"/>
      <c r="G77" s="107"/>
      <c r="H77" s="106">
        <v>5</v>
      </c>
      <c r="I77" s="106">
        <v>5</v>
      </c>
      <c r="J77" s="80">
        <f>+$I$77*$H$77*3*0.3</f>
        <v>22.5</v>
      </c>
      <c r="K77" s="80">
        <f>+$I$77*$H$77*3*0.4</f>
        <v>30</v>
      </c>
      <c r="L77" s="80">
        <f>+$I$77*$H$77*3*0.3</f>
        <v>22.5</v>
      </c>
      <c r="M77" s="227">
        <f>($J77*Costos!$J$4)</f>
        <v>391.21240601503757</v>
      </c>
      <c r="N77" s="228">
        <f>($J77*Costos!$G$4)</f>
        <v>312.96992481203006</v>
      </c>
      <c r="O77" s="227">
        <f>($J77*Costos!$J$5)</f>
        <v>652.02067669172925</v>
      </c>
      <c r="P77" s="228">
        <f>($J77*Costos!$G$5)</f>
        <v>521.61654135338347</v>
      </c>
      <c r="Q77" s="227">
        <f>($J77*Costos!$J$6)</f>
        <v>782.42481203007515</v>
      </c>
      <c r="R77" s="228">
        <f>($J77*Costos!$G$6)</f>
        <v>625.93984962406012</v>
      </c>
      <c r="S77" s="227">
        <f>($J77*Costos!$J$7)</f>
        <v>1968.75</v>
      </c>
      <c r="T77" s="228">
        <f>($J77*Costos!$G$7)</f>
        <v>1575</v>
      </c>
      <c r="U77" s="227">
        <f>($J77*Costos!$J$8)</f>
        <v>2812.5</v>
      </c>
      <c r="V77" s="228">
        <f>($J77*Costos!$G$8)</f>
        <v>2250</v>
      </c>
      <c r="W77" s="229">
        <f>IF($C77="x",N77,0)+IF($D77="x",P77,0)+IF($E77="x",R77,0)+IF($F77="x",T77,0)+IF($G77="x",V77,0)</f>
        <v>521.61654135338347</v>
      </c>
      <c r="X77" s="211">
        <f>IF($C77="x",M77,0)+IF($D77="x",O77,0)+IF($E77="x",Q77,0)+IF($F77="x",S77,0)+IF($G77="x",U77,0)</f>
        <v>652.02067669172925</v>
      </c>
      <c r="Y77" s="283"/>
      <c r="Z77" s="227">
        <f>($K77*Costos!$K$4)</f>
        <v>782.42481203007515</v>
      </c>
      <c r="AA77" s="228">
        <f>($K77*Costos!$H$4)</f>
        <v>625.93984962406023</v>
      </c>
      <c r="AB77" s="227">
        <f>($K77*Costos!$K$5)</f>
        <v>1304.0413533834585</v>
      </c>
      <c r="AC77" s="228">
        <f>($K77*Costos!$H$5)</f>
        <v>1043.2330827067669</v>
      </c>
      <c r="AD77" s="227">
        <f>($K77*Costos!$K$6)</f>
        <v>1564.8496240601503</v>
      </c>
      <c r="AE77" s="228">
        <f>($K77*Costos!$H$6)</f>
        <v>1251.8796992481205</v>
      </c>
      <c r="AF77" s="227">
        <f>($K77*Costos!$K$7)</f>
        <v>2625</v>
      </c>
      <c r="AG77" s="228">
        <f>($K77*Costos!$H$7)</f>
        <v>2100</v>
      </c>
      <c r="AH77" s="227">
        <f>($K77*Costos!$K$8)</f>
        <v>3750</v>
      </c>
      <c r="AI77" s="228">
        <f>($K77*Costos!$H$8)</f>
        <v>3000</v>
      </c>
      <c r="AJ77" s="229">
        <f>IF($C77="x",AA77,0)+IF($D77="x",AC77,0)+IF($E77="x",AE77,0)+IF($F77="x",AG77,0)+IF($G77="x",AI77,0)</f>
        <v>1043.2330827067669</v>
      </c>
      <c r="AK77" s="211">
        <f>IF($C77="x",Z77,0)+IF($D77="x",AB77,0)+IF($E77="x",AD77,0)+IF($F77="x",AF77,0)+IF($G77="x",AH77,0)</f>
        <v>1304.0413533834585</v>
      </c>
      <c r="AL77" s="197"/>
      <c r="AM77" s="230">
        <f>($L77*Costos!$L$4)</f>
        <v>782.42481203007515</v>
      </c>
      <c r="AN77" s="228">
        <f>($L77*Costos!$I$4)</f>
        <v>625.93984962406012</v>
      </c>
      <c r="AO77" s="227">
        <f>($L77*Costos!$L$5)</f>
        <v>1304.0413533834585</v>
      </c>
      <c r="AP77" s="228">
        <f>($L77*Costos!$I$5)</f>
        <v>1043.2330827067669</v>
      </c>
      <c r="AQ77" s="227">
        <f>($L77*Costos!$L$6)</f>
        <v>1564.8496240601503</v>
      </c>
      <c r="AR77" s="228">
        <f>($L77*Costos!$I$6)</f>
        <v>1251.8796992481202</v>
      </c>
      <c r="AS77" s="227">
        <f>($L77*Costos!$L$7)</f>
        <v>3937.5</v>
      </c>
      <c r="AT77" s="228">
        <f>($L77*Costos!$I$7)</f>
        <v>3150</v>
      </c>
      <c r="AU77" s="227">
        <f>($L77*Costos!$L$8)</f>
        <v>5625</v>
      </c>
      <c r="AV77" s="228">
        <f>($L77*Costos!$I$8)</f>
        <v>4500</v>
      </c>
      <c r="AW77" s="229">
        <f>IF($C77="x",AN77,0)+IF($D77="x",AP77,0)+IF($E77="x",AR77,0)+IF($F77="x",AT77,0)+IF($G77="x",AV77,0)</f>
        <v>1043.2330827067669</v>
      </c>
      <c r="AX77" s="211">
        <f>IF($C77="x",AM77,0)+IF($D77="x",AO77,0)+IF($E77="x",AQ77,0)+IF($F77="x",AS77,0)+IF($G77="x",AU77,0)</f>
        <v>1304.0413533834585</v>
      </c>
      <c r="AY77" s="21">
        <v>12</v>
      </c>
      <c r="AZ77">
        <v>3</v>
      </c>
    </row>
    <row r="78" spans="2:52" hidden="1" x14ac:dyDescent="0.25">
      <c r="B78" s="84" t="s">
        <v>104</v>
      </c>
      <c r="C78" s="85"/>
      <c r="D78" s="85"/>
      <c r="E78" s="85"/>
      <c r="F78" s="85"/>
      <c r="G78" s="85"/>
      <c r="H78" s="86"/>
      <c r="I78" s="85"/>
      <c r="J78" s="87"/>
      <c r="K78" s="87"/>
      <c r="L78" s="87"/>
      <c r="M78" s="227">
        <f>($J78*Costos!$J$4)</f>
        <v>0</v>
      </c>
      <c r="N78" s="228">
        <f>($J78*Costos!$G$4)</f>
        <v>0</v>
      </c>
      <c r="O78" s="227">
        <f>($J78*Costos!$J$5)</f>
        <v>0</v>
      </c>
      <c r="P78" s="228">
        <f>($J78*Costos!$G$5)</f>
        <v>0</v>
      </c>
      <c r="Q78" s="227">
        <f>($J78*Costos!$J$6)</f>
        <v>0</v>
      </c>
      <c r="R78" s="228">
        <f>($J78*Costos!$G$6)</f>
        <v>0</v>
      </c>
      <c r="S78" s="227">
        <f>($J78*Costos!$J$7)</f>
        <v>0</v>
      </c>
      <c r="T78" s="228">
        <f>($J78*Costos!$G$7)</f>
        <v>0</v>
      </c>
      <c r="U78" s="227">
        <f>($J78*Costos!$J$8)</f>
        <v>0</v>
      </c>
      <c r="V78" s="228">
        <f>($J78*Costos!$G$8)</f>
        <v>0</v>
      </c>
      <c r="W78" s="229">
        <f>IF($C78="x",N78,0)+IF($D78="x",P78,0)+IF($E78="x",R78,0)+IF($F78="x",T78,0)+IF($G78="x",V78,0)</f>
        <v>0</v>
      </c>
      <c r="X78" s="211">
        <f>IF($C78="x",M78,0)+IF($D78="x",O78,0)+IF($E78="x",Q78,0)+IF($F78="x",S78,0)+IF($G78="x",U78,0)</f>
        <v>0</v>
      </c>
      <c r="Y78" s="283"/>
      <c r="Z78" s="227">
        <f>($K78*Costos!$K$4)</f>
        <v>0</v>
      </c>
      <c r="AA78" s="228">
        <f>($K78*Costos!$H$4)</f>
        <v>0</v>
      </c>
      <c r="AB78" s="227">
        <f>($K78*Costos!$K$5)</f>
        <v>0</v>
      </c>
      <c r="AC78" s="228">
        <f>($K78*Costos!$H$5)</f>
        <v>0</v>
      </c>
      <c r="AD78" s="227">
        <f>($K78*Costos!$K$6)</f>
        <v>0</v>
      </c>
      <c r="AE78" s="228">
        <f>($K78*Costos!$H$6)</f>
        <v>0</v>
      </c>
      <c r="AF78" s="227">
        <f>($K78*Costos!$K$7)</f>
        <v>0</v>
      </c>
      <c r="AG78" s="228">
        <f>($K78*Costos!$H$7)</f>
        <v>0</v>
      </c>
      <c r="AH78" s="227">
        <f>($K78*Costos!$K$8)</f>
        <v>0</v>
      </c>
      <c r="AI78" s="228">
        <f>($K78*Costos!$H$8)</f>
        <v>0</v>
      </c>
      <c r="AJ78" s="229">
        <f>IF($C78="x",AA78,0)+IF($D78="x",AC78,0)+IF($E78="x",AE78,0)+IF($F78="x",AG78,0)+IF($G78="x",AI78,0)</f>
        <v>0</v>
      </c>
      <c r="AK78" s="211">
        <f>IF($C78="x",Z78,0)+IF($D78="x",AB78,0)+IF($E78="x",AD78,0)+IF($F78="x",AF78,0)+IF($G78="x",AH78,0)</f>
        <v>0</v>
      </c>
      <c r="AL78" s="197"/>
      <c r="AM78" s="230">
        <f>($L78*Costos!$L$4)</f>
        <v>0</v>
      </c>
      <c r="AN78" s="228">
        <f>($L78*Costos!$I$4)</f>
        <v>0</v>
      </c>
      <c r="AO78" s="227">
        <f>($L78*Costos!$L$5)</f>
        <v>0</v>
      </c>
      <c r="AP78" s="228">
        <f>($L78*Costos!$I$5)</f>
        <v>0</v>
      </c>
      <c r="AQ78" s="227">
        <f>($L78*Costos!$L$6)</f>
        <v>0</v>
      </c>
      <c r="AR78" s="228">
        <f>($L78*Costos!$I$6)</f>
        <v>0</v>
      </c>
      <c r="AS78" s="227">
        <f>($L78*Costos!$L$7)</f>
        <v>0</v>
      </c>
      <c r="AT78" s="228">
        <f>($L78*Costos!$I$7)</f>
        <v>0</v>
      </c>
      <c r="AU78" s="227">
        <f>($L78*Costos!$L$8)</f>
        <v>0</v>
      </c>
      <c r="AV78" s="228">
        <f>($L78*Costos!$I$8)</f>
        <v>0</v>
      </c>
      <c r="AW78" s="229">
        <f>IF($C78="x",AN78,0)+IF($D78="x",AP78,0)+IF($E78="x",AR78,0)+IF($F78="x",AT78,0)+IF($G78="x",AV78,0)</f>
        <v>0</v>
      </c>
      <c r="AX78" s="211">
        <f>IF($C78="x",AM78,0)+IF($D78="x",AO78,0)+IF($E78="x",AQ78,0)+IF($F78="x",AS78,0)+IF($G78="x",AU78,0)</f>
        <v>0</v>
      </c>
      <c r="AY78" s="21"/>
    </row>
    <row r="79" spans="2:52" x14ac:dyDescent="0.25">
      <c r="B79" s="84" t="s">
        <v>150</v>
      </c>
      <c r="C79" s="85"/>
      <c r="D79" s="107" t="s">
        <v>67</v>
      </c>
      <c r="E79" s="21"/>
      <c r="F79" s="85"/>
      <c r="G79" s="85"/>
      <c r="H79" s="86">
        <v>220</v>
      </c>
      <c r="I79" s="85"/>
      <c r="J79" s="87">
        <f>+H79*30%</f>
        <v>66</v>
      </c>
      <c r="K79" s="87">
        <f>+H79*30%</f>
        <v>66</v>
      </c>
      <c r="L79" s="87">
        <f>+H79*40%</f>
        <v>88</v>
      </c>
      <c r="M79" s="227">
        <f>($J79*Costos!$J$4)</f>
        <v>1147.5563909774437</v>
      </c>
      <c r="N79" s="228">
        <f>($J79*Costos!$G$4)</f>
        <v>918.04511278195491</v>
      </c>
      <c r="O79" s="227">
        <f>($J79*Costos!$J$5)</f>
        <v>1912.5939849624058</v>
      </c>
      <c r="P79" s="228">
        <f>($J79*Costos!$G$5)</f>
        <v>1530.0751879699246</v>
      </c>
      <c r="Q79" s="227">
        <f>($J79*Costos!$J$6)</f>
        <v>2295.1127819548874</v>
      </c>
      <c r="R79" s="228">
        <f>($J79*Costos!$G$6)</f>
        <v>1836.0902255639098</v>
      </c>
      <c r="S79" s="227">
        <f>($J79*Costos!$J$7)</f>
        <v>5775</v>
      </c>
      <c r="T79" s="228">
        <f>($J79*Costos!$G$7)</f>
        <v>4620</v>
      </c>
      <c r="U79" s="227">
        <f>($J79*Costos!$J$8)</f>
        <v>8250</v>
      </c>
      <c r="V79" s="228">
        <f>($J79*Costos!$G$8)</f>
        <v>6600</v>
      </c>
      <c r="W79" s="229">
        <f>IF($C79="x",N79,0)+IF($D79="x",P79,0)+IF($E79="x",R79,0)+IF($F79="x",T79,0)+IF($G79="x",V79,0)</f>
        <v>1530.0751879699246</v>
      </c>
      <c r="X79" s="211">
        <f>IF($C79="x",M79,0)+IF($D79="x",O79,0)+IF($E79="x",Q79,0)+IF($F79="x",S79,0)+IF($G79="x",U79,0)</f>
        <v>1912.5939849624058</v>
      </c>
      <c r="Y79" s="283"/>
      <c r="Z79" s="227">
        <f>($K79*Costos!$K$4)</f>
        <v>1721.3345864661653</v>
      </c>
      <c r="AA79" s="228">
        <f>($K79*Costos!$H$4)</f>
        <v>1377.0676691729325</v>
      </c>
      <c r="AB79" s="227">
        <f>($K79*Costos!$K$5)</f>
        <v>2868.8909774436088</v>
      </c>
      <c r="AC79" s="228">
        <f>($K79*Costos!$H$5)</f>
        <v>2295.1127819548874</v>
      </c>
      <c r="AD79" s="227">
        <f>($K79*Costos!$K$6)</f>
        <v>3442.6691729323306</v>
      </c>
      <c r="AE79" s="228">
        <f>($K79*Costos!$H$6)</f>
        <v>2754.135338345865</v>
      </c>
      <c r="AF79" s="227">
        <f>($K79*Costos!$K$7)</f>
        <v>5775</v>
      </c>
      <c r="AG79" s="228">
        <f>($K79*Costos!$H$7)</f>
        <v>4620</v>
      </c>
      <c r="AH79" s="227">
        <f>($K79*Costos!$K$8)</f>
        <v>8250</v>
      </c>
      <c r="AI79" s="228">
        <f>($K79*Costos!$H$8)</f>
        <v>6600</v>
      </c>
      <c r="AJ79" s="229">
        <f>IF($C79="x",AA79,0)+IF($D79="x",AC79,0)+IF($E79="x",AE79,0)+IF($F79="x",AG79,0)+IF($G79="x",AI79,0)</f>
        <v>2295.1127819548874</v>
      </c>
      <c r="AK79" s="211">
        <f>IF($C79="x",Z79,0)+IF($D79="x",AB79,0)+IF($E79="x",AD79,0)+IF($F79="x",AF79,0)+IF($G79="x",AH79,0)</f>
        <v>2868.8909774436088</v>
      </c>
      <c r="AL79" s="197"/>
      <c r="AM79" s="230">
        <f>($L79*Costos!$L$4)</f>
        <v>3060.1503759398497</v>
      </c>
      <c r="AN79" s="228">
        <f>($L79*Costos!$I$4)</f>
        <v>2448.1203007518798</v>
      </c>
      <c r="AO79" s="227">
        <f>($L79*Costos!$L$5)</f>
        <v>5100.250626566416</v>
      </c>
      <c r="AP79" s="228">
        <f>($L79*Costos!$I$5)</f>
        <v>4080.2005012531326</v>
      </c>
      <c r="AQ79" s="227">
        <f>($L79*Costos!$L$6)</f>
        <v>6120.3007518796994</v>
      </c>
      <c r="AR79" s="228">
        <f>($L79*Costos!$I$6)</f>
        <v>4896.2406015037595</v>
      </c>
      <c r="AS79" s="227">
        <f>($L79*Costos!$L$7)</f>
        <v>15400</v>
      </c>
      <c r="AT79" s="228">
        <f>($L79*Costos!$I$7)</f>
        <v>12320</v>
      </c>
      <c r="AU79" s="227">
        <f>($L79*Costos!$L$8)</f>
        <v>22000</v>
      </c>
      <c r="AV79" s="228">
        <f>($L79*Costos!$I$8)</f>
        <v>17600</v>
      </c>
      <c r="AW79" s="229">
        <f>IF($C79="x",AN79,0)+IF($D79="x",AP79,0)+IF($E79="x",AR79,0)+IF($F79="x",AT79,0)+IF($G79="x",AV79,0)</f>
        <v>4080.2005012531326</v>
      </c>
      <c r="AX79" s="211">
        <f>IF($C79="x",AM79,0)+IF($D79="x",AO79,0)+IF($E79="x",AQ79,0)+IF($F79="x",AS79,0)+IF($G79="x",AU79,0)</f>
        <v>5100.250626566416</v>
      </c>
      <c r="AY79" s="21">
        <v>30</v>
      </c>
    </row>
    <row r="80" spans="2:52" x14ac:dyDescent="0.25">
      <c r="B80" s="137" t="s">
        <v>151</v>
      </c>
      <c r="C80" s="118"/>
      <c r="D80" s="107" t="s">
        <v>67</v>
      </c>
      <c r="E80" s="118"/>
      <c r="F80" s="118"/>
      <c r="G80" s="118"/>
      <c r="H80" s="117">
        <v>8</v>
      </c>
      <c r="I80" s="117">
        <v>5</v>
      </c>
      <c r="J80" s="212"/>
      <c r="K80" s="138">
        <f>+$I$80*$H$80*0.5</f>
        <v>20</v>
      </c>
      <c r="L80" s="138">
        <f>+$I$80*$H$80*0.5</f>
        <v>20</v>
      </c>
      <c r="M80" s="284"/>
      <c r="N80" s="285"/>
      <c r="O80" s="284"/>
      <c r="P80" s="285"/>
      <c r="Q80" s="284"/>
      <c r="R80" s="285"/>
      <c r="S80" s="284"/>
      <c r="T80" s="285"/>
      <c r="U80" s="284"/>
      <c r="V80" s="285"/>
      <c r="W80" s="286"/>
      <c r="X80" s="287"/>
      <c r="Y80" s="283"/>
      <c r="Z80" s="227">
        <f>($K80*Costos!$K$4)</f>
        <v>521.61654135338347</v>
      </c>
      <c r="AA80" s="228">
        <f>($K80*Costos!$H$4)</f>
        <v>417.29323308270682</v>
      </c>
      <c r="AB80" s="227">
        <f>($K80*Costos!$K$5)</f>
        <v>869.36090225563908</v>
      </c>
      <c r="AC80" s="228">
        <f>($K80*Costos!$H$5)</f>
        <v>695.48872180451121</v>
      </c>
      <c r="AD80" s="227">
        <f>($K80*Costos!$K$6)</f>
        <v>1043.2330827067669</v>
      </c>
      <c r="AE80" s="228">
        <f>($K80*Costos!$H$6)</f>
        <v>834.58646616541364</v>
      </c>
      <c r="AF80" s="227">
        <f>($K80*Costos!$K$7)</f>
        <v>1750</v>
      </c>
      <c r="AG80" s="228">
        <f>($K80*Costos!$H$7)</f>
        <v>1400</v>
      </c>
      <c r="AH80" s="227">
        <f>($K80*Costos!$K$8)</f>
        <v>2500</v>
      </c>
      <c r="AI80" s="228">
        <f>($K80*Costos!$H$8)</f>
        <v>2000</v>
      </c>
      <c r="AJ80" s="229">
        <f>IF($C80="x",AA80,0)+IF($D80="x",AC80,0)+IF($E80="x",AE80,0)+IF($F80="x",AG80,0)+IF($G80="x",AI80,0)</f>
        <v>695.48872180451121</v>
      </c>
      <c r="AK80" s="211">
        <f>IF($C80="x",Z80,0)+IF($D80="x",AB80,0)+IF($E80="x",AD80,0)+IF($F80="x",AF80,0)+IF($G80="x",AH80,0)</f>
        <v>869.36090225563908</v>
      </c>
      <c r="AL80" s="197"/>
      <c r="AM80" s="230">
        <f>($L80*Costos!$L$4)</f>
        <v>695.48872180451121</v>
      </c>
      <c r="AN80" s="228">
        <f>($L80*Costos!$I$4)</f>
        <v>556.39097744360902</v>
      </c>
      <c r="AO80" s="227">
        <f>($L80*Costos!$L$5)</f>
        <v>1159.1478696741854</v>
      </c>
      <c r="AP80" s="228">
        <f>($L80*Costos!$I$5)</f>
        <v>927.31829573934829</v>
      </c>
      <c r="AQ80" s="227">
        <f>($L80*Costos!$L$6)</f>
        <v>1390.9774436090224</v>
      </c>
      <c r="AR80" s="228">
        <f>($L80*Costos!$I$6)</f>
        <v>1112.781954887218</v>
      </c>
      <c r="AS80" s="227">
        <f>($L80*Costos!$L$7)</f>
        <v>3500</v>
      </c>
      <c r="AT80" s="228">
        <f>($L80*Costos!$I$7)</f>
        <v>2800</v>
      </c>
      <c r="AU80" s="227">
        <f>($L80*Costos!$L$8)</f>
        <v>5000</v>
      </c>
      <c r="AV80" s="228">
        <f>($L80*Costos!$I$8)</f>
        <v>4000</v>
      </c>
      <c r="AW80" s="229">
        <f>IF($C80="x",AN80,0)+IF($D80="x",AP80,0)+IF($E80="x",AR80,0)+IF($F80="x",AT80,0)+IF($G80="x",AV80,0)</f>
        <v>927.31829573934829</v>
      </c>
      <c r="AX80" s="211">
        <f>IF($C80="x",AM80,0)+IF($D80="x",AO80,0)+IF($E80="x",AQ80,0)+IF($F80="x",AS80,0)+IF($G80="x",AU80,0)</f>
        <v>1159.1478696741854</v>
      </c>
    </row>
    <row r="81" spans="1:53" x14ac:dyDescent="0.25">
      <c r="B81" s="141" t="s">
        <v>152</v>
      </c>
      <c r="C81" s="142"/>
      <c r="D81" s="142"/>
      <c r="E81" s="142"/>
      <c r="F81" s="142"/>
      <c r="G81" s="142"/>
      <c r="H81" s="288">
        <f>+H80*0.5</f>
        <v>4</v>
      </c>
      <c r="I81" s="144"/>
      <c r="J81" s="145"/>
      <c r="K81" s="145"/>
      <c r="L81" s="145"/>
      <c r="M81" s="289">
        <v>20</v>
      </c>
      <c r="N81" s="290">
        <v>20</v>
      </c>
      <c r="O81" s="291"/>
      <c r="P81" s="292"/>
      <c r="Q81" s="291"/>
      <c r="R81" s="292"/>
      <c r="S81" s="291"/>
      <c r="T81" s="292"/>
      <c r="U81" s="291"/>
      <c r="V81" s="292"/>
      <c r="W81" s="293">
        <f>$H$81*$M$81</f>
        <v>80</v>
      </c>
      <c r="X81" s="294">
        <f>$H$81*$M$81</f>
        <v>80</v>
      </c>
      <c r="Y81" s="295">
        <f>SUM(X77:X81)</f>
        <v>2644.614661654135</v>
      </c>
      <c r="Z81" s="289"/>
      <c r="AA81" s="290"/>
      <c r="AB81" s="291"/>
      <c r="AC81" s="292"/>
      <c r="AD81" s="291"/>
      <c r="AE81" s="292"/>
      <c r="AF81" s="291"/>
      <c r="AG81" s="292"/>
      <c r="AH81" s="291"/>
      <c r="AI81" s="292"/>
      <c r="AJ81" s="293"/>
      <c r="AK81" s="294">
        <f>$H$81*$M$81</f>
        <v>80</v>
      </c>
      <c r="AL81" s="197"/>
      <c r="AM81" s="296"/>
      <c r="AN81" s="290"/>
      <c r="AO81" s="291"/>
      <c r="AP81" s="292"/>
      <c r="AQ81" s="291"/>
      <c r="AR81" s="292"/>
      <c r="AS81" s="291"/>
      <c r="AT81" s="292"/>
      <c r="AU81" s="291"/>
      <c r="AV81" s="292"/>
      <c r="AW81" s="293"/>
      <c r="AX81" s="294">
        <f>$H$81*$M$81</f>
        <v>80</v>
      </c>
    </row>
    <row r="82" spans="1:53" x14ac:dyDescent="0.25">
      <c r="B82" s="136" t="s">
        <v>153</v>
      </c>
      <c r="C82" s="107"/>
      <c r="D82" s="107"/>
      <c r="E82" s="107"/>
      <c r="F82" s="107"/>
      <c r="G82" s="107"/>
      <c r="H82" s="106"/>
      <c r="I82" s="107"/>
      <c r="J82" s="87">
        <f>+H82*30%</f>
        <v>0</v>
      </c>
      <c r="K82" s="87">
        <f>+H82*30%</f>
        <v>0</v>
      </c>
      <c r="L82" s="87">
        <f>+H82*40%</f>
        <v>0</v>
      </c>
      <c r="M82" s="227"/>
      <c r="N82" s="228"/>
      <c r="O82" s="297">
        <f>+J82/Costos!J5</f>
        <v>0</v>
      </c>
      <c r="P82" s="228">
        <f>+O82*Costos!G5</f>
        <v>0</v>
      </c>
      <c r="Q82" s="227"/>
      <c r="R82" s="228"/>
      <c r="S82" s="227"/>
      <c r="T82" s="228"/>
      <c r="U82" s="227"/>
      <c r="V82" s="228"/>
      <c r="W82" s="229">
        <f>+P82</f>
        <v>0</v>
      </c>
      <c r="X82" s="298"/>
      <c r="Y82" s="283"/>
      <c r="Z82" s="227"/>
      <c r="AA82" s="228"/>
      <c r="AB82" s="297">
        <f>+K82/Costos!K5</f>
        <v>0</v>
      </c>
      <c r="AC82" s="228">
        <f>+AB82*Costos!H5</f>
        <v>0</v>
      </c>
      <c r="AD82" s="227"/>
      <c r="AE82" s="228"/>
      <c r="AF82" s="227"/>
      <c r="AG82" s="228"/>
      <c r="AH82" s="227"/>
      <c r="AI82" s="228"/>
      <c r="AJ82" s="229">
        <f>+AC82</f>
        <v>0</v>
      </c>
      <c r="AK82" s="298"/>
      <c r="AL82" s="197"/>
      <c r="AM82" s="230"/>
      <c r="AN82" s="228"/>
      <c r="AO82" s="227">
        <f>+L82/Costos!L5</f>
        <v>0</v>
      </c>
      <c r="AP82" s="228">
        <f>+AO82*Costos!I5</f>
        <v>0</v>
      </c>
      <c r="AQ82" s="227"/>
      <c r="AR82" s="228"/>
      <c r="AS82" s="227"/>
      <c r="AT82" s="228"/>
      <c r="AU82" s="227"/>
      <c r="AV82" s="228"/>
      <c r="AW82" s="229">
        <f>+AP82</f>
        <v>0</v>
      </c>
      <c r="AX82" s="298"/>
    </row>
    <row r="83" spans="1:53" x14ac:dyDescent="0.25">
      <c r="B83" s="149"/>
      <c r="C83" s="150"/>
      <c r="D83" s="150"/>
      <c r="E83" s="150"/>
      <c r="F83" s="150"/>
      <c r="G83" s="150"/>
      <c r="H83" s="150"/>
      <c r="I83" s="150"/>
      <c r="J83" s="150"/>
      <c r="K83" s="150"/>
      <c r="L83" s="150"/>
      <c r="M83" s="299"/>
      <c r="N83" s="300"/>
      <c r="O83" s="299"/>
      <c r="P83" s="300"/>
      <c r="Q83" s="299"/>
      <c r="R83" s="300"/>
      <c r="S83" s="299"/>
      <c r="T83" s="300"/>
      <c r="U83" s="299"/>
      <c r="V83" s="300"/>
      <c r="W83" s="301"/>
      <c r="X83" s="302"/>
      <c r="Y83" s="303">
        <f>SUM(X82:X82)</f>
        <v>0</v>
      </c>
      <c r="Z83" s="299"/>
      <c r="AA83" s="300"/>
      <c r="AB83" s="299"/>
      <c r="AC83" s="300"/>
      <c r="AD83" s="299"/>
      <c r="AE83" s="300"/>
      <c r="AF83" s="299"/>
      <c r="AG83" s="300"/>
      <c r="AH83" s="299"/>
      <c r="AI83" s="300"/>
      <c r="AJ83" s="301"/>
      <c r="AK83" s="302"/>
      <c r="AL83" s="197"/>
      <c r="AM83" s="304"/>
      <c r="AN83" s="300"/>
      <c r="AO83" s="299"/>
      <c r="AP83" s="300"/>
      <c r="AQ83" s="299"/>
      <c r="AR83" s="300"/>
      <c r="AS83" s="299"/>
      <c r="AT83" s="300"/>
      <c r="AU83" s="299"/>
      <c r="AV83" s="300"/>
      <c r="AW83" s="301"/>
      <c r="AX83" s="302"/>
      <c r="AY83">
        <f>72-40</f>
        <v>32</v>
      </c>
    </row>
    <row r="84" spans="1:53" x14ac:dyDescent="0.25">
      <c r="B84" s="128"/>
      <c r="C84" s="128" t="s">
        <v>154</v>
      </c>
      <c r="D84" s="128"/>
      <c r="E84" s="128" t="s">
        <v>155</v>
      </c>
      <c r="F84" s="128"/>
      <c r="G84" s="128" t="s">
        <v>156</v>
      </c>
      <c r="H84" s="128" t="s">
        <v>157</v>
      </c>
      <c r="I84" s="128" t="s">
        <v>158</v>
      </c>
      <c r="J84" s="152" t="s">
        <v>136</v>
      </c>
      <c r="K84" s="152" t="s">
        <v>159</v>
      </c>
      <c r="L84" s="152" t="s">
        <v>160</v>
      </c>
      <c r="M84" s="48"/>
      <c r="N84" s="305"/>
      <c r="O84" s="48"/>
      <c r="P84" s="305"/>
      <c r="Q84" s="48"/>
      <c r="R84" s="305"/>
      <c r="S84" s="48"/>
      <c r="T84" s="305"/>
      <c r="U84" s="48"/>
      <c r="V84" s="305"/>
      <c r="W84" s="305"/>
      <c r="X84" s="48"/>
      <c r="Y84" s="306"/>
      <c r="Z84" s="48"/>
      <c r="AA84" s="305"/>
      <c r="AB84" s="48"/>
      <c r="AC84" s="305"/>
      <c r="AD84" s="48"/>
      <c r="AE84" s="305"/>
      <c r="AF84" s="48"/>
      <c r="AG84" s="305"/>
      <c r="AH84" s="48"/>
      <c r="AI84" s="305"/>
      <c r="AJ84" s="305"/>
      <c r="AK84" s="48"/>
    </row>
    <row r="85" spans="1:53" x14ac:dyDescent="0.25">
      <c r="A85">
        <v>15</v>
      </c>
      <c r="B85" s="128" t="s">
        <v>161</v>
      </c>
      <c r="C85" s="128">
        <f>ROUNDUP(A85*25%,0)</f>
        <v>4</v>
      </c>
      <c r="D85" s="128"/>
      <c r="E85" s="128"/>
      <c r="F85" s="128"/>
      <c r="G85" s="307"/>
      <c r="H85" s="308">
        <f>Costos!I6</f>
        <v>55.639097744360903</v>
      </c>
      <c r="I85" s="307"/>
      <c r="J85" s="309">
        <f>(H85*C85*4)*3</f>
        <v>2670.6766917293235</v>
      </c>
      <c r="K85" s="310">
        <f>$AY$3</f>
        <v>0.4</v>
      </c>
      <c r="L85" s="311">
        <f>J85/(1-K85)</f>
        <v>4451.127819548873</v>
      </c>
      <c r="M85" s="48"/>
      <c r="N85" s="305"/>
      <c r="O85" s="48"/>
      <c r="P85" s="305"/>
      <c r="Q85" s="48"/>
      <c r="R85" s="305"/>
      <c r="S85" s="48"/>
      <c r="T85" s="305"/>
      <c r="U85" s="48"/>
      <c r="V85" s="305"/>
      <c r="W85" s="305"/>
      <c r="X85" s="48"/>
      <c r="AK85" s="222"/>
    </row>
    <row r="86" spans="1:53" x14ac:dyDescent="0.25">
      <c r="B86" s="128" t="s">
        <v>162</v>
      </c>
      <c r="C86" s="128">
        <f>ROUNDUP(A86*30%,0)</f>
        <v>0</v>
      </c>
      <c r="D86" s="128"/>
      <c r="E86" s="128"/>
      <c r="F86" s="128"/>
      <c r="G86" s="307"/>
      <c r="H86" s="308">
        <f>Costos!H5</f>
        <v>34.774436090225564</v>
      </c>
      <c r="I86" s="307"/>
      <c r="J86" s="309">
        <f>(H86*C86*4)*3</f>
        <v>0</v>
      </c>
      <c r="K86" s="310">
        <f t="shared" ref="K86:K91" si="12">$AY$3</f>
        <v>0.4</v>
      </c>
      <c r="L86" s="311">
        <f>J86/(1-K86)</f>
        <v>0</v>
      </c>
      <c r="M86" s="48"/>
      <c r="N86" s="305"/>
      <c r="O86" s="48"/>
      <c r="P86" s="305"/>
      <c r="Q86" s="48"/>
      <c r="R86" s="305"/>
      <c r="S86" s="48"/>
      <c r="T86" s="305"/>
      <c r="U86" s="48"/>
      <c r="V86" s="305"/>
      <c r="W86" s="305"/>
      <c r="X86" s="312"/>
      <c r="Y86" s="135"/>
      <c r="Z86" s="128"/>
      <c r="AI86" s="313"/>
      <c r="AJ86" s="305"/>
      <c r="AV86" s="313"/>
      <c r="AW86" s="305"/>
    </row>
    <row r="87" spans="1:53" x14ac:dyDescent="0.25">
      <c r="B87" s="128" t="s">
        <v>163</v>
      </c>
      <c r="C87" s="128"/>
      <c r="E87" s="128">
        <v>0</v>
      </c>
      <c r="G87" s="216"/>
      <c r="H87" s="308"/>
      <c r="I87" s="308">
        <v>160</v>
      </c>
      <c r="J87" s="309">
        <f>I87*E87</f>
        <v>0</v>
      </c>
      <c r="K87" s="310">
        <f t="shared" si="12"/>
        <v>0.4</v>
      </c>
      <c r="L87" s="311">
        <f>J87/(1-K87)</f>
        <v>0</v>
      </c>
      <c r="V87" s="313"/>
      <c r="W87" s="305"/>
      <c r="X87" s="312"/>
    </row>
    <row r="88" spans="1:53" x14ac:dyDescent="0.25">
      <c r="B88" s="128" t="s">
        <v>164</v>
      </c>
      <c r="C88" s="128"/>
      <c r="G88" s="314">
        <f>H126</f>
        <v>24.1</v>
      </c>
      <c r="H88" s="308"/>
      <c r="I88" s="216"/>
      <c r="J88" s="309">
        <f>G88*C88</f>
        <v>0</v>
      </c>
      <c r="K88" s="310">
        <f t="shared" si="12"/>
        <v>0.4</v>
      </c>
      <c r="L88" s="311">
        <f>J88/(1-K88)</f>
        <v>0</v>
      </c>
      <c r="W88" s="315"/>
      <c r="X88" s="21"/>
      <c r="AY88" s="21" t="s">
        <v>165</v>
      </c>
    </row>
    <row r="89" spans="1:53" x14ac:dyDescent="0.25">
      <c r="B89" s="128" t="s">
        <v>166</v>
      </c>
      <c r="G89" s="216"/>
      <c r="H89" s="216"/>
      <c r="I89" s="307"/>
      <c r="J89" s="308">
        <f>0</f>
        <v>0</v>
      </c>
      <c r="K89" s="310">
        <f t="shared" si="12"/>
        <v>0.4</v>
      </c>
      <c r="L89" s="307">
        <f>J89/(1-K89)</f>
        <v>0</v>
      </c>
      <c r="W89" s="315"/>
      <c r="X89" s="21"/>
      <c r="AZ89" s="21" t="s">
        <v>167</v>
      </c>
      <c r="BA89" s="21" t="s">
        <v>168</v>
      </c>
    </row>
    <row r="90" spans="1:53" x14ac:dyDescent="0.25">
      <c r="B90" s="128" t="s">
        <v>169</v>
      </c>
      <c r="G90" s="216"/>
      <c r="H90" s="308">
        <f>Costos!G4</f>
        <v>13.909774436090226</v>
      </c>
      <c r="I90" s="307">
        <f>H90*4*12</f>
        <v>667.66917293233087</v>
      </c>
      <c r="J90" s="307"/>
      <c r="K90" s="310">
        <f t="shared" si="12"/>
        <v>0.4</v>
      </c>
      <c r="L90" s="307">
        <f>I90/(1-K90)</f>
        <v>1112.7819548872183</v>
      </c>
      <c r="X90" s="312"/>
      <c r="AK90" s="222"/>
      <c r="AX90" s="199">
        <v>0.5</v>
      </c>
      <c r="AY90" s="21" t="s">
        <v>170</v>
      </c>
      <c r="AZ90" s="316">
        <f>$I$90*AX90</f>
        <v>333.83458646616543</v>
      </c>
      <c r="BA90" s="316">
        <f>$L$90*AX90</f>
        <v>556.39097744360913</v>
      </c>
    </row>
    <row r="91" spans="1:53" x14ac:dyDescent="0.25">
      <c r="B91" s="128" t="s">
        <v>171</v>
      </c>
      <c r="C91">
        <v>0</v>
      </c>
      <c r="D91">
        <v>0</v>
      </c>
      <c r="G91" s="216"/>
      <c r="H91" s="308">
        <f>Costos!I4</f>
        <v>27.819548872180452</v>
      </c>
      <c r="I91" s="307"/>
      <c r="J91" s="307">
        <f>H91*D91*C91</f>
        <v>0</v>
      </c>
      <c r="K91" s="310">
        <f t="shared" si="12"/>
        <v>0.4</v>
      </c>
      <c r="L91" s="307">
        <f t="shared" ref="L91:L96" si="13">J91/(1-K91)</f>
        <v>0</v>
      </c>
      <c r="X91" s="312"/>
      <c r="AK91" s="222"/>
      <c r="AX91" s="199">
        <v>0.25</v>
      </c>
      <c r="AY91" s="21" t="s">
        <v>172</v>
      </c>
      <c r="AZ91" s="316">
        <f>$I$90*AX91</f>
        <v>166.91729323308272</v>
      </c>
      <c r="BA91" s="316">
        <f>$L$90*AX91</f>
        <v>278.19548872180457</v>
      </c>
    </row>
    <row r="92" spans="1:53" x14ac:dyDescent="0.25">
      <c r="B92" s="128" t="s">
        <v>173</v>
      </c>
      <c r="C92" s="128">
        <f>C85</f>
        <v>4</v>
      </c>
      <c r="G92" s="216"/>
      <c r="H92" s="308">
        <v>25</v>
      </c>
      <c r="I92" s="307"/>
      <c r="J92" s="307">
        <f>H92*C92*3</f>
        <v>300</v>
      </c>
      <c r="K92" s="310">
        <v>0</v>
      </c>
      <c r="L92" s="307">
        <f t="shared" si="13"/>
        <v>300</v>
      </c>
      <c r="X92" s="312"/>
      <c r="AK92" s="222"/>
      <c r="AX92" s="199">
        <v>0.25</v>
      </c>
      <c r="AY92" s="21" t="s">
        <v>174</v>
      </c>
      <c r="AZ92" s="316">
        <f>$I$90*AX92</f>
        <v>166.91729323308272</v>
      </c>
      <c r="BA92" s="316">
        <f>$L$90*AX92</f>
        <v>278.19548872180457</v>
      </c>
    </row>
    <row r="93" spans="1:53" x14ac:dyDescent="0.25">
      <c r="B93" s="128" t="s">
        <v>171</v>
      </c>
      <c r="C93">
        <v>3</v>
      </c>
      <c r="D93">
        <v>4</v>
      </c>
      <c r="G93" s="216"/>
      <c r="H93" s="308">
        <f>Costos!I4</f>
        <v>27.819548872180452</v>
      </c>
      <c r="I93" s="307"/>
      <c r="J93" s="307">
        <f>H93*D93*C93</f>
        <v>333.83458646616543</v>
      </c>
      <c r="K93" s="310">
        <f>$AY$3</f>
        <v>0.4</v>
      </c>
      <c r="L93" s="307">
        <f t="shared" si="13"/>
        <v>556.39097744360913</v>
      </c>
      <c r="X93" s="312"/>
      <c r="AK93" s="222"/>
    </row>
    <row r="94" spans="1:53" x14ac:dyDescent="0.25">
      <c r="B94" s="128" t="s">
        <v>175</v>
      </c>
      <c r="G94" s="216"/>
      <c r="H94" s="308">
        <v>51</v>
      </c>
      <c r="I94" s="307"/>
      <c r="J94" s="307">
        <f>H94*D94*C94</f>
        <v>0</v>
      </c>
      <c r="K94" s="310">
        <v>0</v>
      </c>
      <c r="L94" s="307">
        <f t="shared" si="13"/>
        <v>0</v>
      </c>
      <c r="X94" s="312"/>
      <c r="AK94" s="222"/>
    </row>
    <row r="95" spans="1:53" x14ac:dyDescent="0.25">
      <c r="B95" s="128" t="s">
        <v>176</v>
      </c>
      <c r="G95" s="216"/>
      <c r="H95" s="308">
        <v>12</v>
      </c>
      <c r="I95" s="307"/>
      <c r="J95" s="307">
        <f>H95*D95*C95</f>
        <v>0</v>
      </c>
      <c r="K95" s="310">
        <v>0</v>
      </c>
      <c r="L95" s="307">
        <f t="shared" si="13"/>
        <v>0</v>
      </c>
      <c r="X95" s="312"/>
      <c r="AK95" s="222"/>
    </row>
    <row r="96" spans="1:53" x14ac:dyDescent="0.25">
      <c r="B96" s="128" t="s">
        <v>177</v>
      </c>
      <c r="G96" s="216"/>
      <c r="H96" s="308">
        <v>70</v>
      </c>
      <c r="I96" s="307"/>
      <c r="J96" s="307">
        <f>H96*D96*C96</f>
        <v>0</v>
      </c>
      <c r="K96" s="310">
        <v>0</v>
      </c>
      <c r="L96" s="307">
        <f t="shared" si="13"/>
        <v>0</v>
      </c>
      <c r="X96" s="312"/>
      <c r="AK96" s="222"/>
    </row>
    <row r="97" spans="2:53" x14ac:dyDescent="0.25">
      <c r="B97" s="853" t="s">
        <v>14</v>
      </c>
      <c r="C97" s="853"/>
      <c r="D97" s="853"/>
      <c r="E97" s="853"/>
      <c r="F97" s="853"/>
      <c r="G97" s="853"/>
      <c r="H97" s="853"/>
      <c r="I97" s="853"/>
      <c r="J97" s="317" t="s">
        <v>108</v>
      </c>
      <c r="K97" s="317" t="s">
        <v>178</v>
      </c>
      <c r="L97" s="317" t="s">
        <v>179</v>
      </c>
      <c r="M97" s="318"/>
      <c r="N97" s="319"/>
      <c r="O97" s="318"/>
      <c r="P97" s="319"/>
      <c r="Q97" s="318"/>
      <c r="R97" s="319"/>
      <c r="S97" s="318"/>
      <c r="T97" s="319"/>
      <c r="U97" s="318"/>
      <c r="V97" s="319"/>
      <c r="W97" s="320" t="s">
        <v>15</v>
      </c>
      <c r="X97" s="321" t="s">
        <v>15</v>
      </c>
    </row>
    <row r="98" spans="2:53" x14ac:dyDescent="0.25">
      <c r="B98" s="854" t="s">
        <v>16</v>
      </c>
      <c r="C98" s="854"/>
      <c r="D98" s="854"/>
      <c r="E98" s="854"/>
      <c r="F98" s="854"/>
      <c r="G98" s="854"/>
      <c r="H98" s="854"/>
      <c r="I98" s="854"/>
      <c r="J98" s="322">
        <f>+Y76</f>
        <v>8335.6436036380001</v>
      </c>
      <c r="K98" s="322">
        <f>+AL76</f>
        <v>0</v>
      </c>
      <c r="L98" s="322">
        <f>+AY76</f>
        <v>0</v>
      </c>
      <c r="M98" s="323"/>
      <c r="N98" s="324"/>
      <c r="O98" s="323"/>
      <c r="P98" s="324"/>
      <c r="Q98" s="323"/>
      <c r="R98" s="324"/>
      <c r="S98" s="323"/>
      <c r="T98" s="324"/>
      <c r="U98" s="323"/>
      <c r="V98" s="324"/>
      <c r="W98" s="325">
        <f>AJ98</f>
        <v>6668.5148829104</v>
      </c>
      <c r="X98" s="326">
        <f>+J98+K98+L98</f>
        <v>8335.6436036380001</v>
      </c>
      <c r="AJ98" s="216">
        <f>((X98*X107)-X98)*-1</f>
        <v>6668.5148829104</v>
      </c>
      <c r="AK98" s="216"/>
      <c r="AX98" s="21"/>
      <c r="AY98" s="327"/>
    </row>
    <row r="99" spans="2:53" x14ac:dyDescent="0.25">
      <c r="B99" s="168" t="str">
        <f>B77</f>
        <v>Mantenimiento Correctivo (Gestión Directa SONDA en Smartnet o Carepack)</v>
      </c>
      <c r="C99" s="169"/>
      <c r="D99" s="169"/>
      <c r="E99" s="169"/>
      <c r="F99" s="169"/>
      <c r="G99" s="169"/>
      <c r="H99" s="169"/>
      <c r="I99" s="170"/>
      <c r="J99" s="328">
        <f>+X77</f>
        <v>652.02067669172925</v>
      </c>
      <c r="K99" s="328">
        <f>+AK77</f>
        <v>1304.0413533834585</v>
      </c>
      <c r="L99" s="328">
        <f>+AX77</f>
        <v>1304.0413533834585</v>
      </c>
      <c r="M99" s="323"/>
      <c r="N99" s="324"/>
      <c r="O99" s="323"/>
      <c r="P99" s="324"/>
      <c r="Q99" s="323"/>
      <c r="R99" s="324"/>
      <c r="S99" s="323"/>
      <c r="T99" s="324"/>
      <c r="U99" s="323"/>
      <c r="V99" s="324"/>
      <c r="W99" s="325">
        <f>+W77+AJ77+AW77</f>
        <v>2608.082706766917</v>
      </c>
      <c r="X99" s="326">
        <f>+J99+K99+L99</f>
        <v>3260.103383458646</v>
      </c>
      <c r="AJ99" s="216"/>
      <c r="AK99" s="216">
        <f>X99/3/42</f>
        <v>25.87383637665592</v>
      </c>
    </row>
    <row r="100" spans="2:53" x14ac:dyDescent="0.25">
      <c r="B100" s="855" t="str">
        <f>B80</f>
        <v xml:space="preserve">Mantenimiento Preventivo: </v>
      </c>
      <c r="C100" s="855"/>
      <c r="D100" s="855"/>
      <c r="E100" s="855"/>
      <c r="F100" s="855"/>
      <c r="G100" s="855"/>
      <c r="H100" s="855"/>
      <c r="I100" s="855"/>
      <c r="J100" s="328">
        <v>0</v>
      </c>
      <c r="K100" s="328">
        <f>+AK80</f>
        <v>869.36090225563908</v>
      </c>
      <c r="L100" s="328">
        <f>+AX80</f>
        <v>1159.1478696741854</v>
      </c>
      <c r="M100" s="323"/>
      <c r="N100" s="324"/>
      <c r="O100" s="323"/>
      <c r="P100" s="324"/>
      <c r="Q100" s="323"/>
      <c r="R100" s="324"/>
      <c r="S100" s="323"/>
      <c r="T100" s="324"/>
      <c r="U100" s="323"/>
      <c r="V100" s="324"/>
      <c r="W100" s="325">
        <f>+W80+AJ80+AW80</f>
        <v>1622.8070175438595</v>
      </c>
      <c r="X100" s="326">
        <f>+J100+K100+L100+X81</f>
        <v>2108.5087719298244</v>
      </c>
      <c r="AJ100" s="216"/>
      <c r="AK100" s="216"/>
      <c r="AX100" s="21"/>
      <c r="AY100" s="21" t="s">
        <v>180</v>
      </c>
    </row>
    <row r="101" spans="2:53" hidden="1" x14ac:dyDescent="0.25">
      <c r="B101" s="168" t="str">
        <f>B78</f>
        <v>Taller</v>
      </c>
      <c r="C101" s="169"/>
      <c r="D101" s="169"/>
      <c r="E101" s="169"/>
      <c r="F101" s="169"/>
      <c r="G101" s="169"/>
      <c r="H101" s="169"/>
      <c r="I101" s="170"/>
      <c r="J101" s="328">
        <f>H78</f>
        <v>0</v>
      </c>
      <c r="K101" s="328"/>
      <c r="L101" s="328"/>
      <c r="M101" s="323"/>
      <c r="N101" s="324"/>
      <c r="O101" s="323"/>
      <c r="P101" s="324"/>
      <c r="Q101" s="323"/>
      <c r="R101" s="324"/>
      <c r="S101" s="323"/>
      <c r="T101" s="324"/>
      <c r="U101" s="323"/>
      <c r="V101" s="324"/>
      <c r="W101" s="325">
        <f>W78</f>
        <v>0</v>
      </c>
      <c r="X101" s="326">
        <f>+J101+K101+L101</f>
        <v>0</v>
      </c>
      <c r="AJ101" s="216"/>
      <c r="AK101" s="216"/>
    </row>
    <row r="102" spans="2:53" x14ac:dyDescent="0.25">
      <c r="B102" s="168" t="str">
        <f>B79</f>
        <v>Bolsa de Horas de Soporte</v>
      </c>
      <c r="C102" s="169"/>
      <c r="D102" s="169"/>
      <c r="E102" s="169"/>
      <c r="F102" s="169"/>
      <c r="G102" s="169"/>
      <c r="H102" s="169"/>
      <c r="I102" s="170"/>
      <c r="J102" s="328">
        <f>+X79</f>
        <v>1912.5939849624058</v>
      </c>
      <c r="K102" s="328">
        <f>+AK79</f>
        <v>2868.8909774436088</v>
      </c>
      <c r="L102" s="328">
        <f>+AX79</f>
        <v>5100.250626566416</v>
      </c>
      <c r="M102" s="323"/>
      <c r="N102" s="324"/>
      <c r="O102" s="323"/>
      <c r="P102" s="324"/>
      <c r="Q102" s="323"/>
      <c r="R102" s="324"/>
      <c r="S102" s="323"/>
      <c r="T102" s="324"/>
      <c r="U102" s="323"/>
      <c r="V102" s="324"/>
      <c r="W102" s="325">
        <f>W79+AJ79+AW79</f>
        <v>7905.3884711779447</v>
      </c>
      <c r="X102" s="326">
        <f>+J102+K102+L102</f>
        <v>9881.7355889724313</v>
      </c>
      <c r="AJ102" s="216"/>
      <c r="AK102" s="216"/>
      <c r="AZ102" s="21" t="s">
        <v>181</v>
      </c>
      <c r="BA102" s="21" t="s">
        <v>182</v>
      </c>
    </row>
    <row r="103" spans="2:53" x14ac:dyDescent="0.25">
      <c r="B103" s="856" t="str">
        <f>B82</f>
        <v>PSS (Valor en dólares)</v>
      </c>
      <c r="C103" s="856"/>
      <c r="D103" s="856"/>
      <c r="E103" s="856"/>
      <c r="F103" s="856"/>
      <c r="G103" s="856"/>
      <c r="H103" s="856"/>
      <c r="I103" s="856"/>
      <c r="J103" s="328">
        <f>+J82</f>
        <v>0</v>
      </c>
      <c r="K103" s="328">
        <f>+K82</f>
        <v>0</v>
      </c>
      <c r="L103" s="328">
        <f>+L82</f>
        <v>0</v>
      </c>
      <c r="M103" s="329"/>
      <c r="N103" s="330"/>
      <c r="O103" s="329"/>
      <c r="P103" s="330"/>
      <c r="Q103" s="329"/>
      <c r="R103" s="330"/>
      <c r="S103" s="329"/>
      <c r="T103" s="330"/>
      <c r="U103" s="329"/>
      <c r="V103" s="330"/>
      <c r="W103" s="331">
        <f>W82</f>
        <v>0</v>
      </c>
      <c r="X103" s="326">
        <f>+J103+K103+L103</f>
        <v>0</v>
      </c>
      <c r="AJ103" s="216"/>
      <c r="AK103" s="216"/>
      <c r="AY103" s="21" t="s">
        <v>183</v>
      </c>
      <c r="AZ103" s="216">
        <v>33</v>
      </c>
      <c r="BA103" s="216">
        <v>55</v>
      </c>
    </row>
    <row r="104" spans="2:53" ht="13.8" x14ac:dyDescent="0.25">
      <c r="B104" s="44"/>
      <c r="C104" s="44"/>
      <c r="D104" s="44"/>
      <c r="E104" s="44"/>
      <c r="F104" s="44"/>
      <c r="G104" s="44"/>
      <c r="H104" s="44"/>
      <c r="I104" s="44"/>
      <c r="J104" s="45"/>
      <c r="K104" s="176" t="s">
        <v>18</v>
      </c>
      <c r="L104" s="332"/>
      <c r="M104" s="177"/>
      <c r="N104" s="333"/>
      <c r="O104" s="178"/>
      <c r="P104" s="334"/>
      <c r="Q104" s="178"/>
      <c r="R104" s="334"/>
      <c r="S104" s="178"/>
      <c r="T104" s="334"/>
      <c r="U104" s="178"/>
      <c r="V104" s="334"/>
      <c r="W104" s="335">
        <f>SUM(W98:W103)</f>
        <v>18804.793078399118</v>
      </c>
      <c r="X104" s="336">
        <f>SUM(X98:X103)</f>
        <v>23585.991347998901</v>
      </c>
      <c r="AJ104" s="216"/>
      <c r="AK104" s="337">
        <f>X104+L85+L92+L90</f>
        <v>29449.901122434992</v>
      </c>
      <c r="AX104" s="216">
        <f>X104/72</f>
        <v>327.58321316665138</v>
      </c>
      <c r="AY104" s="21" t="s">
        <v>184</v>
      </c>
      <c r="AZ104" s="216">
        <f>0+J92+AZ93</f>
        <v>300</v>
      </c>
      <c r="BA104" s="216">
        <f>0+L92+BA93</f>
        <v>300</v>
      </c>
    </row>
    <row r="105" spans="2:53" ht="13.8" x14ac:dyDescent="0.25">
      <c r="B105" s="44"/>
      <c r="C105" s="44"/>
      <c r="D105" s="44"/>
      <c r="E105" s="44"/>
      <c r="F105" s="44"/>
      <c r="G105" s="44"/>
      <c r="H105" s="44"/>
      <c r="I105" s="44"/>
      <c r="J105" s="45"/>
      <c r="K105" s="338" t="s">
        <v>19</v>
      </c>
      <c r="L105" s="339"/>
      <c r="M105" s="340"/>
      <c r="N105" s="340"/>
      <c r="O105" s="341"/>
      <c r="P105" s="341"/>
      <c r="Q105" s="341"/>
      <c r="R105" s="341"/>
      <c r="S105" s="341"/>
      <c r="T105" s="341"/>
      <c r="U105" s="341"/>
      <c r="V105" s="341"/>
      <c r="W105" s="342"/>
      <c r="X105" s="342">
        <f>W104</f>
        <v>18804.793078399118</v>
      </c>
      <c r="Z105" s="21"/>
      <c r="AJ105" s="216"/>
      <c r="AK105" s="216">
        <f>X105+J85+J92</f>
        <v>21775.469770128442</v>
      </c>
      <c r="AX105" s="222"/>
      <c r="AY105" s="21" t="s">
        <v>185</v>
      </c>
      <c r="AZ105" s="314">
        <f>J86+J93+AZ93</f>
        <v>333.83458646616543</v>
      </c>
      <c r="BA105" s="314">
        <f>L86+BA92+L93</f>
        <v>834.58646616541364</v>
      </c>
    </row>
    <row r="106" spans="2:53" ht="13.8" x14ac:dyDescent="0.25">
      <c r="B106" s="44"/>
      <c r="C106" s="44"/>
      <c r="D106" s="44"/>
      <c r="E106" s="44"/>
      <c r="F106" s="44"/>
      <c r="G106" s="44"/>
      <c r="H106" s="44"/>
      <c r="I106" s="44"/>
      <c r="J106" s="45"/>
      <c r="K106" s="338" t="s">
        <v>20</v>
      </c>
      <c r="L106" s="339"/>
      <c r="M106" s="340"/>
      <c r="N106" s="340"/>
      <c r="O106" s="341"/>
      <c r="P106" s="341"/>
      <c r="Q106" s="341"/>
      <c r="R106" s="341"/>
      <c r="S106" s="341"/>
      <c r="T106" s="341"/>
      <c r="U106" s="341"/>
      <c r="V106" s="341"/>
      <c r="W106" s="343"/>
      <c r="X106" s="343">
        <f>$X$104-$X$105</f>
        <v>4781.1982695997831</v>
      </c>
      <c r="AJ106" s="216"/>
      <c r="AK106" s="216">
        <f>AK104-AK105</f>
        <v>7674.4313523065503</v>
      </c>
      <c r="AY106" s="21" t="s">
        <v>186</v>
      </c>
      <c r="AZ106" s="314">
        <v>0</v>
      </c>
      <c r="BA106" s="314">
        <v>0</v>
      </c>
    </row>
    <row r="107" spans="2:53" ht="13.8" x14ac:dyDescent="0.25">
      <c r="K107" s="338" t="s">
        <v>21</v>
      </c>
      <c r="L107" s="339"/>
      <c r="M107" s="344"/>
      <c r="N107" s="344"/>
      <c r="O107" s="345"/>
      <c r="P107" s="345"/>
      <c r="Q107" s="345"/>
      <c r="R107" s="345"/>
      <c r="S107" s="345"/>
      <c r="T107" s="345"/>
      <c r="U107" s="345"/>
      <c r="V107" s="345"/>
      <c r="W107" s="346">
        <f>Costos!G2</f>
        <v>0</v>
      </c>
      <c r="X107" s="346">
        <f>Costos!J2</f>
        <v>0.2</v>
      </c>
      <c r="Z107" s="347"/>
      <c r="AJ107" s="216"/>
      <c r="AK107" s="348">
        <f>AK106/AK104</f>
        <v>0.26059277144601867</v>
      </c>
      <c r="AX107" s="222"/>
      <c r="AZ107" s="216"/>
      <c r="BA107" s="216">
        <f>SUM(BA103:BA106)</f>
        <v>1189.5864661654136</v>
      </c>
    </row>
    <row r="108" spans="2:53" ht="13.8" x14ac:dyDescent="0.25">
      <c r="K108" s="338" t="s">
        <v>22</v>
      </c>
      <c r="L108" s="339"/>
      <c r="M108" s="349"/>
      <c r="N108" s="349"/>
      <c r="O108" s="345"/>
      <c r="P108" s="345"/>
      <c r="Q108" s="345"/>
      <c r="R108" s="345"/>
      <c r="S108" s="345"/>
      <c r="T108" s="345"/>
      <c r="U108" s="345"/>
      <c r="V108" s="345"/>
      <c r="W108" s="350"/>
      <c r="X108" s="350">
        <v>9</v>
      </c>
      <c r="Z108" s="21"/>
      <c r="AJ108" s="216"/>
      <c r="AK108" s="216"/>
    </row>
    <row r="109" spans="2:53" ht="13.8" x14ac:dyDescent="0.25">
      <c r="B109" s="128" t="s">
        <v>114</v>
      </c>
      <c r="K109" s="338" t="s">
        <v>115</v>
      </c>
      <c r="L109" s="339"/>
      <c r="M109" s="345"/>
      <c r="N109" s="345"/>
      <c r="O109" s="345"/>
      <c r="P109" s="345"/>
      <c r="Q109" s="345"/>
      <c r="R109" s="345"/>
      <c r="S109" s="345"/>
      <c r="T109" s="345"/>
      <c r="U109" s="345"/>
      <c r="V109" s="345"/>
      <c r="W109" s="351">
        <f>X109</f>
        <v>0</v>
      </c>
      <c r="X109" s="351">
        <v>0</v>
      </c>
      <c r="Z109" s="21"/>
      <c r="AJ109" s="216"/>
      <c r="AK109" s="216"/>
    </row>
    <row r="110" spans="2:53" ht="13.8" x14ac:dyDescent="0.25">
      <c r="B110" s="189" t="s">
        <v>117</v>
      </c>
      <c r="K110" s="352" t="s">
        <v>118</v>
      </c>
      <c r="L110" s="353"/>
      <c r="M110" s="354"/>
      <c r="N110" s="354"/>
      <c r="O110" s="354"/>
      <c r="P110" s="354"/>
      <c r="Q110" s="354"/>
      <c r="R110" s="354"/>
      <c r="S110" s="354"/>
      <c r="T110" s="354"/>
      <c r="U110" s="354"/>
      <c r="V110" s="354"/>
      <c r="W110" s="355" t="e">
        <f>W104/W109</f>
        <v>#DIV/0!</v>
      </c>
      <c r="X110" s="355" t="e">
        <f>X104/X109</f>
        <v>#DIV/0!</v>
      </c>
      <c r="Z110" s="21"/>
      <c r="AJ110" s="216"/>
      <c r="AK110" s="216"/>
      <c r="AX110" s="222"/>
      <c r="AY110" s="222"/>
      <c r="AZ110" s="222"/>
    </row>
    <row r="111" spans="2:53" ht="26.4" x14ac:dyDescent="0.25">
      <c r="B111" s="189" t="s">
        <v>120</v>
      </c>
      <c r="AJ111" s="216"/>
      <c r="AK111" s="216"/>
      <c r="AZ111" s="222"/>
    </row>
    <row r="112" spans="2:53" ht="26.4" x14ac:dyDescent="0.25">
      <c r="B112" s="193" t="s">
        <v>187</v>
      </c>
      <c r="X112" t="s">
        <v>188</v>
      </c>
      <c r="AJ112" s="216"/>
      <c r="AK112" s="216" t="s">
        <v>18</v>
      </c>
    </row>
    <row r="113" spans="2:50" ht="26.4" x14ac:dyDescent="0.25">
      <c r="B113" s="193" t="s">
        <v>189</v>
      </c>
      <c r="K113">
        <v>12</v>
      </c>
      <c r="L113" t="s">
        <v>190</v>
      </c>
      <c r="X113">
        <v>4</v>
      </c>
      <c r="Y113" s="222"/>
      <c r="AJ113" s="216"/>
      <c r="AK113" s="216">
        <f>X113*K113</f>
        <v>48</v>
      </c>
    </row>
    <row r="114" spans="2:50" x14ac:dyDescent="0.25">
      <c r="B114" s="193" t="s">
        <v>123</v>
      </c>
      <c r="K114">
        <v>2</v>
      </c>
      <c r="L114" t="s">
        <v>191</v>
      </c>
      <c r="X114">
        <v>2</v>
      </c>
      <c r="AJ114" s="216"/>
      <c r="AK114" s="216">
        <f>X114*K114</f>
        <v>4</v>
      </c>
    </row>
    <row r="115" spans="2:50" ht="26.4" x14ac:dyDescent="0.25">
      <c r="B115" s="193" t="s">
        <v>124</v>
      </c>
      <c r="K115">
        <v>4</v>
      </c>
      <c r="L115" t="s">
        <v>192</v>
      </c>
      <c r="X115">
        <v>2</v>
      </c>
      <c r="AJ115" s="216"/>
      <c r="AK115" s="216">
        <f>X115*K115</f>
        <v>8</v>
      </c>
    </row>
    <row r="116" spans="2:50" x14ac:dyDescent="0.25">
      <c r="B116" s="193" t="s">
        <v>125</v>
      </c>
      <c r="K116">
        <v>1</v>
      </c>
      <c r="L116" t="s">
        <v>193</v>
      </c>
    </row>
    <row r="117" spans="2:50" x14ac:dyDescent="0.25">
      <c r="B117" s="193" t="s">
        <v>126</v>
      </c>
      <c r="K117">
        <v>1</v>
      </c>
      <c r="L117" t="s">
        <v>194</v>
      </c>
    </row>
    <row r="118" spans="2:50" x14ac:dyDescent="0.25">
      <c r="B118" s="193" t="s">
        <v>127</v>
      </c>
      <c r="AX118" s="21"/>
    </row>
    <row r="119" spans="2:50" x14ac:dyDescent="0.25">
      <c r="B119" s="193" t="s">
        <v>128</v>
      </c>
    </row>
    <row r="120" spans="2:50" x14ac:dyDescent="0.25">
      <c r="B120" s="193" t="s">
        <v>129</v>
      </c>
    </row>
    <row r="121" spans="2:50" x14ac:dyDescent="0.25">
      <c r="B121" s="193"/>
    </row>
    <row r="123" spans="2:50" x14ac:dyDescent="0.25">
      <c r="B123" s="189" t="s">
        <v>195</v>
      </c>
      <c r="H123">
        <v>25</v>
      </c>
    </row>
    <row r="124" spans="2:50" x14ac:dyDescent="0.25">
      <c r="B124" s="189" t="s">
        <v>196</v>
      </c>
      <c r="H124">
        <v>24.5</v>
      </c>
    </row>
    <row r="125" spans="2:50" x14ac:dyDescent="0.25">
      <c r="B125" s="189" t="s">
        <v>197</v>
      </c>
      <c r="H125">
        <v>30.56</v>
      </c>
    </row>
    <row r="126" spans="2:50" x14ac:dyDescent="0.25">
      <c r="B126" s="189" t="s">
        <v>198</v>
      </c>
      <c r="H126">
        <v>24.1</v>
      </c>
    </row>
    <row r="127" spans="2:50" x14ac:dyDescent="0.25">
      <c r="H127" s="243">
        <f>SUM(H123:H126)</f>
        <v>104.16</v>
      </c>
    </row>
    <row r="130" spans="2:8" x14ac:dyDescent="0.25">
      <c r="B130" s="21" t="s">
        <v>199</v>
      </c>
      <c r="H130">
        <v>8</v>
      </c>
    </row>
    <row r="131" spans="2:8" x14ac:dyDescent="0.25">
      <c r="B131" s="21" t="s">
        <v>200</v>
      </c>
      <c r="H131">
        <v>8</v>
      </c>
    </row>
    <row r="132" spans="2:8" x14ac:dyDescent="0.25">
      <c r="B132" s="21" t="s">
        <v>201</v>
      </c>
      <c r="H132">
        <v>35</v>
      </c>
    </row>
  </sheetData>
  <mergeCells count="7">
    <mergeCell ref="B100:I100"/>
    <mergeCell ref="B103:I103"/>
    <mergeCell ref="M2:X2"/>
    <mergeCell ref="Z2:AK2"/>
    <mergeCell ref="AM2:AX2"/>
    <mergeCell ref="B97:I97"/>
    <mergeCell ref="B98:I98"/>
  </mergeCells>
  <dataValidations disablePrompts="1" count="2">
    <dataValidation type="list" operator="equal" allowBlank="1" showInputMessage="1" showErrorMessage="1" sqref="B4" xr:uid="{00000000-0002-0000-0400-000000000000}">
      <formula1>PMS</formula1>
      <formula2>0</formula2>
    </dataValidation>
    <dataValidation type="list" operator="equal" allowBlank="1" showInputMessage="1" showErrorMessage="1" sqref="I7" xr:uid="{00000000-0002-0000-0400-000001000000}">
      <formula1>Transp</formula1>
      <formula2>0</formula2>
    </dataValidation>
  </dataValidations>
  <pageMargins left="0.7" right="0.7" top="0.75" bottom="0.75" header="0.511811023622047" footer="0.511811023622047"/>
  <pageSetup paperSize="9" orientation="portrait" horizontalDpi="300" verticalDpi="300" r:id="rId1"/>
  <legacy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S40"/>
  <sheetViews>
    <sheetView zoomScale="110" zoomScaleNormal="110" workbookViewId="0">
      <selection activeCell="J3" sqref="J3"/>
    </sheetView>
  </sheetViews>
  <sheetFormatPr baseColWidth="10" defaultColWidth="11.44140625" defaultRowHeight="13.2" x14ac:dyDescent="0.25"/>
  <cols>
    <col min="2" max="2" width="20.6640625" customWidth="1"/>
    <col min="5" max="5" width="9.77734375" hidden="1" customWidth="1"/>
    <col min="7" max="7" width="16.6640625" customWidth="1"/>
    <col min="8" max="8" width="23.6640625" customWidth="1"/>
    <col min="9" max="9" width="24.6640625" customWidth="1"/>
    <col min="10" max="10" width="15.33203125" customWidth="1"/>
    <col min="11" max="11" width="19.33203125" customWidth="1"/>
    <col min="12" max="12" width="20.33203125" customWidth="1"/>
    <col min="19" max="19" width="37.33203125" bestFit="1" customWidth="1"/>
    <col min="20" max="20" width="9.44140625" bestFit="1" customWidth="1"/>
    <col min="21" max="21" width="6.33203125" bestFit="1" customWidth="1"/>
    <col min="22" max="22" width="9.44140625" bestFit="1" customWidth="1"/>
    <col min="23" max="23" width="7.5546875" bestFit="1" customWidth="1"/>
    <col min="24" max="29" width="23" bestFit="1" customWidth="1"/>
    <col min="30" max="30" width="13.109375" bestFit="1" customWidth="1"/>
  </cols>
  <sheetData>
    <row r="1" spans="1:19" x14ac:dyDescent="0.25">
      <c r="A1" s="439" t="s">
        <v>417</v>
      </c>
      <c r="B1" s="439"/>
    </row>
    <row r="2" spans="1:19" x14ac:dyDescent="0.25">
      <c r="B2" s="55" t="s">
        <v>23</v>
      </c>
      <c r="C2" s="55"/>
      <c r="D2" s="55"/>
      <c r="E2" s="55"/>
      <c r="F2" s="55"/>
      <c r="G2" s="683">
        <v>0</v>
      </c>
      <c r="H2" s="56" t="s">
        <v>24</v>
      </c>
      <c r="I2" s="821">
        <v>0.05</v>
      </c>
      <c r="J2" s="57">
        <v>0.2</v>
      </c>
      <c r="K2" s="58"/>
    </row>
    <row r="3" spans="1:19" x14ac:dyDescent="0.25">
      <c r="B3" s="55" t="s">
        <v>433</v>
      </c>
      <c r="C3" s="55" t="s">
        <v>25</v>
      </c>
      <c r="D3" s="55" t="s">
        <v>26</v>
      </c>
      <c r="E3" s="55" t="s">
        <v>27</v>
      </c>
      <c r="F3" s="55" t="s">
        <v>28</v>
      </c>
      <c r="G3" s="59" t="s">
        <v>29</v>
      </c>
      <c r="H3" s="60" t="s">
        <v>30</v>
      </c>
      <c r="I3" s="60" t="s">
        <v>31</v>
      </c>
      <c r="J3" s="822" t="s">
        <v>32</v>
      </c>
      <c r="K3" s="62" t="s">
        <v>33</v>
      </c>
      <c r="L3" s="62" t="s">
        <v>34</v>
      </c>
      <c r="N3" s="55" t="s">
        <v>46</v>
      </c>
      <c r="O3" s="55"/>
      <c r="R3" s="422"/>
      <c r="S3" s="422"/>
    </row>
    <row r="4" spans="1:19" x14ac:dyDescent="0.25">
      <c r="A4" s="21" t="s">
        <v>507</v>
      </c>
      <c r="B4" s="55" t="s">
        <v>35</v>
      </c>
      <c r="C4" s="55">
        <v>1200</v>
      </c>
      <c r="D4" s="55">
        <f>C4*1.48</f>
        <v>1776</v>
      </c>
      <c r="E4" s="58">
        <v>0.8</v>
      </c>
      <c r="F4" s="55">
        <f>21*8*E4</f>
        <v>134.4</v>
      </c>
      <c r="G4" s="440">
        <f>(D4/F4)/(1-$I$2)</f>
        <v>13.909774436090226</v>
      </c>
      <c r="H4" s="63">
        <f>G4*1.5</f>
        <v>20.86466165413534</v>
      </c>
      <c r="I4" s="440">
        <f t="shared" ref="I4:I12" si="0">G4*2</f>
        <v>27.819548872180452</v>
      </c>
      <c r="J4" s="64">
        <f>G4/(1-$J$2)</f>
        <v>17.387218045112782</v>
      </c>
      <c r="K4" s="64">
        <f>H4/(1-$J$2)</f>
        <v>26.080827067669173</v>
      </c>
      <c r="L4" s="64">
        <f t="shared" ref="J4:L9" si="1">I4/(1-$J$2)</f>
        <v>34.774436090225564</v>
      </c>
      <c r="N4" s="55"/>
      <c r="O4" s="55"/>
      <c r="Q4" s="443"/>
      <c r="R4" s="444"/>
    </row>
    <row r="5" spans="1:19" x14ac:dyDescent="0.25">
      <c r="A5" s="21" t="s">
        <v>36</v>
      </c>
      <c r="B5" s="55" t="s">
        <v>37</v>
      </c>
      <c r="C5" s="55">
        <v>2000</v>
      </c>
      <c r="D5" s="55">
        <f>C5*1.48</f>
        <v>2960</v>
      </c>
      <c r="E5" s="58">
        <v>0.8</v>
      </c>
      <c r="F5" s="55">
        <f>21*8*E5</f>
        <v>134.4</v>
      </c>
      <c r="G5" s="440">
        <f>(D5/F5)/(1-$I$2)</f>
        <v>23.182957393483708</v>
      </c>
      <c r="H5" s="63">
        <f>G5*1.5</f>
        <v>34.774436090225564</v>
      </c>
      <c r="I5" s="63">
        <f t="shared" si="0"/>
        <v>46.365914786967416</v>
      </c>
      <c r="J5" s="64">
        <f t="shared" si="1"/>
        <v>28.978696741854634</v>
      </c>
      <c r="K5" s="64">
        <f t="shared" si="1"/>
        <v>43.468045112781951</v>
      </c>
      <c r="L5" s="64">
        <f t="shared" si="1"/>
        <v>57.957393483709268</v>
      </c>
      <c r="N5" s="55" t="s">
        <v>47</v>
      </c>
      <c r="O5" s="70">
        <v>25</v>
      </c>
      <c r="Q5" s="442"/>
      <c r="R5" s="444"/>
    </row>
    <row r="6" spans="1:19" x14ac:dyDescent="0.25">
      <c r="A6" s="21" t="s">
        <v>38</v>
      </c>
      <c r="B6" s="55" t="s">
        <v>39</v>
      </c>
      <c r="C6" s="55">
        <v>2400</v>
      </c>
      <c r="D6" s="55">
        <f>C6*1.48</f>
        <v>3552</v>
      </c>
      <c r="E6" s="58">
        <v>0.8</v>
      </c>
      <c r="F6" s="55">
        <f>21*8*E6</f>
        <v>134.4</v>
      </c>
      <c r="G6" s="440">
        <f>(D6/F6)/(1-$I$2)</f>
        <v>27.819548872180452</v>
      </c>
      <c r="H6" s="63">
        <f>G6*1.5</f>
        <v>41.729323308270679</v>
      </c>
      <c r="I6" s="63">
        <f t="shared" si="0"/>
        <v>55.639097744360903</v>
      </c>
      <c r="J6" s="64">
        <f>G6/(1-$J$2)</f>
        <v>34.774436090225564</v>
      </c>
      <c r="K6" s="64">
        <f t="shared" si="1"/>
        <v>52.161654135338345</v>
      </c>
      <c r="L6" s="64">
        <f t="shared" si="1"/>
        <v>69.548872180451127</v>
      </c>
      <c r="N6" s="55" t="s">
        <v>48</v>
      </c>
      <c r="O6" s="70">
        <v>100</v>
      </c>
      <c r="Q6" s="441"/>
      <c r="R6" s="444"/>
    </row>
    <row r="7" spans="1:19" x14ac:dyDescent="0.25">
      <c r="B7" s="55" t="s">
        <v>40</v>
      </c>
      <c r="C7" s="55"/>
      <c r="D7" s="55"/>
      <c r="E7" s="55"/>
      <c r="F7" s="55"/>
      <c r="G7" s="63">
        <v>70</v>
      </c>
      <c r="H7" s="63">
        <f>G7</f>
        <v>70</v>
      </c>
      <c r="I7" s="63">
        <f t="shared" si="0"/>
        <v>140</v>
      </c>
      <c r="J7" s="64">
        <f>G7/(1-$J$2)</f>
        <v>87.5</v>
      </c>
      <c r="K7" s="64">
        <f t="shared" si="1"/>
        <v>87.5</v>
      </c>
      <c r="L7" s="64">
        <f t="shared" si="1"/>
        <v>175</v>
      </c>
      <c r="N7" s="55" t="s">
        <v>49</v>
      </c>
      <c r="O7" s="70">
        <v>350</v>
      </c>
      <c r="R7" s="444"/>
    </row>
    <row r="8" spans="1:19" x14ac:dyDescent="0.25">
      <c r="B8" s="55" t="s">
        <v>41</v>
      </c>
      <c r="C8" s="55"/>
      <c r="D8" s="55"/>
      <c r="E8" s="55"/>
      <c r="F8" s="55"/>
      <c r="G8" s="63">
        <v>100</v>
      </c>
      <c r="H8" s="63">
        <f>G8</f>
        <v>100</v>
      </c>
      <c r="I8" s="63">
        <f t="shared" si="0"/>
        <v>200</v>
      </c>
      <c r="J8" s="64">
        <f>G8/(1-$J$2)</f>
        <v>125</v>
      </c>
      <c r="K8" s="64">
        <f t="shared" si="1"/>
        <v>125</v>
      </c>
      <c r="L8" s="64">
        <f t="shared" si="1"/>
        <v>250</v>
      </c>
      <c r="N8" s="55" t="s">
        <v>50</v>
      </c>
      <c r="O8" s="70">
        <v>600</v>
      </c>
      <c r="R8" s="444"/>
    </row>
    <row r="9" spans="1:19" x14ac:dyDescent="0.25">
      <c r="B9" s="519" t="s">
        <v>496</v>
      </c>
      <c r="C9" s="55">
        <v>900</v>
      </c>
      <c r="D9" s="55">
        <f>C9*1.48</f>
        <v>1332</v>
      </c>
      <c r="E9" s="835">
        <v>0.8</v>
      </c>
      <c r="F9" s="55">
        <f>21*8*E9</f>
        <v>134.4</v>
      </c>
      <c r="G9" s="440">
        <f>(D9/F9)/(1-$I$2)</f>
        <v>10.432330827067668</v>
      </c>
      <c r="H9" s="63">
        <f>G9*1.5</f>
        <v>15.648496240601503</v>
      </c>
      <c r="I9" s="63">
        <f t="shared" si="0"/>
        <v>20.864661654135336</v>
      </c>
      <c r="J9" s="64">
        <f>G9/(1-$J$2)</f>
        <v>13.040413533834585</v>
      </c>
      <c r="K9" s="64">
        <f t="shared" si="1"/>
        <v>19.560620300751879</v>
      </c>
      <c r="L9" s="64">
        <f t="shared" si="1"/>
        <v>26.080827067669169</v>
      </c>
      <c r="O9" s="71"/>
      <c r="R9" s="444"/>
    </row>
    <row r="10" spans="1:19" x14ac:dyDescent="0.25">
      <c r="B10" s="55"/>
      <c r="C10" s="55"/>
      <c r="D10" s="55"/>
      <c r="E10" s="55"/>
      <c r="F10" s="55"/>
      <c r="G10" s="63"/>
      <c r="H10" s="63"/>
      <c r="I10" s="63">
        <f t="shared" si="0"/>
        <v>0</v>
      </c>
      <c r="J10" s="66">
        <f>J2</f>
        <v>0.2</v>
      </c>
      <c r="K10" s="65"/>
      <c r="L10" s="64">
        <f>I10/(1-$J$2)</f>
        <v>0</v>
      </c>
      <c r="R10" s="444"/>
    </row>
    <row r="11" spans="1:19" x14ac:dyDescent="0.25">
      <c r="B11" s="67" t="s">
        <v>42</v>
      </c>
      <c r="C11" s="55">
        <v>1500</v>
      </c>
      <c r="D11" s="55">
        <f>C11*1.48</f>
        <v>2220</v>
      </c>
      <c r="E11" s="58">
        <v>0.8</v>
      </c>
      <c r="F11" s="55">
        <f>20*8*E11</f>
        <v>128</v>
      </c>
      <c r="G11" s="68">
        <f>D11/F11</f>
        <v>17.34375</v>
      </c>
      <c r="H11" s="68">
        <f>G11*1.5</f>
        <v>26.015625</v>
      </c>
      <c r="I11" s="63">
        <f t="shared" si="0"/>
        <v>34.6875</v>
      </c>
      <c r="J11" s="69">
        <f>G11/(1-$J$10)</f>
        <v>21.6796875</v>
      </c>
      <c r="K11" s="64"/>
      <c r="L11" s="64">
        <f>I11/(1-$J$2)</f>
        <v>43.359375</v>
      </c>
      <c r="N11" t="s">
        <v>51</v>
      </c>
      <c r="R11" s="444"/>
    </row>
    <row r="12" spans="1:19" x14ac:dyDescent="0.25">
      <c r="B12" s="67" t="s">
        <v>43</v>
      </c>
      <c r="C12" s="55">
        <v>2200</v>
      </c>
      <c r="D12" s="55">
        <f>C12*1.48</f>
        <v>3256</v>
      </c>
      <c r="E12" s="58">
        <v>1</v>
      </c>
      <c r="F12" s="55">
        <f>20*8*E12</f>
        <v>160</v>
      </c>
      <c r="G12" s="68">
        <f>D12/F12</f>
        <v>20.350000000000001</v>
      </c>
      <c r="H12" s="68">
        <f>G12*1.5</f>
        <v>30.525000000000002</v>
      </c>
      <c r="I12" s="63">
        <f t="shared" si="0"/>
        <v>40.700000000000003</v>
      </c>
      <c r="J12" s="69">
        <f>G12/(1-$J$10)</f>
        <v>25.4375</v>
      </c>
      <c r="K12" s="64"/>
      <c r="L12" s="64">
        <f>I12/(1-$J$2)</f>
        <v>50.875</v>
      </c>
      <c r="R12" s="444"/>
    </row>
    <row r="13" spans="1:19" x14ac:dyDescent="0.25">
      <c r="R13" s="444"/>
    </row>
    <row r="14" spans="1:19" x14ac:dyDescent="0.25">
      <c r="H14" s="21" t="s">
        <v>44</v>
      </c>
      <c r="I14" s="21" t="s">
        <v>45</v>
      </c>
    </row>
    <row r="16" spans="1:19" hidden="1" x14ac:dyDescent="0.25">
      <c r="A16" s="439" t="s">
        <v>416</v>
      </c>
      <c r="B16" s="439"/>
    </row>
    <row r="17" spans="2:15" hidden="1" x14ac:dyDescent="0.25">
      <c r="B17" s="423" t="s">
        <v>23</v>
      </c>
      <c r="C17" s="423"/>
      <c r="D17" s="423"/>
      <c r="E17" s="423"/>
      <c r="F17" s="423"/>
      <c r="G17" s="423"/>
      <c r="H17" s="424" t="s">
        <v>24</v>
      </c>
      <c r="I17" s="424"/>
      <c r="J17" s="425">
        <v>0.2</v>
      </c>
      <c r="K17" s="426"/>
      <c r="L17" s="427"/>
      <c r="M17" s="427"/>
    </row>
    <row r="18" spans="2:15" hidden="1" x14ac:dyDescent="0.25">
      <c r="B18" s="423"/>
      <c r="C18" s="423" t="s">
        <v>25</v>
      </c>
      <c r="D18" s="423"/>
      <c r="E18" s="423" t="s">
        <v>27</v>
      </c>
      <c r="F18" s="423" t="s">
        <v>28</v>
      </c>
      <c r="G18" s="428" t="s">
        <v>29</v>
      </c>
      <c r="H18" s="428" t="s">
        <v>30</v>
      </c>
      <c r="I18" s="428" t="s">
        <v>31</v>
      </c>
      <c r="J18" s="429" t="s">
        <v>32</v>
      </c>
      <c r="K18" s="429" t="s">
        <v>33</v>
      </c>
      <c r="L18" s="429" t="s">
        <v>34</v>
      </c>
      <c r="M18" s="427"/>
      <c r="N18" s="423" t="s">
        <v>46</v>
      </c>
      <c r="O18" s="423"/>
    </row>
    <row r="19" spans="2:15" hidden="1" x14ac:dyDescent="0.25">
      <c r="B19" s="423" t="s">
        <v>35</v>
      </c>
      <c r="C19" s="423">
        <v>850</v>
      </c>
      <c r="D19" s="423"/>
      <c r="E19" s="426">
        <v>0.8</v>
      </c>
      <c r="F19" s="423">
        <f>21*8*E19</f>
        <v>134.4</v>
      </c>
      <c r="G19" s="430">
        <f>D19/F19</f>
        <v>0</v>
      </c>
      <c r="H19" s="430">
        <f>G19*1.5</f>
        <v>0</v>
      </c>
      <c r="I19" s="430">
        <f t="shared" ref="I19:I27" si="2">G19*2</f>
        <v>0</v>
      </c>
      <c r="J19" s="431">
        <f t="shared" ref="J19:L23" si="3">G19/(1-$J$2)</f>
        <v>0</v>
      </c>
      <c r="K19" s="431">
        <f t="shared" si="3"/>
        <v>0</v>
      </c>
      <c r="L19" s="431">
        <f t="shared" si="3"/>
        <v>0</v>
      </c>
      <c r="M19" s="427"/>
      <c r="N19" s="423"/>
      <c r="O19" s="423"/>
    </row>
    <row r="20" spans="2:15" hidden="1" x14ac:dyDescent="0.25">
      <c r="B20" s="423" t="s">
        <v>37</v>
      </c>
      <c r="C20" s="423">
        <v>2000</v>
      </c>
      <c r="D20" s="423"/>
      <c r="E20" s="426">
        <v>0.8</v>
      </c>
      <c r="F20" s="423">
        <f>21*8*E20</f>
        <v>134.4</v>
      </c>
      <c r="G20" s="430">
        <f>D20/F20</f>
        <v>0</v>
      </c>
      <c r="H20" s="430">
        <f>G20*1.5</f>
        <v>0</v>
      </c>
      <c r="I20" s="430">
        <f t="shared" si="2"/>
        <v>0</v>
      </c>
      <c r="J20" s="431">
        <f t="shared" si="3"/>
        <v>0</v>
      </c>
      <c r="K20" s="431">
        <f t="shared" si="3"/>
        <v>0</v>
      </c>
      <c r="L20" s="431">
        <f t="shared" si="3"/>
        <v>0</v>
      </c>
      <c r="M20" s="427"/>
      <c r="N20" s="423" t="s">
        <v>47</v>
      </c>
      <c r="O20" s="437">
        <v>25</v>
      </c>
    </row>
    <row r="21" spans="2:15" hidden="1" x14ac:dyDescent="0.25">
      <c r="B21" s="423" t="s">
        <v>39</v>
      </c>
      <c r="C21" s="423">
        <v>2850</v>
      </c>
      <c r="D21" s="423"/>
      <c r="E21" s="426">
        <v>0.8</v>
      </c>
      <c r="F21" s="423">
        <f>21*8*E21</f>
        <v>134.4</v>
      </c>
      <c r="G21" s="430">
        <f>D21/F21</f>
        <v>0</v>
      </c>
      <c r="H21" s="430">
        <f>G21*1.5</f>
        <v>0</v>
      </c>
      <c r="I21" s="430">
        <f t="shared" si="2"/>
        <v>0</v>
      </c>
      <c r="J21" s="431">
        <f t="shared" si="3"/>
        <v>0</v>
      </c>
      <c r="K21" s="431">
        <f t="shared" si="3"/>
        <v>0</v>
      </c>
      <c r="L21" s="431">
        <f t="shared" si="3"/>
        <v>0</v>
      </c>
      <c r="M21" s="427"/>
      <c r="N21" s="423" t="s">
        <v>48</v>
      </c>
      <c r="O21" s="437">
        <v>100</v>
      </c>
    </row>
    <row r="22" spans="2:15" hidden="1" x14ac:dyDescent="0.25">
      <c r="B22" s="423" t="s">
        <v>40</v>
      </c>
      <c r="C22" s="423"/>
      <c r="D22" s="423"/>
      <c r="E22" s="423"/>
      <c r="F22" s="423"/>
      <c r="G22" s="430">
        <v>70</v>
      </c>
      <c r="H22" s="430">
        <f>G22</f>
        <v>70</v>
      </c>
      <c r="I22" s="430">
        <f t="shared" si="2"/>
        <v>140</v>
      </c>
      <c r="J22" s="431">
        <f t="shared" si="3"/>
        <v>87.5</v>
      </c>
      <c r="K22" s="431">
        <f t="shared" si="3"/>
        <v>87.5</v>
      </c>
      <c r="L22" s="431">
        <f t="shared" si="3"/>
        <v>175</v>
      </c>
      <c r="M22" s="427"/>
      <c r="N22" s="423" t="s">
        <v>49</v>
      </c>
      <c r="O22" s="437">
        <v>350</v>
      </c>
    </row>
    <row r="23" spans="2:15" hidden="1" x14ac:dyDescent="0.25">
      <c r="B23" s="423" t="s">
        <v>41</v>
      </c>
      <c r="C23" s="423"/>
      <c r="D23" s="423"/>
      <c r="E23" s="423"/>
      <c r="F23" s="423"/>
      <c r="G23" s="430">
        <v>100</v>
      </c>
      <c r="H23" s="430">
        <f>G23</f>
        <v>100</v>
      </c>
      <c r="I23" s="430">
        <f t="shared" si="2"/>
        <v>200</v>
      </c>
      <c r="J23" s="431">
        <f t="shared" si="3"/>
        <v>125</v>
      </c>
      <c r="K23" s="431">
        <f t="shared" si="3"/>
        <v>125</v>
      </c>
      <c r="L23" s="431">
        <f t="shared" si="3"/>
        <v>250</v>
      </c>
      <c r="M23" s="427"/>
      <c r="N23" s="423" t="s">
        <v>50</v>
      </c>
      <c r="O23" s="437">
        <v>600</v>
      </c>
    </row>
    <row r="24" spans="2:15" hidden="1" x14ac:dyDescent="0.25">
      <c r="B24" s="423"/>
      <c r="C24" s="423"/>
      <c r="D24" s="423"/>
      <c r="E24" s="423"/>
      <c r="F24" s="423"/>
      <c r="G24" s="432"/>
      <c r="H24" s="432"/>
      <c r="I24" s="430">
        <f t="shared" si="2"/>
        <v>0</v>
      </c>
      <c r="J24" s="433"/>
      <c r="K24" s="433"/>
      <c r="L24" s="431">
        <f>I24/(1-$J$2)</f>
        <v>0</v>
      </c>
      <c r="M24" s="427"/>
      <c r="N24" s="427"/>
      <c r="O24" s="438"/>
    </row>
    <row r="25" spans="2:15" hidden="1" x14ac:dyDescent="0.25">
      <c r="B25" s="423"/>
      <c r="C25" s="423"/>
      <c r="D25" s="423"/>
      <c r="E25" s="423"/>
      <c r="F25" s="423"/>
      <c r="G25" s="432"/>
      <c r="H25" s="432"/>
      <c r="I25" s="430">
        <f t="shared" si="2"/>
        <v>0</v>
      </c>
      <c r="J25" s="434">
        <f>J17</f>
        <v>0.2</v>
      </c>
      <c r="K25" s="433"/>
      <c r="L25" s="431">
        <f>I25/(1-$J$2)</f>
        <v>0</v>
      </c>
      <c r="M25" s="427"/>
      <c r="N25" s="427"/>
      <c r="O25" s="427"/>
    </row>
    <row r="26" spans="2:15" hidden="1" x14ac:dyDescent="0.25">
      <c r="B26" s="423" t="s">
        <v>42</v>
      </c>
      <c r="C26" s="423">
        <v>1200</v>
      </c>
      <c r="D26" s="423"/>
      <c r="E26" s="426">
        <v>1</v>
      </c>
      <c r="F26" s="423">
        <f>20*8*E26</f>
        <v>160</v>
      </c>
      <c r="G26" s="435">
        <f>D26/F26</f>
        <v>0</v>
      </c>
      <c r="H26" s="435">
        <f>G26*1.5</f>
        <v>0</v>
      </c>
      <c r="I26" s="430">
        <f t="shared" si="2"/>
        <v>0</v>
      </c>
      <c r="J26" s="436">
        <f>G26/(1-$J$10)</f>
        <v>0</v>
      </c>
      <c r="K26" s="433"/>
      <c r="L26" s="431">
        <f>I26/(1-$J$2)</f>
        <v>0</v>
      </c>
      <c r="M26" s="427"/>
      <c r="N26" s="427" t="s">
        <v>51</v>
      </c>
      <c r="O26" s="427"/>
    </row>
    <row r="27" spans="2:15" hidden="1" x14ac:dyDescent="0.25">
      <c r="B27" s="423" t="s">
        <v>43</v>
      </c>
      <c r="C27" s="423">
        <v>2200</v>
      </c>
      <c r="D27" s="423"/>
      <c r="E27" s="426">
        <v>1</v>
      </c>
      <c r="F27" s="423">
        <f>20*8*E27</f>
        <v>160</v>
      </c>
      <c r="G27" s="435">
        <f>D27/F27</f>
        <v>0</v>
      </c>
      <c r="H27" s="435">
        <f>G27*1.5</f>
        <v>0</v>
      </c>
      <c r="I27" s="430">
        <f t="shared" si="2"/>
        <v>0</v>
      </c>
      <c r="J27" s="436">
        <f>G27/(1-$J$10)</f>
        <v>0</v>
      </c>
      <c r="K27" s="433"/>
      <c r="L27" s="431">
        <f>I27/(1-$J$2)</f>
        <v>0</v>
      </c>
      <c r="M27" s="427"/>
    </row>
    <row r="28" spans="2:15" hidden="1" x14ac:dyDescent="0.25">
      <c r="B28" s="427"/>
      <c r="C28" s="427"/>
      <c r="D28" s="427"/>
      <c r="E28" s="427"/>
      <c r="F28" s="427"/>
      <c r="G28" s="427"/>
      <c r="H28" s="427"/>
      <c r="I28" s="427"/>
      <c r="J28" s="427"/>
      <c r="K28" s="427"/>
      <c r="L28" s="427"/>
      <c r="M28" s="427"/>
    </row>
    <row r="29" spans="2:15" hidden="1" x14ac:dyDescent="0.25">
      <c r="B29" s="427"/>
      <c r="C29" s="427"/>
      <c r="D29" s="427"/>
      <c r="E29" s="427"/>
      <c r="F29" s="427"/>
      <c r="G29" s="427"/>
      <c r="H29" s="427" t="s">
        <v>44</v>
      </c>
      <c r="I29" s="427" t="s">
        <v>45</v>
      </c>
      <c r="J29" s="427"/>
      <c r="K29" s="427"/>
      <c r="L29" s="427"/>
      <c r="M29" s="427"/>
    </row>
    <row r="30" spans="2:15" x14ac:dyDescent="0.25">
      <c r="B30" s="427"/>
      <c r="C30" s="427"/>
      <c r="D30" s="427"/>
      <c r="E30" s="427"/>
      <c r="F30" s="427"/>
      <c r="G30" s="427"/>
      <c r="H30" s="427"/>
      <c r="I30" s="427"/>
      <c r="J30" s="427"/>
      <c r="K30" s="427"/>
      <c r="L30" s="427"/>
      <c r="M30" s="427"/>
    </row>
    <row r="32" spans="2:15" x14ac:dyDescent="0.25">
      <c r="D32" s="427"/>
      <c r="E32" s="427"/>
      <c r="F32" s="427"/>
      <c r="G32" s="427"/>
      <c r="H32" s="427"/>
      <c r="I32" s="427"/>
      <c r="J32" s="427"/>
      <c r="K32" s="427"/>
      <c r="L32" s="427"/>
      <c r="M32" s="427"/>
    </row>
    <row r="33" spans="2:13" x14ac:dyDescent="0.25">
      <c r="D33" s="427"/>
      <c r="E33" s="427"/>
      <c r="F33" s="427"/>
      <c r="G33" s="427"/>
      <c r="H33" s="427"/>
      <c r="I33" s="427"/>
      <c r="J33" s="427"/>
      <c r="K33" s="427"/>
      <c r="L33" s="427"/>
      <c r="M33" s="427"/>
    </row>
    <row r="34" spans="2:13" x14ac:dyDescent="0.25">
      <c r="D34" s="427"/>
      <c r="E34" s="427"/>
      <c r="F34" s="427"/>
      <c r="G34" s="427"/>
      <c r="H34" s="427"/>
      <c r="I34" s="427"/>
      <c r="J34" s="427"/>
      <c r="K34" s="427"/>
      <c r="L34" s="427"/>
      <c r="M34" s="427"/>
    </row>
    <row r="35" spans="2:13" x14ac:dyDescent="0.25">
      <c r="D35" s="427"/>
      <c r="E35" s="427"/>
      <c r="F35" s="427"/>
      <c r="G35" s="427"/>
      <c r="H35" s="427"/>
      <c r="I35" s="427"/>
      <c r="J35" s="427"/>
      <c r="K35" s="427"/>
      <c r="L35" s="427"/>
      <c r="M35" s="427"/>
    </row>
    <row r="36" spans="2:13" x14ac:dyDescent="0.25">
      <c r="D36" s="427"/>
      <c r="E36" s="427"/>
      <c r="F36" s="427"/>
      <c r="G36" s="427"/>
      <c r="H36" s="427"/>
      <c r="I36" s="427"/>
      <c r="J36" s="427"/>
      <c r="K36" s="427"/>
      <c r="L36" s="427"/>
      <c r="M36" s="427"/>
    </row>
    <row r="37" spans="2:13" x14ac:dyDescent="0.25">
      <c r="D37" s="427"/>
      <c r="E37" s="427"/>
      <c r="F37" s="427"/>
      <c r="G37" s="427"/>
      <c r="H37" s="427"/>
      <c r="I37" s="427"/>
      <c r="J37" s="427"/>
      <c r="K37" s="427"/>
      <c r="L37" s="427"/>
      <c r="M37" s="427"/>
    </row>
    <row r="38" spans="2:13" x14ac:dyDescent="0.25">
      <c r="D38" s="427"/>
      <c r="E38" s="427"/>
      <c r="F38" s="427"/>
      <c r="G38" s="427"/>
      <c r="H38" s="427"/>
      <c r="I38" s="427"/>
      <c r="J38" s="427"/>
      <c r="K38" s="427"/>
      <c r="L38" s="427"/>
      <c r="M38" s="427"/>
    </row>
    <row r="39" spans="2:13" x14ac:dyDescent="0.25">
      <c r="D39" s="427"/>
      <c r="E39" s="427"/>
      <c r="F39" s="427"/>
      <c r="G39" s="427"/>
      <c r="H39" s="427"/>
      <c r="I39" s="427"/>
      <c r="J39" s="427"/>
      <c r="K39" s="427"/>
      <c r="L39" s="427"/>
      <c r="M39" s="427"/>
    </row>
    <row r="40" spans="2:13" x14ac:dyDescent="0.25">
      <c r="B40" s="427"/>
      <c r="C40" s="427"/>
      <c r="D40" s="427"/>
      <c r="E40" s="427"/>
      <c r="F40" s="427"/>
      <c r="G40" s="427"/>
      <c r="H40" s="427"/>
      <c r="I40" s="427"/>
      <c r="J40" s="427"/>
      <c r="K40" s="427"/>
      <c r="L40" s="427"/>
      <c r="M40" s="427"/>
    </row>
  </sheetData>
  <pageMargins left="0.7" right="0.7" top="0.75" bottom="0.75" header="0.511811023622047" footer="0.511811023622047"/>
  <pageSetup orientation="portrait" horizontalDpi="300" verticalDpi="300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7">
    <tabColor theme="8" tint="0.79998168889431442"/>
  </sheetPr>
  <dimension ref="A1:BD119"/>
  <sheetViews>
    <sheetView showGridLines="0" topLeftCell="A60" zoomScale="77" zoomScaleNormal="77" workbookViewId="0">
      <selection activeCell="J95" sqref="J95"/>
    </sheetView>
  </sheetViews>
  <sheetFormatPr baseColWidth="10" defaultColWidth="11.5546875" defaultRowHeight="16.8" x14ac:dyDescent="0.3"/>
  <cols>
    <col min="1" max="1" width="38" style="413" bestFit="1" customWidth="1"/>
    <col min="2" max="2" width="11.44140625" style="413" bestFit="1" customWidth="1"/>
    <col min="3" max="3" width="10.6640625" style="356" customWidth="1"/>
    <col min="4" max="4" width="40.33203125" style="540" customWidth="1"/>
    <col min="5" max="5" width="15.109375" style="540" bestFit="1" customWidth="1"/>
    <col min="6" max="6" width="14.5546875" style="540" bestFit="1" customWidth="1"/>
    <col min="7" max="7" width="15.88671875" style="540" bestFit="1" customWidth="1"/>
    <col min="8" max="8" width="15.44140625" style="540" bestFit="1" customWidth="1"/>
    <col min="9" max="9" width="11.88671875" style="540" bestFit="1" customWidth="1"/>
    <col min="10" max="10" width="6.33203125" style="356" bestFit="1" customWidth="1"/>
    <col min="11" max="11" width="6.88671875" style="356" bestFit="1" customWidth="1"/>
    <col min="12" max="13" width="13.109375" style="540" bestFit="1" customWidth="1"/>
    <col min="14" max="14" width="11.77734375" style="540" bestFit="1" customWidth="1"/>
    <col min="15" max="15" width="21" style="356" hidden="1" customWidth="1"/>
    <col min="16" max="22" width="8.88671875" style="356" hidden="1" customWidth="1"/>
    <col min="23" max="23" width="10.44140625" style="356" hidden="1" customWidth="1"/>
    <col min="24" max="24" width="8.88671875" style="356" hidden="1" customWidth="1"/>
    <col min="25" max="25" width="11.109375" style="356" bestFit="1" customWidth="1"/>
    <col min="26" max="26" width="11.33203125" style="540" customWidth="1"/>
    <col min="27" max="27" width="9.77734375" style="540" hidden="1" customWidth="1"/>
    <col min="28" max="28" width="29.88671875" style="540" hidden="1" customWidth="1"/>
    <col min="29" max="33" width="7.77734375" style="540" hidden="1" customWidth="1"/>
    <col min="34" max="37" width="8.77734375" style="540" hidden="1" customWidth="1"/>
    <col min="38" max="38" width="11.109375" style="540" bestFit="1" customWidth="1"/>
    <col min="39" max="39" width="10.33203125" style="540" bestFit="1" customWidth="1"/>
    <col min="40" max="40" width="6.21875" style="540" hidden="1" customWidth="1"/>
    <col min="41" max="41" width="30.88671875" style="540" hidden="1" customWidth="1"/>
    <col min="42" max="46" width="11.33203125" style="540" hidden="1" customWidth="1"/>
    <col min="47" max="50" width="12.33203125" style="540" hidden="1" customWidth="1"/>
    <col min="51" max="51" width="11.109375" style="540" bestFit="1" customWidth="1"/>
    <col min="52" max="52" width="11.33203125" style="540" bestFit="1" customWidth="1"/>
    <col min="53" max="53" width="11.77734375" style="540" hidden="1" customWidth="1"/>
    <col min="54" max="54" width="11.5546875" style="540"/>
    <col min="55" max="55" width="38.109375" style="540" customWidth="1"/>
    <col min="56" max="56" width="10.109375" style="540" bestFit="1" customWidth="1"/>
    <col min="57" max="16384" width="11.5546875" style="356"/>
  </cols>
  <sheetData>
    <row r="1" spans="1:56" x14ac:dyDescent="0.3">
      <c r="A1" s="638" t="s">
        <v>427</v>
      </c>
      <c r="D1" s="356"/>
      <c r="E1" s="356"/>
    </row>
    <row r="2" spans="1:56" x14ac:dyDescent="0.3">
      <c r="A2" s="639" t="s">
        <v>429</v>
      </c>
      <c r="D2" s="598" t="s">
        <v>24</v>
      </c>
      <c r="E2" s="629">
        <f>Costos!J2</f>
        <v>0.2</v>
      </c>
      <c r="F2" s="442"/>
    </row>
    <row r="3" spans="1:56" x14ac:dyDescent="0.3">
      <c r="A3" s="640" t="s">
        <v>428</v>
      </c>
    </row>
    <row r="4" spans="1:56" s="445" customFormat="1" ht="16.5" customHeight="1" x14ac:dyDescent="0.3">
      <c r="A4" s="641" t="s">
        <v>430</v>
      </c>
      <c r="B4" s="413"/>
      <c r="D4" s="749" t="s">
        <v>478</v>
      </c>
      <c r="E4" s="869" t="s">
        <v>515</v>
      </c>
      <c r="F4" s="869"/>
      <c r="G4" s="869"/>
      <c r="H4" s="869"/>
      <c r="I4" s="869"/>
      <c r="J4" s="869"/>
      <c r="K4" s="869"/>
      <c r="L4" s="869"/>
      <c r="M4" s="528"/>
      <c r="N4" s="528"/>
      <c r="Z4" s="528"/>
      <c r="AA4" s="528"/>
      <c r="AB4" s="528"/>
      <c r="AC4" s="528"/>
      <c r="AD4" s="528"/>
      <c r="AE4" s="528"/>
      <c r="AF4" s="528"/>
      <c r="AG4" s="528"/>
      <c r="AH4" s="528"/>
      <c r="AI4" s="528"/>
      <c r="AJ4" s="528"/>
      <c r="AK4" s="528"/>
      <c r="AL4" s="528"/>
      <c r="AM4" s="528"/>
      <c r="AN4" s="528"/>
      <c r="AO4" s="528"/>
      <c r="AP4" s="528"/>
      <c r="AQ4" s="528"/>
      <c r="AR4" s="528"/>
      <c r="AS4" s="528"/>
      <c r="AT4" s="528"/>
      <c r="AU4" s="528"/>
      <c r="AV4" s="528"/>
      <c r="AW4" s="528"/>
      <c r="AX4" s="528"/>
      <c r="AY4" s="528"/>
      <c r="AZ4" s="528"/>
      <c r="BA4" s="528"/>
      <c r="BB4" s="528"/>
      <c r="BC4" s="528"/>
      <c r="BD4" s="528"/>
    </row>
    <row r="5" spans="1:56" x14ac:dyDescent="0.3">
      <c r="A5" s="642" t="s">
        <v>431</v>
      </c>
      <c r="B5" s="356"/>
      <c r="D5" s="446"/>
      <c r="E5" s="447"/>
      <c r="F5" s="447"/>
      <c r="G5" s="447"/>
      <c r="H5" s="447"/>
      <c r="I5" s="447"/>
      <c r="J5" s="447"/>
      <c r="K5" s="447"/>
      <c r="L5" s="447"/>
      <c r="M5" s="447"/>
      <c r="N5" s="447"/>
      <c r="O5" s="597" t="s">
        <v>130</v>
      </c>
      <c r="P5" s="597"/>
      <c r="Q5" s="597"/>
      <c r="R5" s="597"/>
      <c r="S5" s="597"/>
      <c r="T5" s="597"/>
      <c r="U5" s="597"/>
      <c r="V5" s="597"/>
      <c r="W5" s="597"/>
      <c r="X5" s="597"/>
      <c r="Y5" s="597"/>
      <c r="Z5" s="597"/>
      <c r="AA5" s="448"/>
      <c r="AB5" s="597" t="s">
        <v>131</v>
      </c>
      <c r="AC5" s="597"/>
      <c r="AD5" s="597"/>
      <c r="AE5" s="597"/>
      <c r="AF5" s="597"/>
      <c r="AG5" s="597"/>
      <c r="AH5" s="597"/>
      <c r="AI5" s="597"/>
      <c r="AJ5" s="597"/>
      <c r="AK5" s="597"/>
      <c r="AL5" s="597"/>
      <c r="AM5" s="597"/>
      <c r="AN5" s="448"/>
      <c r="AO5" s="597" t="s">
        <v>132</v>
      </c>
      <c r="AP5" s="597"/>
      <c r="AQ5" s="597"/>
      <c r="AR5" s="597"/>
      <c r="AS5" s="597"/>
      <c r="AT5" s="597"/>
      <c r="AU5" s="597"/>
      <c r="AV5" s="597"/>
      <c r="AW5" s="597"/>
      <c r="AX5" s="597"/>
      <c r="AY5" s="597"/>
      <c r="AZ5" s="597"/>
      <c r="BA5" s="448"/>
      <c r="BB5" s="422"/>
      <c r="BC5" s="356"/>
      <c r="BD5" s="356"/>
    </row>
    <row r="6" spans="1:56" ht="40.799999999999997" thickBot="1" x14ac:dyDescent="0.35">
      <c r="C6"/>
      <c r="D6" s="449" t="s">
        <v>54</v>
      </c>
      <c r="E6" s="449" t="s">
        <v>55</v>
      </c>
      <c r="F6" s="449" t="s">
        <v>56</v>
      </c>
      <c r="G6" s="449" t="s">
        <v>57</v>
      </c>
      <c r="H6" s="449" t="s">
        <v>58</v>
      </c>
      <c r="I6" s="449" t="s">
        <v>59</v>
      </c>
      <c r="J6" s="449"/>
      <c r="K6" s="449" t="s">
        <v>60</v>
      </c>
      <c r="L6" s="449" t="s">
        <v>61</v>
      </c>
      <c r="M6" s="449" t="s">
        <v>133</v>
      </c>
      <c r="N6" s="449" t="s">
        <v>134</v>
      </c>
      <c r="O6" s="449"/>
      <c r="P6" s="450" t="s">
        <v>135</v>
      </c>
      <c r="Q6" s="449"/>
      <c r="R6" s="450" t="s">
        <v>135</v>
      </c>
      <c r="S6" s="449"/>
      <c r="T6" s="450" t="s">
        <v>135</v>
      </c>
      <c r="U6" s="449"/>
      <c r="V6" s="450" t="s">
        <v>135</v>
      </c>
      <c r="W6" s="449"/>
      <c r="X6" s="450" t="s">
        <v>135</v>
      </c>
      <c r="Y6" s="450" t="s">
        <v>136</v>
      </c>
      <c r="Z6" s="449" t="s">
        <v>18</v>
      </c>
      <c r="AA6" s="577"/>
      <c r="AB6" s="449"/>
      <c r="AC6" s="450" t="s">
        <v>135</v>
      </c>
      <c r="AD6" s="449"/>
      <c r="AE6" s="450" t="s">
        <v>135</v>
      </c>
      <c r="AF6" s="449"/>
      <c r="AG6" s="450" t="s">
        <v>135</v>
      </c>
      <c r="AH6" s="449"/>
      <c r="AI6" s="450" t="s">
        <v>135</v>
      </c>
      <c r="AJ6" s="449"/>
      <c r="AK6" s="450" t="s">
        <v>135</v>
      </c>
      <c r="AL6" s="450" t="s">
        <v>136</v>
      </c>
      <c r="AM6" s="449" t="s">
        <v>436</v>
      </c>
      <c r="AN6" s="577"/>
      <c r="AO6" s="578"/>
      <c r="AP6" s="450" t="s">
        <v>135</v>
      </c>
      <c r="AQ6" s="449"/>
      <c r="AR6" s="450" t="s">
        <v>135</v>
      </c>
      <c r="AS6" s="449"/>
      <c r="AT6" s="450" t="s">
        <v>135</v>
      </c>
      <c r="AU6" s="449"/>
      <c r="AV6" s="450" t="s">
        <v>135</v>
      </c>
      <c r="AW6" s="449"/>
      <c r="AX6" s="450" t="s">
        <v>135</v>
      </c>
      <c r="AY6" s="450" t="s">
        <v>136</v>
      </c>
      <c r="AZ6" s="449" t="s">
        <v>435</v>
      </c>
      <c r="BA6" s="577"/>
      <c r="BB6" s="422"/>
    </row>
    <row r="7" spans="1:56" x14ac:dyDescent="0.3">
      <c r="A7" s="687"/>
      <c r="B7" s="687"/>
      <c r="C7"/>
      <c r="D7" s="529" t="s">
        <v>42</v>
      </c>
      <c r="E7" s="541"/>
      <c r="F7" s="541"/>
      <c r="G7" s="541"/>
      <c r="H7" s="541"/>
      <c r="I7" s="541"/>
      <c r="J7" s="453"/>
      <c r="K7" s="453"/>
      <c r="L7" s="559"/>
      <c r="M7" s="541"/>
      <c r="N7" s="541"/>
      <c r="O7" s="454">
        <f>($W$7*Costos!$J$11)</f>
        <v>238.4765625</v>
      </c>
      <c r="P7" s="455">
        <f>($W$7*Costos!$G$11)</f>
        <v>190.78125</v>
      </c>
      <c r="Q7" s="454">
        <f>($W$7*Costos!$J$12)</f>
        <v>279.8125</v>
      </c>
      <c r="R7" s="455">
        <f>($W$7*Costos!$G$12)</f>
        <v>223.85000000000002</v>
      </c>
      <c r="S7" s="453"/>
      <c r="T7" s="456"/>
      <c r="U7" s="453"/>
      <c r="V7" s="456"/>
      <c r="W7" s="453">
        <f>SUM($L$11:$M$74)*0.25</f>
        <v>11</v>
      </c>
      <c r="X7" s="456">
        <f>SUM($L$11:$M$74)*0.25</f>
        <v>11</v>
      </c>
      <c r="Y7" s="457">
        <f>IF($D$7="Gestión de Proyecto 1",P7,R7)</f>
        <v>190.78125</v>
      </c>
      <c r="Z7" s="766">
        <f>IF($D$7="Gestión de Proyecto 1",O7,Q7)</f>
        <v>238.4765625</v>
      </c>
      <c r="AA7" s="767"/>
      <c r="AB7" s="768"/>
      <c r="AC7" s="768"/>
      <c r="AD7" s="768"/>
      <c r="AE7" s="768"/>
      <c r="AF7" s="769"/>
      <c r="AG7" s="769"/>
      <c r="AH7" s="769"/>
      <c r="AI7" s="769"/>
      <c r="AJ7" s="769"/>
      <c r="AK7" s="769"/>
      <c r="AL7" s="770"/>
      <c r="AM7" s="771"/>
      <c r="AN7" s="772"/>
      <c r="AO7" s="773"/>
      <c r="AP7" s="774"/>
      <c r="AQ7" s="774"/>
      <c r="AR7" s="774"/>
      <c r="AS7" s="775"/>
      <c r="AT7" s="775"/>
      <c r="AU7" s="775"/>
      <c r="AV7" s="775"/>
      <c r="AW7" s="775"/>
      <c r="AX7" s="775"/>
      <c r="AY7" s="776"/>
      <c r="AZ7" s="777"/>
      <c r="BA7" s="577"/>
      <c r="BB7" s="537"/>
    </row>
    <row r="8" spans="1:56" x14ac:dyDescent="0.3">
      <c r="A8" s="688"/>
      <c r="B8" s="576"/>
      <c r="C8"/>
      <c r="D8" s="507" t="s">
        <v>64</v>
      </c>
      <c r="E8" s="542"/>
      <c r="F8" s="542"/>
      <c r="G8" s="542"/>
      <c r="H8" s="542"/>
      <c r="I8" s="542"/>
      <c r="J8" s="460"/>
      <c r="K8" s="460"/>
      <c r="L8" s="560"/>
      <c r="M8" s="560"/>
      <c r="N8" s="560"/>
      <c r="O8" s="462">
        <f>SUM($L$11:$L$79,L80/Costos!G5)</f>
        <v>44</v>
      </c>
      <c r="P8" s="463">
        <f>SUM(L11:L79)</f>
        <v>44</v>
      </c>
      <c r="Q8" s="462">
        <f>SUM($M$11:$N$79,M80/Costos!H5,Implementacion!N80/Costos!I5)</f>
        <v>0</v>
      </c>
      <c r="R8" s="463">
        <f>SUM(M11:N79)</f>
        <v>0</v>
      </c>
      <c r="S8" s="462">
        <f>$O$8/7</f>
        <v>6.2857142857142856</v>
      </c>
      <c r="T8" s="463">
        <f>$O$8/7</f>
        <v>6.2857142857142856</v>
      </c>
      <c r="U8" s="462">
        <f>$Q$8/6</f>
        <v>0</v>
      </c>
      <c r="V8" s="463">
        <f>$Q$8/6</f>
        <v>0</v>
      </c>
      <c r="W8" s="464"/>
      <c r="X8" s="465"/>
      <c r="Y8" s="466">
        <f>($T$8*15)+($V$8*25)</f>
        <v>94.285714285714278</v>
      </c>
      <c r="Z8" s="778">
        <f>Y8/(1-$E$2)</f>
        <v>117.85714285714285</v>
      </c>
      <c r="AA8" s="767"/>
      <c r="AB8" s="779"/>
      <c r="AC8" s="779"/>
      <c r="AD8" s="779"/>
      <c r="AE8" s="779"/>
      <c r="AF8" s="779"/>
      <c r="AG8" s="779"/>
      <c r="AH8" s="779"/>
      <c r="AI8" s="779"/>
      <c r="AJ8" s="780"/>
      <c r="AK8" s="780"/>
      <c r="AL8" s="780"/>
      <c r="AM8" s="781"/>
      <c r="AN8" s="782"/>
      <c r="AO8" s="783"/>
      <c r="AP8" s="784"/>
      <c r="AQ8" s="784"/>
      <c r="AR8" s="784"/>
      <c r="AS8" s="784"/>
      <c r="AT8" s="784"/>
      <c r="AU8" s="784"/>
      <c r="AV8" s="784"/>
      <c r="AW8" s="785"/>
      <c r="AX8" s="785"/>
      <c r="AY8" s="785"/>
      <c r="AZ8" s="786"/>
      <c r="BA8" s="577"/>
      <c r="BB8" s="537"/>
    </row>
    <row r="9" spans="1:56" ht="17.399999999999999" thickBot="1" x14ac:dyDescent="0.35">
      <c r="A9" s="689"/>
      <c r="B9" s="576"/>
      <c r="C9"/>
      <c r="D9" s="508" t="s">
        <v>65</v>
      </c>
      <c r="E9" s="543"/>
      <c r="F9" s="543"/>
      <c r="G9" s="543"/>
      <c r="H9" s="543"/>
      <c r="I9" s="543"/>
      <c r="J9" s="471"/>
      <c r="K9" s="471"/>
      <c r="L9" s="561"/>
      <c r="M9" s="562"/>
      <c r="N9" s="562"/>
      <c r="O9" s="473"/>
      <c r="P9" s="474"/>
      <c r="Q9" s="473"/>
      <c r="R9" s="474"/>
      <c r="S9" s="473"/>
      <c r="T9" s="474"/>
      <c r="U9" s="473"/>
      <c r="V9" s="474"/>
      <c r="W9" s="475">
        <f>$W$7</f>
        <v>11</v>
      </c>
      <c r="X9" s="476">
        <f>$W$7</f>
        <v>11</v>
      </c>
      <c r="Y9" s="477">
        <f>$W$9*Costos!$G$5</f>
        <v>255.01253132832079</v>
      </c>
      <c r="Z9" s="787">
        <f>$W$9*Costos!$J$5</f>
        <v>318.765664160401</v>
      </c>
      <c r="AA9" s="767"/>
      <c r="AB9" s="779"/>
      <c r="AC9" s="779"/>
      <c r="AD9" s="779"/>
      <c r="AE9" s="779"/>
      <c r="AF9" s="779"/>
      <c r="AG9" s="779"/>
      <c r="AH9" s="779"/>
      <c r="AI9" s="779"/>
      <c r="AJ9" s="788"/>
      <c r="AK9" s="788"/>
      <c r="AL9" s="780"/>
      <c r="AM9" s="781"/>
      <c r="AN9" s="782"/>
      <c r="AO9" s="783"/>
      <c r="AP9" s="784"/>
      <c r="AQ9" s="784"/>
      <c r="AR9" s="784"/>
      <c r="AS9" s="784"/>
      <c r="AT9" s="784"/>
      <c r="AU9" s="784"/>
      <c r="AV9" s="784"/>
      <c r="AW9" s="789"/>
      <c r="AX9" s="789"/>
      <c r="AY9" s="785"/>
      <c r="AZ9" s="786"/>
      <c r="BA9" s="577"/>
      <c r="BB9" s="537"/>
    </row>
    <row r="10" spans="1:56" s="415" customFormat="1" ht="17.399999999999999" thickBot="1" x14ac:dyDescent="0.3">
      <c r="A10" s="689"/>
      <c r="B10" s="576"/>
      <c r="C10"/>
      <c r="D10" s="530"/>
      <c r="E10" s="544"/>
      <c r="F10" s="544"/>
      <c r="G10" s="544"/>
      <c r="H10" s="544"/>
      <c r="I10" s="544"/>
      <c r="J10" s="479"/>
      <c r="K10" s="479"/>
      <c r="L10" s="563"/>
      <c r="M10" s="564"/>
      <c r="N10" s="564"/>
      <c r="O10" s="479"/>
      <c r="P10" s="480"/>
      <c r="Q10" s="479"/>
      <c r="R10" s="480"/>
      <c r="S10" s="479"/>
      <c r="T10" s="480"/>
      <c r="U10" s="479"/>
      <c r="V10" s="480"/>
      <c r="W10" s="481"/>
      <c r="X10" s="482"/>
      <c r="Y10" s="483"/>
      <c r="Z10" s="579"/>
      <c r="AA10" s="580"/>
      <c r="AB10" s="544"/>
      <c r="AC10" s="581"/>
      <c r="AD10" s="544"/>
      <c r="AE10" s="581"/>
      <c r="AF10" s="544"/>
      <c r="AG10" s="581"/>
      <c r="AH10" s="544"/>
      <c r="AI10" s="581"/>
      <c r="AJ10" s="582"/>
      <c r="AK10" s="583"/>
      <c r="AL10" s="584"/>
      <c r="AM10" s="579"/>
      <c r="AN10" s="580"/>
      <c r="AO10" s="544"/>
      <c r="AP10" s="581"/>
      <c r="AQ10" s="544"/>
      <c r="AR10" s="581"/>
      <c r="AS10" s="544"/>
      <c r="AT10" s="581"/>
      <c r="AU10" s="544"/>
      <c r="AV10" s="581"/>
      <c r="AW10" s="582"/>
      <c r="AX10" s="583"/>
      <c r="AY10" s="584"/>
      <c r="AZ10" s="579"/>
      <c r="BA10" s="580"/>
      <c r="BB10" s="585"/>
    </row>
    <row r="11" spans="1:56" ht="17.399999999999999" thickBot="1" x14ac:dyDescent="0.35">
      <c r="A11" s="689"/>
      <c r="B11" s="576"/>
      <c r="C11"/>
      <c r="D11" s="484"/>
      <c r="E11" s="545"/>
      <c r="F11" s="545"/>
      <c r="G11" s="545"/>
      <c r="H11" s="545"/>
      <c r="I11" s="545"/>
      <c r="J11" s="486"/>
      <c r="K11" s="486"/>
      <c r="L11" s="565"/>
      <c r="M11" s="565"/>
      <c r="N11" s="565"/>
      <c r="O11" s="487">
        <f>($L11*Costos!$J$4)</f>
        <v>0</v>
      </c>
      <c r="P11" s="488">
        <f>($L11*Costos!$G$4)</f>
        <v>0</v>
      </c>
      <c r="Q11" s="487">
        <f>($L11*Costos!$J$5)</f>
        <v>0</v>
      </c>
      <c r="R11" s="488">
        <f>($L11*Costos!$G$5)</f>
        <v>0</v>
      </c>
      <c r="S11" s="487">
        <f>($L11*Costos!$J$6)</f>
        <v>0</v>
      </c>
      <c r="T11" s="488">
        <f>($L11*Costos!$G$6)</f>
        <v>0</v>
      </c>
      <c r="U11" s="487">
        <f>($L11*Costos!$J$7)</f>
        <v>0</v>
      </c>
      <c r="V11" s="488">
        <f>($L11*Costos!$G$7)</f>
        <v>0</v>
      </c>
      <c r="W11" s="487">
        <f>($L11*Costos!$J$8)</f>
        <v>0</v>
      </c>
      <c r="X11" s="488">
        <f>($L11*Costos!$G$8)</f>
        <v>0</v>
      </c>
      <c r="Y11" s="489">
        <f t="shared" ref="Y11:Y42" si="0">IF($E11="x",P11,0)+IF($F11="x",R11,0)+IF($G11="x",T11,0)+IF($H11="x",V11,0)+IF($I11="x",X11,0)</f>
        <v>0</v>
      </c>
      <c r="Z11" s="778">
        <f t="shared" ref="Z11:Z42" si="1">IF($E11="x",O11,0)+IF($F11="x",Q11,0)+IF($G11="x",S11,0)+IF($H11="x",U11,0)+IF($I11="x",W11,0)</f>
        <v>0</v>
      </c>
      <c r="AA11" s="790"/>
      <c r="AB11" s="791">
        <f>($M11*Costos!$K$4)</f>
        <v>0</v>
      </c>
      <c r="AC11" s="792">
        <f>($M11*Costos!$H$4)</f>
        <v>0</v>
      </c>
      <c r="AD11" s="791">
        <f>($M11*Costos!$K$5)</f>
        <v>0</v>
      </c>
      <c r="AE11" s="792">
        <f>($M11*Costos!$H$5)</f>
        <v>0</v>
      </c>
      <c r="AF11" s="791">
        <f>($M11*Costos!$K$6)</f>
        <v>0</v>
      </c>
      <c r="AG11" s="792">
        <f>($M11*Costos!$H$6)</f>
        <v>0</v>
      </c>
      <c r="AH11" s="791">
        <f>($M11*Costos!$K$7)</f>
        <v>0</v>
      </c>
      <c r="AI11" s="792">
        <f>($M11*Costos!$H$7)</f>
        <v>0</v>
      </c>
      <c r="AJ11" s="791">
        <f>($M11*Costos!$K$8)</f>
        <v>0</v>
      </c>
      <c r="AK11" s="792">
        <f>($M11*Costos!$H$8)</f>
        <v>0</v>
      </c>
      <c r="AL11" s="793">
        <f t="shared" ref="AL11:AL42" si="2">IF($E11="x",AC11,0)+IF($F11="x",AE11,0)+IF($G11="x",AG11,0)+IF($H11="x",AI11,0)+IF($I11="x",AK11,0)</f>
        <v>0</v>
      </c>
      <c r="AM11" s="778">
        <f t="shared" ref="AM11:AM42" si="3">IF($E11="x",AB11,0)+IF($F11="x",AD11,0)+IF($G11="x",AF11,0)+IF($H11="x",AH11,0)+IF($I11="x",AJ11,0)</f>
        <v>0</v>
      </c>
      <c r="AN11" s="790"/>
      <c r="AO11" s="791">
        <f>($N11*Costos!$L$4)</f>
        <v>0</v>
      </c>
      <c r="AP11" s="792">
        <f>($N11*Costos!$I$4)</f>
        <v>0</v>
      </c>
      <c r="AQ11" s="791">
        <f>($N11*Costos!$L$5)</f>
        <v>0</v>
      </c>
      <c r="AR11" s="792">
        <f>($N11*Costos!$I$5)</f>
        <v>0</v>
      </c>
      <c r="AS11" s="791">
        <f>($N11*Costos!$L$6)</f>
        <v>0</v>
      </c>
      <c r="AT11" s="792">
        <f>($N11*Costos!$I$6)</f>
        <v>0</v>
      </c>
      <c r="AU11" s="791">
        <f>($N11*Costos!$L$7)</f>
        <v>0</v>
      </c>
      <c r="AV11" s="792">
        <f>($N11*Costos!$I$7)</f>
        <v>0</v>
      </c>
      <c r="AW11" s="791">
        <f>($N11*Costos!$L$8)</f>
        <v>0</v>
      </c>
      <c r="AX11" s="792">
        <f>($N11*Costos!$I$8)</f>
        <v>0</v>
      </c>
      <c r="AY11" s="793">
        <f t="shared" ref="AY11:AY42" si="4">IF($E11="x",AP11,0)+IF($F11="x",AR11,0)+IF($G11="x",AT11,0)+IF($H11="x",AV11,0)+IF($I11="x",AX11,0)</f>
        <v>0</v>
      </c>
      <c r="AZ11" s="778">
        <f t="shared" ref="AZ11:AZ42" si="5">IF($E11="x",AO11,0)+IF($F11="x",AQ11,0)+IF($G11="x",AS11,0)+IF($H11="x",AU11,0)+IF($I11="x",AW11,0)</f>
        <v>0</v>
      </c>
      <c r="BA11" s="586"/>
      <c r="BB11" s="537"/>
    </row>
    <row r="12" spans="1:56" ht="17.399999999999999" thickBot="1" x14ac:dyDescent="0.35">
      <c r="A12" s="689"/>
      <c r="B12" s="690"/>
      <c r="C12"/>
      <c r="D12" s="491" t="s">
        <v>510</v>
      </c>
      <c r="E12" s="546"/>
      <c r="F12" s="546"/>
      <c r="G12" s="546" t="s">
        <v>67</v>
      </c>
      <c r="H12" s="546"/>
      <c r="I12" s="546"/>
      <c r="J12" s="460"/>
      <c r="K12" s="460"/>
      <c r="L12" s="566">
        <v>3</v>
      </c>
      <c r="M12" s="566"/>
      <c r="N12" s="566"/>
      <c r="O12" s="487">
        <f>($L12*Costos!$J$4)</f>
        <v>52.161654135338345</v>
      </c>
      <c r="P12" s="488">
        <f>($L12*Costos!$G$4)</f>
        <v>41.729323308270679</v>
      </c>
      <c r="Q12" s="487">
        <f>($L12*Costos!$J$5)</f>
        <v>86.936090225563902</v>
      </c>
      <c r="R12" s="488">
        <f>($L12*Costos!$G$5)</f>
        <v>69.548872180451127</v>
      </c>
      <c r="S12" s="487">
        <f>($L12*Costos!$J$6)</f>
        <v>104.32330827067669</v>
      </c>
      <c r="T12" s="488">
        <f>($L12*Costos!$G$6)</f>
        <v>83.458646616541358</v>
      </c>
      <c r="U12" s="487">
        <f>($L12*Costos!$J$7)</f>
        <v>262.5</v>
      </c>
      <c r="V12" s="488">
        <f>($L12*Costos!$G$7)</f>
        <v>210</v>
      </c>
      <c r="W12" s="487">
        <f>($L12*Costos!$J$8)</f>
        <v>375</v>
      </c>
      <c r="X12" s="488">
        <f>($L12*Costos!$G$8)</f>
        <v>300</v>
      </c>
      <c r="Y12" s="489">
        <f t="shared" si="0"/>
        <v>83.458646616541358</v>
      </c>
      <c r="Z12" s="778">
        <f t="shared" si="1"/>
        <v>104.32330827067669</v>
      </c>
      <c r="AA12" s="790"/>
      <c r="AB12" s="791">
        <f>($M12*Costos!$K$4)</f>
        <v>0</v>
      </c>
      <c r="AC12" s="792">
        <f>($M12*Costos!$H$4)</f>
        <v>0</v>
      </c>
      <c r="AD12" s="791">
        <f>($M12*Costos!$K$5)</f>
        <v>0</v>
      </c>
      <c r="AE12" s="792">
        <f>($M12*Costos!$H$5)</f>
        <v>0</v>
      </c>
      <c r="AF12" s="791">
        <f>($M12*Costos!$K$6)</f>
        <v>0</v>
      </c>
      <c r="AG12" s="792">
        <f>($M12*Costos!$H$6)</f>
        <v>0</v>
      </c>
      <c r="AH12" s="791">
        <f>($M12*Costos!$K$7)</f>
        <v>0</v>
      </c>
      <c r="AI12" s="792">
        <f>($M12*Costos!$H$7)</f>
        <v>0</v>
      </c>
      <c r="AJ12" s="791">
        <f>($M12*Costos!$K$8)</f>
        <v>0</v>
      </c>
      <c r="AK12" s="792">
        <f>($M12*Costos!$H$8)</f>
        <v>0</v>
      </c>
      <c r="AL12" s="793">
        <f t="shared" si="2"/>
        <v>0</v>
      </c>
      <c r="AM12" s="778">
        <f t="shared" si="3"/>
        <v>0</v>
      </c>
      <c r="AN12" s="790"/>
      <c r="AO12" s="791">
        <f>($N12*Costos!$L$4)</f>
        <v>0</v>
      </c>
      <c r="AP12" s="792">
        <f>($N12*Costos!$I$4)</f>
        <v>0</v>
      </c>
      <c r="AQ12" s="791">
        <f>($N12*Costos!$L$5)</f>
        <v>0</v>
      </c>
      <c r="AR12" s="792">
        <f>($N12*Costos!$I$5)</f>
        <v>0</v>
      </c>
      <c r="AS12" s="791">
        <f>($N12*Costos!$L$6)</f>
        <v>0</v>
      </c>
      <c r="AT12" s="792">
        <f>($N12*Costos!$I$6)</f>
        <v>0</v>
      </c>
      <c r="AU12" s="791">
        <f>($N12*Costos!$L$7)</f>
        <v>0</v>
      </c>
      <c r="AV12" s="792">
        <f>($N12*Costos!$I$7)</f>
        <v>0</v>
      </c>
      <c r="AW12" s="791">
        <f>($N12*Costos!$L$8)</f>
        <v>0</v>
      </c>
      <c r="AX12" s="792">
        <f>($N12*Costos!$I$8)</f>
        <v>0</v>
      </c>
      <c r="AY12" s="793">
        <f t="shared" si="4"/>
        <v>0</v>
      </c>
      <c r="AZ12" s="778">
        <f t="shared" si="5"/>
        <v>0</v>
      </c>
      <c r="BA12" s="586"/>
      <c r="BB12" s="537"/>
    </row>
    <row r="13" spans="1:56" ht="17.399999999999999" thickBot="1" x14ac:dyDescent="0.35">
      <c r="A13" s="689"/>
      <c r="B13" s="576"/>
      <c r="C13"/>
      <c r="D13" s="823" t="s">
        <v>511</v>
      </c>
      <c r="E13" s="684"/>
      <c r="F13" s="684"/>
      <c r="G13" s="684" t="s">
        <v>67</v>
      </c>
      <c r="H13" s="684"/>
      <c r="I13" s="684"/>
      <c r="J13" s="460"/>
      <c r="K13" s="460"/>
      <c r="L13" s="685">
        <v>6</v>
      </c>
      <c r="M13" s="685"/>
      <c r="N13" s="686"/>
      <c r="O13" s="487">
        <f>($L13*Costos!$J$4)</f>
        <v>104.32330827067669</v>
      </c>
      <c r="P13" s="488">
        <f>($L13*Costos!$G$4)</f>
        <v>83.458646616541358</v>
      </c>
      <c r="Q13" s="487">
        <f>($L13*Costos!$J$5)</f>
        <v>173.8721804511278</v>
      </c>
      <c r="R13" s="488">
        <f>($L13*Costos!$G$5)</f>
        <v>139.09774436090225</v>
      </c>
      <c r="S13" s="487">
        <f>($L13*Costos!$J$6)</f>
        <v>208.64661654135338</v>
      </c>
      <c r="T13" s="488">
        <f>($L13*Costos!$G$6)</f>
        <v>166.91729323308272</v>
      </c>
      <c r="U13" s="487">
        <f>($L13*Costos!$J$7)</f>
        <v>525</v>
      </c>
      <c r="V13" s="488">
        <f>($L13*Costos!$G$7)</f>
        <v>420</v>
      </c>
      <c r="W13" s="487">
        <f>($L13*Costos!$J$8)</f>
        <v>750</v>
      </c>
      <c r="X13" s="488">
        <f>($L13*Costos!$G$8)</f>
        <v>600</v>
      </c>
      <c r="Y13" s="489">
        <f t="shared" si="0"/>
        <v>166.91729323308272</v>
      </c>
      <c r="Z13" s="778">
        <f t="shared" si="1"/>
        <v>208.64661654135338</v>
      </c>
      <c r="AA13" s="790"/>
      <c r="AB13" s="791">
        <f>($M13*Costos!$K$4)</f>
        <v>0</v>
      </c>
      <c r="AC13" s="792">
        <f>($M13*Costos!$H$4)</f>
        <v>0</v>
      </c>
      <c r="AD13" s="791">
        <f>($M13*Costos!$K$5)</f>
        <v>0</v>
      </c>
      <c r="AE13" s="792">
        <f>($M13*Costos!$H$5)</f>
        <v>0</v>
      </c>
      <c r="AF13" s="791">
        <f>($M13*Costos!$K$6)</f>
        <v>0</v>
      </c>
      <c r="AG13" s="792">
        <f>($M13*Costos!$H$6)</f>
        <v>0</v>
      </c>
      <c r="AH13" s="791">
        <f>($M13*Costos!$K$7)</f>
        <v>0</v>
      </c>
      <c r="AI13" s="792">
        <f>($M13*Costos!$H$7)</f>
        <v>0</v>
      </c>
      <c r="AJ13" s="791">
        <f>($M13*Costos!$K$8)</f>
        <v>0</v>
      </c>
      <c r="AK13" s="792">
        <f>($M13*Costos!$H$8)</f>
        <v>0</v>
      </c>
      <c r="AL13" s="793">
        <f t="shared" si="2"/>
        <v>0</v>
      </c>
      <c r="AM13" s="778">
        <f t="shared" si="3"/>
        <v>0</v>
      </c>
      <c r="AN13" s="790"/>
      <c r="AO13" s="791">
        <f>($N13*Costos!$L$4)</f>
        <v>0</v>
      </c>
      <c r="AP13" s="792">
        <f>($N13*Costos!$I$4)</f>
        <v>0</v>
      </c>
      <c r="AQ13" s="791">
        <f>($N13*Costos!$L$5)</f>
        <v>0</v>
      </c>
      <c r="AR13" s="792">
        <f>($N13*Costos!$I$5)</f>
        <v>0</v>
      </c>
      <c r="AS13" s="791">
        <f>($N13*Costos!$L$6)</f>
        <v>0</v>
      </c>
      <c r="AT13" s="792">
        <f>($N13*Costos!$I$6)</f>
        <v>0</v>
      </c>
      <c r="AU13" s="791">
        <f>($N13*Costos!$L$7)</f>
        <v>0</v>
      </c>
      <c r="AV13" s="792">
        <f>($N13*Costos!$I$7)</f>
        <v>0</v>
      </c>
      <c r="AW13" s="791">
        <f>($N13*Costos!$L$8)</f>
        <v>0</v>
      </c>
      <c r="AX13" s="792">
        <f>($N13*Costos!$I$8)</f>
        <v>0</v>
      </c>
      <c r="AY13" s="793">
        <f t="shared" si="4"/>
        <v>0</v>
      </c>
      <c r="AZ13" s="778">
        <f t="shared" si="5"/>
        <v>0</v>
      </c>
      <c r="BA13" s="586"/>
      <c r="BB13" s="537"/>
    </row>
    <row r="14" spans="1:56" ht="17.399999999999999" thickBot="1" x14ac:dyDescent="0.35">
      <c r="A14" s="689"/>
      <c r="B14" s="576"/>
      <c r="C14"/>
      <c r="D14" s="823" t="s">
        <v>512</v>
      </c>
      <c r="E14" s="684"/>
      <c r="F14" s="684"/>
      <c r="G14" s="684" t="s">
        <v>67</v>
      </c>
      <c r="H14" s="684"/>
      <c r="I14" s="684"/>
      <c r="J14" s="460"/>
      <c r="K14" s="460"/>
      <c r="L14" s="685">
        <v>6</v>
      </c>
      <c r="M14" s="685"/>
      <c r="N14" s="686"/>
      <c r="O14" s="487">
        <f>($L14*Costos!$J$4)</f>
        <v>104.32330827067669</v>
      </c>
      <c r="P14" s="488">
        <f>($L14*Costos!$G$4)</f>
        <v>83.458646616541358</v>
      </c>
      <c r="Q14" s="487">
        <f>($L14*Costos!$J$5)</f>
        <v>173.8721804511278</v>
      </c>
      <c r="R14" s="488">
        <f>($L14*Costos!$G$5)</f>
        <v>139.09774436090225</v>
      </c>
      <c r="S14" s="487">
        <f>($L14*Costos!$J$6)</f>
        <v>208.64661654135338</v>
      </c>
      <c r="T14" s="488">
        <f>($L14*Costos!$G$6)</f>
        <v>166.91729323308272</v>
      </c>
      <c r="U14" s="487">
        <f>($L14*Costos!$J$7)</f>
        <v>525</v>
      </c>
      <c r="V14" s="488">
        <f>($L14*Costos!$G$7)</f>
        <v>420</v>
      </c>
      <c r="W14" s="487">
        <f>($L14*Costos!$J$8)</f>
        <v>750</v>
      </c>
      <c r="X14" s="488">
        <f>($L14*Costos!$G$8)</f>
        <v>600</v>
      </c>
      <c r="Y14" s="489">
        <f t="shared" si="0"/>
        <v>166.91729323308272</v>
      </c>
      <c r="Z14" s="778">
        <f t="shared" si="1"/>
        <v>208.64661654135338</v>
      </c>
      <c r="AA14" s="790"/>
      <c r="AB14" s="791">
        <f>($M14*Costos!$K$4)</f>
        <v>0</v>
      </c>
      <c r="AC14" s="792">
        <f>($M14*Costos!$H$4)</f>
        <v>0</v>
      </c>
      <c r="AD14" s="791">
        <f>($M14*Costos!$K$5)</f>
        <v>0</v>
      </c>
      <c r="AE14" s="792">
        <f>($M14*Costos!$H$5)</f>
        <v>0</v>
      </c>
      <c r="AF14" s="791">
        <f>($M14*Costos!$K$6)</f>
        <v>0</v>
      </c>
      <c r="AG14" s="792">
        <f>($M14*Costos!$H$6)</f>
        <v>0</v>
      </c>
      <c r="AH14" s="791">
        <f>($M14*Costos!$K$7)</f>
        <v>0</v>
      </c>
      <c r="AI14" s="792">
        <f>($M14*Costos!$H$7)</f>
        <v>0</v>
      </c>
      <c r="AJ14" s="791">
        <f>($M14*Costos!$K$8)</f>
        <v>0</v>
      </c>
      <c r="AK14" s="792">
        <f>($M14*Costos!$H$8)</f>
        <v>0</v>
      </c>
      <c r="AL14" s="793">
        <f t="shared" si="2"/>
        <v>0</v>
      </c>
      <c r="AM14" s="778">
        <f t="shared" si="3"/>
        <v>0</v>
      </c>
      <c r="AN14" s="790"/>
      <c r="AO14" s="791">
        <f>($N14*Costos!$L$4)</f>
        <v>0</v>
      </c>
      <c r="AP14" s="792">
        <f>($N14*Costos!$I$4)</f>
        <v>0</v>
      </c>
      <c r="AQ14" s="791">
        <f>($N14*Costos!$L$5)</f>
        <v>0</v>
      </c>
      <c r="AR14" s="792">
        <f>($N14*Costos!$I$5)</f>
        <v>0</v>
      </c>
      <c r="AS14" s="791">
        <f>($N14*Costos!$L$6)</f>
        <v>0</v>
      </c>
      <c r="AT14" s="792">
        <f>($N14*Costos!$I$6)</f>
        <v>0</v>
      </c>
      <c r="AU14" s="791">
        <f>($N14*Costos!$L$7)</f>
        <v>0</v>
      </c>
      <c r="AV14" s="792">
        <f>($N14*Costos!$I$7)</f>
        <v>0</v>
      </c>
      <c r="AW14" s="791">
        <f>($N14*Costos!$L$8)</f>
        <v>0</v>
      </c>
      <c r="AX14" s="792">
        <f>($N14*Costos!$I$8)</f>
        <v>0</v>
      </c>
      <c r="AY14" s="793">
        <f t="shared" si="4"/>
        <v>0</v>
      </c>
      <c r="AZ14" s="778">
        <f t="shared" si="5"/>
        <v>0</v>
      </c>
      <c r="BA14" s="586"/>
      <c r="BB14" s="537"/>
    </row>
    <row r="15" spans="1:56" ht="27" customHeight="1" thickBot="1" x14ac:dyDescent="0.35">
      <c r="A15" s="689"/>
      <c r="B15" s="576"/>
      <c r="C15"/>
      <c r="D15" s="824" t="s">
        <v>513</v>
      </c>
      <c r="E15" s="684"/>
      <c r="F15" s="684"/>
      <c r="G15" s="684" t="s">
        <v>67</v>
      </c>
      <c r="H15" s="684"/>
      <c r="I15" s="684"/>
      <c r="J15" s="460"/>
      <c r="K15" s="460"/>
      <c r="L15" s="685">
        <v>1</v>
      </c>
      <c r="M15" s="685"/>
      <c r="N15" s="686"/>
      <c r="O15" s="487">
        <f>($L15*Costos!$J$4)</f>
        <v>17.387218045112782</v>
      </c>
      <c r="P15" s="488">
        <f>($L15*Costos!$G$4)</f>
        <v>13.909774436090226</v>
      </c>
      <c r="Q15" s="487">
        <f>($L15*Costos!$J$5)</f>
        <v>28.978696741854634</v>
      </c>
      <c r="R15" s="488">
        <f>($L15*Costos!$G$5)</f>
        <v>23.182957393483708</v>
      </c>
      <c r="S15" s="487">
        <f>($L15*Costos!$J$6)</f>
        <v>34.774436090225564</v>
      </c>
      <c r="T15" s="488">
        <f>($L15*Costos!$G$6)</f>
        <v>27.819548872180452</v>
      </c>
      <c r="U15" s="487">
        <f>($L15*Costos!$J$7)</f>
        <v>87.5</v>
      </c>
      <c r="V15" s="488">
        <f>($L15*Costos!$G$7)</f>
        <v>70</v>
      </c>
      <c r="W15" s="487">
        <f>($L15*Costos!$J$8)</f>
        <v>125</v>
      </c>
      <c r="X15" s="488">
        <f>($L15*Costos!$G$8)</f>
        <v>100</v>
      </c>
      <c r="Y15" s="489">
        <f t="shared" si="0"/>
        <v>27.819548872180452</v>
      </c>
      <c r="Z15" s="778">
        <f t="shared" si="1"/>
        <v>34.774436090225564</v>
      </c>
      <c r="AA15" s="790"/>
      <c r="AB15" s="791">
        <f>($M15*Costos!$K$4)</f>
        <v>0</v>
      </c>
      <c r="AC15" s="792">
        <f>($M15*Costos!$H$4)</f>
        <v>0</v>
      </c>
      <c r="AD15" s="791">
        <f>($M15*Costos!$K$5)</f>
        <v>0</v>
      </c>
      <c r="AE15" s="792">
        <f>($M15*Costos!$H$5)</f>
        <v>0</v>
      </c>
      <c r="AF15" s="791">
        <f>($M15*Costos!$K$6)</f>
        <v>0</v>
      </c>
      <c r="AG15" s="792">
        <f>($M15*Costos!$H$6)</f>
        <v>0</v>
      </c>
      <c r="AH15" s="791">
        <f>($M15*Costos!$K$7)</f>
        <v>0</v>
      </c>
      <c r="AI15" s="792">
        <f>($M15*Costos!$H$7)</f>
        <v>0</v>
      </c>
      <c r="AJ15" s="791">
        <f>($M15*Costos!$K$8)</f>
        <v>0</v>
      </c>
      <c r="AK15" s="792">
        <f>($M15*Costos!$H$8)</f>
        <v>0</v>
      </c>
      <c r="AL15" s="793">
        <f t="shared" si="2"/>
        <v>0</v>
      </c>
      <c r="AM15" s="778">
        <f t="shared" si="3"/>
        <v>0</v>
      </c>
      <c r="AN15" s="790"/>
      <c r="AO15" s="791">
        <f>($N15*Costos!$L$4)</f>
        <v>0</v>
      </c>
      <c r="AP15" s="792">
        <f>($N15*Costos!$I$4)</f>
        <v>0</v>
      </c>
      <c r="AQ15" s="791">
        <f>($N15*Costos!$L$5)</f>
        <v>0</v>
      </c>
      <c r="AR15" s="792">
        <f>($N15*Costos!$I$5)</f>
        <v>0</v>
      </c>
      <c r="AS15" s="791">
        <f>($N15*Costos!$L$6)</f>
        <v>0</v>
      </c>
      <c r="AT15" s="792">
        <f>($N15*Costos!$I$6)</f>
        <v>0</v>
      </c>
      <c r="AU15" s="791">
        <f>($N15*Costos!$L$7)</f>
        <v>0</v>
      </c>
      <c r="AV15" s="792">
        <f>($N15*Costos!$I$7)</f>
        <v>0</v>
      </c>
      <c r="AW15" s="791">
        <f>($N15*Costos!$L$8)</f>
        <v>0</v>
      </c>
      <c r="AX15" s="792">
        <f>($N15*Costos!$I$8)</f>
        <v>0</v>
      </c>
      <c r="AY15" s="793">
        <f t="shared" si="4"/>
        <v>0</v>
      </c>
      <c r="AZ15" s="778">
        <f t="shared" si="5"/>
        <v>0</v>
      </c>
      <c r="BA15" s="586"/>
      <c r="BB15" s="537"/>
    </row>
    <row r="16" spans="1:56" ht="17.399999999999999" thickBot="1" x14ac:dyDescent="0.35">
      <c r="A16" s="689"/>
      <c r="B16" s="576"/>
      <c r="C16"/>
      <c r="D16" s="824"/>
      <c r="E16" s="684"/>
      <c r="F16" s="684"/>
      <c r="G16" s="684"/>
      <c r="H16" s="684"/>
      <c r="I16" s="684"/>
      <c r="J16" s="460"/>
      <c r="K16" s="460"/>
      <c r="L16" s="685"/>
      <c r="M16" s="685"/>
      <c r="N16" s="686"/>
      <c r="O16" s="487">
        <f>($L16*Costos!$J$4)</f>
        <v>0</v>
      </c>
      <c r="P16" s="488">
        <f>($L16*Costos!$G$4)</f>
        <v>0</v>
      </c>
      <c r="Q16" s="487">
        <f>($L16*Costos!$J$5)</f>
        <v>0</v>
      </c>
      <c r="R16" s="488">
        <f>($L16*Costos!$G$5)</f>
        <v>0</v>
      </c>
      <c r="S16" s="487">
        <f>($L16*Costos!$J$6)</f>
        <v>0</v>
      </c>
      <c r="T16" s="488">
        <f>($L16*Costos!$G$6)</f>
        <v>0</v>
      </c>
      <c r="U16" s="487">
        <f>($L16*Costos!$J$7)</f>
        <v>0</v>
      </c>
      <c r="V16" s="488">
        <f>($L16*Costos!$G$7)</f>
        <v>0</v>
      </c>
      <c r="W16" s="487">
        <f>($L16*Costos!$J$8)</f>
        <v>0</v>
      </c>
      <c r="X16" s="488">
        <f>($L16*Costos!$G$8)</f>
        <v>0</v>
      </c>
      <c r="Y16" s="489">
        <f t="shared" si="0"/>
        <v>0</v>
      </c>
      <c r="Z16" s="778">
        <f t="shared" si="1"/>
        <v>0</v>
      </c>
      <c r="AA16" s="790"/>
      <c r="AB16" s="791">
        <f>($M16*Costos!$K$4)</f>
        <v>0</v>
      </c>
      <c r="AC16" s="792">
        <f>($M16*Costos!$H$4)</f>
        <v>0</v>
      </c>
      <c r="AD16" s="791">
        <f>($M16*Costos!$K$5)</f>
        <v>0</v>
      </c>
      <c r="AE16" s="792">
        <f>($M16*Costos!$H$5)</f>
        <v>0</v>
      </c>
      <c r="AF16" s="791">
        <f>($M16*Costos!$K$6)</f>
        <v>0</v>
      </c>
      <c r="AG16" s="792">
        <f>($M16*Costos!$H$6)</f>
        <v>0</v>
      </c>
      <c r="AH16" s="791">
        <f>($M16*Costos!$K$7)</f>
        <v>0</v>
      </c>
      <c r="AI16" s="792">
        <f>($M16*Costos!$H$7)</f>
        <v>0</v>
      </c>
      <c r="AJ16" s="791">
        <f>($M16*Costos!$K$8)</f>
        <v>0</v>
      </c>
      <c r="AK16" s="792">
        <f>($M16*Costos!$H$8)</f>
        <v>0</v>
      </c>
      <c r="AL16" s="793">
        <f t="shared" si="2"/>
        <v>0</v>
      </c>
      <c r="AM16" s="778">
        <f t="shared" si="3"/>
        <v>0</v>
      </c>
      <c r="AN16" s="790"/>
      <c r="AO16" s="791">
        <f>($N16*Costos!$L$4)</f>
        <v>0</v>
      </c>
      <c r="AP16" s="792">
        <f>($N16*Costos!$I$4)</f>
        <v>0</v>
      </c>
      <c r="AQ16" s="791">
        <f>($N16*Costos!$L$5)</f>
        <v>0</v>
      </c>
      <c r="AR16" s="792">
        <f>($N16*Costos!$I$5)</f>
        <v>0</v>
      </c>
      <c r="AS16" s="791">
        <f>($N16*Costos!$L$6)</f>
        <v>0</v>
      </c>
      <c r="AT16" s="792">
        <f>($N16*Costos!$I$6)</f>
        <v>0</v>
      </c>
      <c r="AU16" s="791">
        <f>($N16*Costos!$L$7)</f>
        <v>0</v>
      </c>
      <c r="AV16" s="792">
        <f>($N16*Costos!$I$7)</f>
        <v>0</v>
      </c>
      <c r="AW16" s="791">
        <f>($N16*Costos!$L$8)</f>
        <v>0</v>
      </c>
      <c r="AX16" s="792">
        <f>($N16*Costos!$I$8)</f>
        <v>0</v>
      </c>
      <c r="AY16" s="793">
        <f t="shared" si="4"/>
        <v>0</v>
      </c>
      <c r="AZ16" s="778">
        <f t="shared" si="5"/>
        <v>0</v>
      </c>
      <c r="BA16" s="586"/>
      <c r="BB16" s="537"/>
    </row>
    <row r="17" spans="1:54" ht="17.399999999999999" thickBot="1" x14ac:dyDescent="0.35">
      <c r="A17" s="689"/>
      <c r="B17" s="576"/>
      <c r="C17"/>
      <c r="D17" s="824"/>
      <c r="E17" s="684"/>
      <c r="F17" s="684"/>
      <c r="G17" s="684"/>
      <c r="H17" s="684"/>
      <c r="I17" s="684"/>
      <c r="J17" s="460"/>
      <c r="K17" s="460"/>
      <c r="L17" s="685"/>
      <c r="M17" s="685"/>
      <c r="N17" s="686"/>
      <c r="O17" s="487">
        <f>($L17*Costos!$J$4)</f>
        <v>0</v>
      </c>
      <c r="P17" s="488">
        <f>($L17*Costos!$G$4)</f>
        <v>0</v>
      </c>
      <c r="Q17" s="487">
        <f>($L17*Costos!$J$5)</f>
        <v>0</v>
      </c>
      <c r="R17" s="488">
        <f>($L17*Costos!$G$5)</f>
        <v>0</v>
      </c>
      <c r="S17" s="487">
        <f>($L17*Costos!$J$6)</f>
        <v>0</v>
      </c>
      <c r="T17" s="488">
        <f>($L17*Costos!$G$6)</f>
        <v>0</v>
      </c>
      <c r="U17" s="487">
        <f>($L17*Costos!$J$7)</f>
        <v>0</v>
      </c>
      <c r="V17" s="488">
        <f>($L17*Costos!$G$7)</f>
        <v>0</v>
      </c>
      <c r="W17" s="487">
        <f>($L17*Costos!$J$8)</f>
        <v>0</v>
      </c>
      <c r="X17" s="488">
        <f>($L17*Costos!$G$8)</f>
        <v>0</v>
      </c>
      <c r="Y17" s="489">
        <f t="shared" si="0"/>
        <v>0</v>
      </c>
      <c r="Z17" s="778">
        <f t="shared" si="1"/>
        <v>0</v>
      </c>
      <c r="AA17" s="790"/>
      <c r="AB17" s="791">
        <f>($M17*Costos!$K$4)</f>
        <v>0</v>
      </c>
      <c r="AC17" s="792">
        <f>($M17*Costos!$H$4)</f>
        <v>0</v>
      </c>
      <c r="AD17" s="791">
        <f>($M17*Costos!$K$5)</f>
        <v>0</v>
      </c>
      <c r="AE17" s="792">
        <f>($M17*Costos!$H$5)</f>
        <v>0</v>
      </c>
      <c r="AF17" s="791">
        <f>($M17*Costos!$K$6)</f>
        <v>0</v>
      </c>
      <c r="AG17" s="792">
        <f>($M17*Costos!$H$6)</f>
        <v>0</v>
      </c>
      <c r="AH17" s="791">
        <f>($M17*Costos!$K$7)</f>
        <v>0</v>
      </c>
      <c r="AI17" s="792">
        <f>($M17*Costos!$H$7)</f>
        <v>0</v>
      </c>
      <c r="AJ17" s="791">
        <f>($M17*Costos!$K$8)</f>
        <v>0</v>
      </c>
      <c r="AK17" s="792">
        <f>($M17*Costos!$H$8)</f>
        <v>0</v>
      </c>
      <c r="AL17" s="793">
        <f t="shared" si="2"/>
        <v>0</v>
      </c>
      <c r="AM17" s="778">
        <f t="shared" si="3"/>
        <v>0</v>
      </c>
      <c r="AN17" s="790"/>
      <c r="AO17" s="791">
        <f>($N17*Costos!$L$4)</f>
        <v>0</v>
      </c>
      <c r="AP17" s="792">
        <f>($N17*Costos!$I$4)</f>
        <v>0</v>
      </c>
      <c r="AQ17" s="791">
        <f>($N17*Costos!$L$5)</f>
        <v>0</v>
      </c>
      <c r="AR17" s="792">
        <f>($N17*Costos!$I$5)</f>
        <v>0</v>
      </c>
      <c r="AS17" s="791">
        <f>($N17*Costos!$L$6)</f>
        <v>0</v>
      </c>
      <c r="AT17" s="792">
        <f>($N17*Costos!$I$6)</f>
        <v>0</v>
      </c>
      <c r="AU17" s="791">
        <f>($N17*Costos!$L$7)</f>
        <v>0</v>
      </c>
      <c r="AV17" s="792">
        <f>($N17*Costos!$I$7)</f>
        <v>0</v>
      </c>
      <c r="AW17" s="791">
        <f>($N17*Costos!$L$8)</f>
        <v>0</v>
      </c>
      <c r="AX17" s="792">
        <f>($N17*Costos!$I$8)</f>
        <v>0</v>
      </c>
      <c r="AY17" s="793">
        <f t="shared" si="4"/>
        <v>0</v>
      </c>
      <c r="AZ17" s="778">
        <f t="shared" si="5"/>
        <v>0</v>
      </c>
      <c r="BA17" s="586"/>
      <c r="BB17" s="537"/>
    </row>
    <row r="18" spans="1:54" ht="58.2" thickBot="1" x14ac:dyDescent="0.35">
      <c r="A18" s="837" t="s">
        <v>516</v>
      </c>
      <c r="B18" s="576"/>
      <c r="C18"/>
      <c r="D18" s="824" t="s">
        <v>514</v>
      </c>
      <c r="E18" s="684"/>
      <c r="F18" s="684" t="s">
        <v>67</v>
      </c>
      <c r="G18" s="684"/>
      <c r="H18" s="684"/>
      <c r="I18" s="684"/>
      <c r="J18" s="460"/>
      <c r="K18" s="460"/>
      <c r="L18" s="685">
        <f>6*4</f>
        <v>24</v>
      </c>
      <c r="M18" s="685"/>
      <c r="N18" s="686"/>
      <c r="O18" s="487">
        <f>($L18*Costos!$J$4)</f>
        <v>417.29323308270676</v>
      </c>
      <c r="P18" s="488">
        <f>($L18*Costos!$G$4)</f>
        <v>333.83458646616543</v>
      </c>
      <c r="Q18" s="487">
        <f>($L18*Costos!$J$5)</f>
        <v>695.48872180451121</v>
      </c>
      <c r="R18" s="488">
        <f>($L18*Costos!$G$5)</f>
        <v>556.39097744360902</v>
      </c>
      <c r="S18" s="487">
        <f>($L18*Costos!$J$6)</f>
        <v>834.58646616541353</v>
      </c>
      <c r="T18" s="488">
        <f>($L18*Costos!$G$6)</f>
        <v>667.66917293233087</v>
      </c>
      <c r="U18" s="487">
        <f>($L18*Costos!$J$7)</f>
        <v>2100</v>
      </c>
      <c r="V18" s="488">
        <f>($L18*Costos!$G$7)</f>
        <v>1680</v>
      </c>
      <c r="W18" s="487">
        <f>($L18*Costos!$J$8)</f>
        <v>3000</v>
      </c>
      <c r="X18" s="488">
        <f>($L18*Costos!$G$8)</f>
        <v>2400</v>
      </c>
      <c r="Y18" s="489">
        <f t="shared" si="0"/>
        <v>556.39097744360902</v>
      </c>
      <c r="Z18" s="778">
        <f t="shared" si="1"/>
        <v>695.48872180451121</v>
      </c>
      <c r="AA18" s="790"/>
      <c r="AB18" s="791">
        <f>($M18*Costos!$K$4)</f>
        <v>0</v>
      </c>
      <c r="AC18" s="792">
        <f>($M18*Costos!$H$4)</f>
        <v>0</v>
      </c>
      <c r="AD18" s="791">
        <f>($M18*Costos!$K$5)</f>
        <v>0</v>
      </c>
      <c r="AE18" s="792">
        <f>($M18*Costos!$H$5)</f>
        <v>0</v>
      </c>
      <c r="AF18" s="791">
        <f>($M18*Costos!$K$6)</f>
        <v>0</v>
      </c>
      <c r="AG18" s="792">
        <f>($M18*Costos!$H$6)</f>
        <v>0</v>
      </c>
      <c r="AH18" s="791">
        <f>($M18*Costos!$K$7)</f>
        <v>0</v>
      </c>
      <c r="AI18" s="792">
        <f>($M18*Costos!$H$7)</f>
        <v>0</v>
      </c>
      <c r="AJ18" s="791">
        <f>($M18*Costos!$K$8)</f>
        <v>0</v>
      </c>
      <c r="AK18" s="792">
        <f>($M18*Costos!$H$8)</f>
        <v>0</v>
      </c>
      <c r="AL18" s="793">
        <f t="shared" si="2"/>
        <v>0</v>
      </c>
      <c r="AM18" s="778">
        <f t="shared" si="3"/>
        <v>0</v>
      </c>
      <c r="AN18" s="790"/>
      <c r="AO18" s="791">
        <f>($N18*Costos!$L$4)</f>
        <v>0</v>
      </c>
      <c r="AP18" s="792">
        <f>($N18*Costos!$I$4)</f>
        <v>0</v>
      </c>
      <c r="AQ18" s="791">
        <f>($N18*Costos!$L$5)</f>
        <v>0</v>
      </c>
      <c r="AR18" s="792">
        <f>($N18*Costos!$I$5)</f>
        <v>0</v>
      </c>
      <c r="AS18" s="791">
        <f>($N18*Costos!$L$6)</f>
        <v>0</v>
      </c>
      <c r="AT18" s="792">
        <f>($N18*Costos!$I$6)</f>
        <v>0</v>
      </c>
      <c r="AU18" s="791">
        <f>($N18*Costos!$L$7)</f>
        <v>0</v>
      </c>
      <c r="AV18" s="792">
        <f>($N18*Costos!$I$7)</f>
        <v>0</v>
      </c>
      <c r="AW18" s="791">
        <f>($N18*Costos!$L$8)</f>
        <v>0</v>
      </c>
      <c r="AX18" s="792">
        <f>($N18*Costos!$I$8)</f>
        <v>0</v>
      </c>
      <c r="AY18" s="793">
        <f t="shared" si="4"/>
        <v>0</v>
      </c>
      <c r="AZ18" s="778">
        <f t="shared" si="5"/>
        <v>0</v>
      </c>
      <c r="BA18" s="586"/>
      <c r="BB18" s="537"/>
    </row>
    <row r="19" spans="1:54" ht="58.2" thickBot="1" x14ac:dyDescent="0.35">
      <c r="A19" s="837" t="s">
        <v>517</v>
      </c>
      <c r="B19" s="576"/>
      <c r="C19"/>
      <c r="D19" s="823"/>
      <c r="E19" s="684"/>
      <c r="F19" s="684"/>
      <c r="G19" s="684"/>
      <c r="H19" s="684"/>
      <c r="I19" s="684"/>
      <c r="J19" s="460"/>
      <c r="K19" s="460"/>
      <c r="L19" s="685"/>
      <c r="M19" s="685"/>
      <c r="N19" s="686"/>
      <c r="O19" s="487">
        <f>($L19*Costos!$J$4)</f>
        <v>0</v>
      </c>
      <c r="P19" s="488">
        <f>($L19*Costos!$G$4)</f>
        <v>0</v>
      </c>
      <c r="Q19" s="487">
        <f>($L19*Costos!$J$5)</f>
        <v>0</v>
      </c>
      <c r="R19" s="488">
        <f>($L19*Costos!$G$5)</f>
        <v>0</v>
      </c>
      <c r="S19" s="487">
        <f>($L19*Costos!$J$6)</f>
        <v>0</v>
      </c>
      <c r="T19" s="488">
        <f>($L19*Costos!$G$6)</f>
        <v>0</v>
      </c>
      <c r="U19" s="487">
        <f>($L19*Costos!$J$7)</f>
        <v>0</v>
      </c>
      <c r="V19" s="488">
        <f>($L19*Costos!$G$7)</f>
        <v>0</v>
      </c>
      <c r="W19" s="487">
        <f>($L19*Costos!$J$8)</f>
        <v>0</v>
      </c>
      <c r="X19" s="488">
        <f>($L19*Costos!$G$8)</f>
        <v>0</v>
      </c>
      <c r="Y19" s="489">
        <f t="shared" si="0"/>
        <v>0</v>
      </c>
      <c r="Z19" s="778">
        <f t="shared" si="1"/>
        <v>0</v>
      </c>
      <c r="AA19" s="790"/>
      <c r="AB19" s="791">
        <f>($M19*Costos!$K$4)</f>
        <v>0</v>
      </c>
      <c r="AC19" s="792">
        <f>($M19*Costos!$H$4)</f>
        <v>0</v>
      </c>
      <c r="AD19" s="791">
        <f>($M19*Costos!$K$5)</f>
        <v>0</v>
      </c>
      <c r="AE19" s="792">
        <f>($M19*Costos!$H$5)</f>
        <v>0</v>
      </c>
      <c r="AF19" s="791">
        <f>($M19*Costos!$K$6)</f>
        <v>0</v>
      </c>
      <c r="AG19" s="792">
        <f>($M19*Costos!$H$6)</f>
        <v>0</v>
      </c>
      <c r="AH19" s="791">
        <f>($M19*Costos!$K$7)</f>
        <v>0</v>
      </c>
      <c r="AI19" s="792">
        <f>($M19*Costos!$H$7)</f>
        <v>0</v>
      </c>
      <c r="AJ19" s="791">
        <f>($M19*Costos!$K$8)</f>
        <v>0</v>
      </c>
      <c r="AK19" s="792">
        <f>($M19*Costos!$H$8)</f>
        <v>0</v>
      </c>
      <c r="AL19" s="793">
        <f t="shared" si="2"/>
        <v>0</v>
      </c>
      <c r="AM19" s="778">
        <f t="shared" si="3"/>
        <v>0</v>
      </c>
      <c r="AN19" s="790"/>
      <c r="AO19" s="791">
        <f>($N19*Costos!$L$4)</f>
        <v>0</v>
      </c>
      <c r="AP19" s="792">
        <f>($N19*Costos!$I$4)</f>
        <v>0</v>
      </c>
      <c r="AQ19" s="791">
        <f>($N19*Costos!$L$5)</f>
        <v>0</v>
      </c>
      <c r="AR19" s="792">
        <f>($N19*Costos!$I$5)</f>
        <v>0</v>
      </c>
      <c r="AS19" s="791">
        <f>($N19*Costos!$L$6)</f>
        <v>0</v>
      </c>
      <c r="AT19" s="792">
        <f>($N19*Costos!$I$6)</f>
        <v>0</v>
      </c>
      <c r="AU19" s="791">
        <f>($N19*Costos!$L$7)</f>
        <v>0</v>
      </c>
      <c r="AV19" s="792">
        <f>($N19*Costos!$I$7)</f>
        <v>0</v>
      </c>
      <c r="AW19" s="791">
        <f>($N19*Costos!$L$8)</f>
        <v>0</v>
      </c>
      <c r="AX19" s="792">
        <f>($N19*Costos!$I$8)</f>
        <v>0</v>
      </c>
      <c r="AY19" s="793">
        <f t="shared" si="4"/>
        <v>0</v>
      </c>
      <c r="AZ19" s="778">
        <f t="shared" si="5"/>
        <v>0</v>
      </c>
      <c r="BA19" s="586"/>
      <c r="BB19" s="537"/>
    </row>
    <row r="20" spans="1:54" ht="72.599999999999994" thickBot="1" x14ac:dyDescent="0.35">
      <c r="A20" s="837" t="s">
        <v>518</v>
      </c>
      <c r="B20" s="576"/>
      <c r="C20"/>
      <c r="D20" s="829"/>
      <c r="E20" s="684"/>
      <c r="F20" s="684"/>
      <c r="G20" s="684"/>
      <c r="H20" s="684"/>
      <c r="I20" s="684"/>
      <c r="J20" s="460"/>
      <c r="K20" s="460"/>
      <c r="L20" s="685"/>
      <c r="M20" s="685"/>
      <c r="N20" s="686"/>
      <c r="O20" s="487">
        <f>($L20*Costos!$J$4)</f>
        <v>0</v>
      </c>
      <c r="P20" s="488">
        <f>($L20*Costos!$G$4)</f>
        <v>0</v>
      </c>
      <c r="Q20" s="487">
        <f>($L20*Costos!$J$5)</f>
        <v>0</v>
      </c>
      <c r="R20" s="488">
        <f>($L20*Costos!$G$5)</f>
        <v>0</v>
      </c>
      <c r="S20" s="487">
        <f>($L20*Costos!$J$6)</f>
        <v>0</v>
      </c>
      <c r="T20" s="488">
        <f>($L20*Costos!$G$6)</f>
        <v>0</v>
      </c>
      <c r="U20" s="487">
        <f>($L20*Costos!$J$7)</f>
        <v>0</v>
      </c>
      <c r="V20" s="488">
        <f>($L20*Costos!$G$7)</f>
        <v>0</v>
      </c>
      <c r="W20" s="487">
        <f>($L20*Costos!$J$8)</f>
        <v>0</v>
      </c>
      <c r="X20" s="488">
        <f>($L20*Costos!$G$8)</f>
        <v>0</v>
      </c>
      <c r="Y20" s="489">
        <f t="shared" si="0"/>
        <v>0</v>
      </c>
      <c r="Z20" s="778">
        <f t="shared" si="1"/>
        <v>0</v>
      </c>
      <c r="AA20" s="790"/>
      <c r="AB20" s="791">
        <f>($M20*Costos!$K$4)</f>
        <v>0</v>
      </c>
      <c r="AC20" s="792">
        <f>($M20*Costos!$H$4)</f>
        <v>0</v>
      </c>
      <c r="AD20" s="791">
        <f>($M20*Costos!$K$5)</f>
        <v>0</v>
      </c>
      <c r="AE20" s="792">
        <f>($M20*Costos!$H$5)</f>
        <v>0</v>
      </c>
      <c r="AF20" s="791">
        <f>($M20*Costos!$K$6)</f>
        <v>0</v>
      </c>
      <c r="AG20" s="792">
        <f>($M20*Costos!$H$6)</f>
        <v>0</v>
      </c>
      <c r="AH20" s="791">
        <f>($M20*Costos!$K$7)</f>
        <v>0</v>
      </c>
      <c r="AI20" s="792">
        <f>($M20*Costos!$H$7)</f>
        <v>0</v>
      </c>
      <c r="AJ20" s="791">
        <f>($M20*Costos!$K$8)</f>
        <v>0</v>
      </c>
      <c r="AK20" s="792">
        <f>($M20*Costos!$H$8)</f>
        <v>0</v>
      </c>
      <c r="AL20" s="793">
        <f t="shared" si="2"/>
        <v>0</v>
      </c>
      <c r="AM20" s="778">
        <f t="shared" si="3"/>
        <v>0</v>
      </c>
      <c r="AN20" s="790"/>
      <c r="AO20" s="791">
        <f>($N20*Costos!$L$4)</f>
        <v>0</v>
      </c>
      <c r="AP20" s="792">
        <f>($N20*Costos!$I$4)</f>
        <v>0</v>
      </c>
      <c r="AQ20" s="791">
        <f>($N20*Costos!$L$5)</f>
        <v>0</v>
      </c>
      <c r="AR20" s="792">
        <f>($N20*Costos!$I$5)</f>
        <v>0</v>
      </c>
      <c r="AS20" s="791">
        <f>($N20*Costos!$L$6)</f>
        <v>0</v>
      </c>
      <c r="AT20" s="792">
        <f>($N20*Costos!$I$6)</f>
        <v>0</v>
      </c>
      <c r="AU20" s="791">
        <f>($N20*Costos!$L$7)</f>
        <v>0</v>
      </c>
      <c r="AV20" s="792">
        <f>($N20*Costos!$I$7)</f>
        <v>0</v>
      </c>
      <c r="AW20" s="791">
        <f>($N20*Costos!$L$8)</f>
        <v>0</v>
      </c>
      <c r="AX20" s="792">
        <f>($N20*Costos!$I$8)</f>
        <v>0</v>
      </c>
      <c r="AY20" s="793">
        <f t="shared" si="4"/>
        <v>0</v>
      </c>
      <c r="AZ20" s="778">
        <f t="shared" si="5"/>
        <v>0</v>
      </c>
      <c r="BA20" s="586"/>
      <c r="BB20" s="537"/>
    </row>
    <row r="21" spans="1:54" ht="17.399999999999999" thickBot="1" x14ac:dyDescent="0.35">
      <c r="A21" s="689"/>
      <c r="B21" s="576"/>
      <c r="C21"/>
      <c r="D21" s="829"/>
      <c r="E21" s="684"/>
      <c r="F21" s="684"/>
      <c r="G21" s="684"/>
      <c r="H21" s="684"/>
      <c r="I21" s="684"/>
      <c r="J21" s="460"/>
      <c r="K21" s="460"/>
      <c r="L21" s="685"/>
      <c r="M21" s="685"/>
      <c r="N21" s="686"/>
      <c r="O21" s="487">
        <f>($L21*Costos!$J$4)</f>
        <v>0</v>
      </c>
      <c r="P21" s="488">
        <f>($L21*Costos!$G$4)</f>
        <v>0</v>
      </c>
      <c r="Q21" s="487">
        <f>($L21*Costos!$J$5)</f>
        <v>0</v>
      </c>
      <c r="R21" s="488">
        <f>($L21*Costos!$G$5)</f>
        <v>0</v>
      </c>
      <c r="S21" s="487">
        <f>($L21*Costos!$J$6)</f>
        <v>0</v>
      </c>
      <c r="T21" s="488">
        <f>($L21*Costos!$G$6)</f>
        <v>0</v>
      </c>
      <c r="U21" s="487">
        <f>($L21*Costos!$J$7)</f>
        <v>0</v>
      </c>
      <c r="V21" s="488">
        <f>($L21*Costos!$G$7)</f>
        <v>0</v>
      </c>
      <c r="W21" s="487">
        <f>($L21*Costos!$J$8)</f>
        <v>0</v>
      </c>
      <c r="X21" s="488">
        <f>($L21*Costos!$G$8)</f>
        <v>0</v>
      </c>
      <c r="Y21" s="489">
        <f t="shared" si="0"/>
        <v>0</v>
      </c>
      <c r="Z21" s="778">
        <f t="shared" si="1"/>
        <v>0</v>
      </c>
      <c r="AA21" s="790"/>
      <c r="AB21" s="791">
        <f>($M21*Costos!$K$4)</f>
        <v>0</v>
      </c>
      <c r="AC21" s="792">
        <f>($M21*Costos!$H$4)</f>
        <v>0</v>
      </c>
      <c r="AD21" s="791">
        <f>($M21*Costos!$K$5)</f>
        <v>0</v>
      </c>
      <c r="AE21" s="792">
        <f>($M21*Costos!$H$5)</f>
        <v>0</v>
      </c>
      <c r="AF21" s="791">
        <f>($M21*Costos!$K$6)</f>
        <v>0</v>
      </c>
      <c r="AG21" s="792">
        <f>($M21*Costos!$H$6)</f>
        <v>0</v>
      </c>
      <c r="AH21" s="791">
        <f>($M21*Costos!$K$7)</f>
        <v>0</v>
      </c>
      <c r="AI21" s="792">
        <f>($M21*Costos!$H$7)</f>
        <v>0</v>
      </c>
      <c r="AJ21" s="791">
        <f>($M21*Costos!$K$8)</f>
        <v>0</v>
      </c>
      <c r="AK21" s="792">
        <f>($M21*Costos!$H$8)</f>
        <v>0</v>
      </c>
      <c r="AL21" s="793">
        <f t="shared" si="2"/>
        <v>0</v>
      </c>
      <c r="AM21" s="778">
        <f t="shared" si="3"/>
        <v>0</v>
      </c>
      <c r="AN21" s="790"/>
      <c r="AO21" s="791">
        <f>($N21*Costos!$L$4)</f>
        <v>0</v>
      </c>
      <c r="AP21" s="792">
        <f>($N21*Costos!$I$4)</f>
        <v>0</v>
      </c>
      <c r="AQ21" s="791">
        <f>($N21*Costos!$L$5)</f>
        <v>0</v>
      </c>
      <c r="AR21" s="792">
        <f>($N21*Costos!$I$5)</f>
        <v>0</v>
      </c>
      <c r="AS21" s="791">
        <f>($N21*Costos!$L$6)</f>
        <v>0</v>
      </c>
      <c r="AT21" s="792">
        <f>($N21*Costos!$I$6)</f>
        <v>0</v>
      </c>
      <c r="AU21" s="791">
        <f>($N21*Costos!$L$7)</f>
        <v>0</v>
      </c>
      <c r="AV21" s="792">
        <f>($N21*Costos!$I$7)</f>
        <v>0</v>
      </c>
      <c r="AW21" s="791">
        <f>($N21*Costos!$L$8)</f>
        <v>0</v>
      </c>
      <c r="AX21" s="792">
        <f>($N21*Costos!$I$8)</f>
        <v>0</v>
      </c>
      <c r="AY21" s="793">
        <f t="shared" si="4"/>
        <v>0</v>
      </c>
      <c r="AZ21" s="778">
        <f t="shared" si="5"/>
        <v>0</v>
      </c>
      <c r="BA21" s="586"/>
      <c r="BB21" s="537"/>
    </row>
    <row r="22" spans="1:54" ht="17.399999999999999" thickBot="1" x14ac:dyDescent="0.35">
      <c r="A22" s="689"/>
      <c r="B22" s="576"/>
      <c r="C22"/>
      <c r="D22" s="829"/>
      <c r="E22" s="684"/>
      <c r="F22" s="684"/>
      <c r="G22" s="684"/>
      <c r="H22" s="684"/>
      <c r="I22" s="684"/>
      <c r="J22" s="460"/>
      <c r="K22" s="460"/>
      <c r="L22" s="685"/>
      <c r="M22" s="685"/>
      <c r="N22" s="686"/>
      <c r="O22" s="487">
        <f>($L22*Costos!$J$4)</f>
        <v>0</v>
      </c>
      <c r="P22" s="488">
        <f>($L22*Costos!$G$4)</f>
        <v>0</v>
      </c>
      <c r="Q22" s="487">
        <f>($L22*Costos!$J$5)</f>
        <v>0</v>
      </c>
      <c r="R22" s="488">
        <f>($L22*Costos!$G$5)</f>
        <v>0</v>
      </c>
      <c r="S22" s="487">
        <f>($L22*Costos!$J$6)</f>
        <v>0</v>
      </c>
      <c r="T22" s="488">
        <f>($L22*Costos!$G$6)</f>
        <v>0</v>
      </c>
      <c r="U22" s="487">
        <f>($L22*Costos!$J$7)</f>
        <v>0</v>
      </c>
      <c r="V22" s="488">
        <f>($L22*Costos!$G$7)</f>
        <v>0</v>
      </c>
      <c r="W22" s="487">
        <f>($L22*Costos!$J$8)</f>
        <v>0</v>
      </c>
      <c r="X22" s="488">
        <f>($L22*Costos!$G$8)</f>
        <v>0</v>
      </c>
      <c r="Y22" s="489">
        <f t="shared" si="0"/>
        <v>0</v>
      </c>
      <c r="Z22" s="778">
        <f t="shared" si="1"/>
        <v>0</v>
      </c>
      <c r="AA22" s="790"/>
      <c r="AB22" s="791">
        <f>($M22*Costos!$K$4)</f>
        <v>0</v>
      </c>
      <c r="AC22" s="792">
        <f>($M22*Costos!$H$4)</f>
        <v>0</v>
      </c>
      <c r="AD22" s="791">
        <f>($M22*Costos!$K$5)</f>
        <v>0</v>
      </c>
      <c r="AE22" s="792">
        <f>($M22*Costos!$H$5)</f>
        <v>0</v>
      </c>
      <c r="AF22" s="791">
        <f>($M22*Costos!$K$6)</f>
        <v>0</v>
      </c>
      <c r="AG22" s="792">
        <f>($M22*Costos!$H$6)</f>
        <v>0</v>
      </c>
      <c r="AH22" s="791">
        <f>($M22*Costos!$K$7)</f>
        <v>0</v>
      </c>
      <c r="AI22" s="792">
        <f>($M22*Costos!$H$7)</f>
        <v>0</v>
      </c>
      <c r="AJ22" s="791">
        <f>($M22*Costos!$K$8)</f>
        <v>0</v>
      </c>
      <c r="AK22" s="792">
        <f>($M22*Costos!$H$8)</f>
        <v>0</v>
      </c>
      <c r="AL22" s="793">
        <f t="shared" si="2"/>
        <v>0</v>
      </c>
      <c r="AM22" s="778">
        <f t="shared" si="3"/>
        <v>0</v>
      </c>
      <c r="AN22" s="790"/>
      <c r="AO22" s="791">
        <f>($N22*Costos!$L$4)</f>
        <v>0</v>
      </c>
      <c r="AP22" s="792">
        <f>($N22*Costos!$I$4)</f>
        <v>0</v>
      </c>
      <c r="AQ22" s="791">
        <f>($N22*Costos!$L$5)</f>
        <v>0</v>
      </c>
      <c r="AR22" s="792">
        <f>($N22*Costos!$I$5)</f>
        <v>0</v>
      </c>
      <c r="AS22" s="791">
        <f>($N22*Costos!$L$6)</f>
        <v>0</v>
      </c>
      <c r="AT22" s="792">
        <f>($N22*Costos!$I$6)</f>
        <v>0</v>
      </c>
      <c r="AU22" s="791">
        <f>($N22*Costos!$L$7)</f>
        <v>0</v>
      </c>
      <c r="AV22" s="792">
        <f>($N22*Costos!$I$7)</f>
        <v>0</v>
      </c>
      <c r="AW22" s="791">
        <f>($N22*Costos!$L$8)</f>
        <v>0</v>
      </c>
      <c r="AX22" s="792">
        <f>($N22*Costos!$I$8)</f>
        <v>0</v>
      </c>
      <c r="AY22" s="793">
        <f t="shared" si="4"/>
        <v>0</v>
      </c>
      <c r="AZ22" s="778">
        <f t="shared" si="5"/>
        <v>0</v>
      </c>
      <c r="BA22" s="586"/>
      <c r="BB22" s="537"/>
    </row>
    <row r="23" spans="1:54" ht="17.399999999999999" thickBot="1" x14ac:dyDescent="0.35">
      <c r="A23" s="689"/>
      <c r="B23" s="576"/>
      <c r="C23"/>
      <c r="D23" s="829"/>
      <c r="E23" s="684"/>
      <c r="F23" s="684"/>
      <c r="G23" s="684"/>
      <c r="H23" s="684"/>
      <c r="I23" s="684"/>
      <c r="J23" s="460"/>
      <c r="K23" s="460"/>
      <c r="L23" s="685"/>
      <c r="M23" s="685"/>
      <c r="N23" s="686"/>
      <c r="O23" s="487">
        <f>($L23*Costos!$J$4)</f>
        <v>0</v>
      </c>
      <c r="P23" s="488">
        <f>($L23*Costos!$G$4)</f>
        <v>0</v>
      </c>
      <c r="Q23" s="487">
        <f>($L23*Costos!$J$5)</f>
        <v>0</v>
      </c>
      <c r="R23" s="488">
        <f>($L23*Costos!$G$5)</f>
        <v>0</v>
      </c>
      <c r="S23" s="487">
        <f>($L23*Costos!$J$6)</f>
        <v>0</v>
      </c>
      <c r="T23" s="488">
        <f>($L23*Costos!$G$6)</f>
        <v>0</v>
      </c>
      <c r="U23" s="487">
        <f>($L23*Costos!$J$7)</f>
        <v>0</v>
      </c>
      <c r="V23" s="488">
        <f>($L23*Costos!$G$7)</f>
        <v>0</v>
      </c>
      <c r="W23" s="487">
        <f>($L23*Costos!$J$8)</f>
        <v>0</v>
      </c>
      <c r="X23" s="488">
        <f>($L23*Costos!$G$8)</f>
        <v>0</v>
      </c>
      <c r="Y23" s="489">
        <f t="shared" si="0"/>
        <v>0</v>
      </c>
      <c r="Z23" s="778">
        <f t="shared" si="1"/>
        <v>0</v>
      </c>
      <c r="AA23" s="790"/>
      <c r="AB23" s="791">
        <f>($M23*Costos!$K$4)</f>
        <v>0</v>
      </c>
      <c r="AC23" s="792">
        <f>($M23*Costos!$H$4)</f>
        <v>0</v>
      </c>
      <c r="AD23" s="791">
        <f>($M23*Costos!$K$5)</f>
        <v>0</v>
      </c>
      <c r="AE23" s="792">
        <f>($M23*Costos!$H$5)</f>
        <v>0</v>
      </c>
      <c r="AF23" s="791">
        <f>($M23*Costos!$K$6)</f>
        <v>0</v>
      </c>
      <c r="AG23" s="792">
        <f>($M23*Costos!$H$6)</f>
        <v>0</v>
      </c>
      <c r="AH23" s="791">
        <f>($M23*Costos!$K$7)</f>
        <v>0</v>
      </c>
      <c r="AI23" s="792">
        <f>($M23*Costos!$H$7)</f>
        <v>0</v>
      </c>
      <c r="AJ23" s="791">
        <f>($M23*Costos!$K$8)</f>
        <v>0</v>
      </c>
      <c r="AK23" s="792">
        <f>($M23*Costos!$H$8)</f>
        <v>0</v>
      </c>
      <c r="AL23" s="793">
        <f t="shared" si="2"/>
        <v>0</v>
      </c>
      <c r="AM23" s="778">
        <f t="shared" si="3"/>
        <v>0</v>
      </c>
      <c r="AN23" s="790"/>
      <c r="AO23" s="791">
        <f>($N23*Costos!$L$4)</f>
        <v>0</v>
      </c>
      <c r="AP23" s="792">
        <f>($N23*Costos!$I$4)</f>
        <v>0</v>
      </c>
      <c r="AQ23" s="791">
        <f>($N23*Costos!$L$5)</f>
        <v>0</v>
      </c>
      <c r="AR23" s="792">
        <f>($N23*Costos!$I$5)</f>
        <v>0</v>
      </c>
      <c r="AS23" s="791">
        <f>($N23*Costos!$L$6)</f>
        <v>0</v>
      </c>
      <c r="AT23" s="792">
        <f>($N23*Costos!$I$6)</f>
        <v>0</v>
      </c>
      <c r="AU23" s="791">
        <f>($N23*Costos!$L$7)</f>
        <v>0</v>
      </c>
      <c r="AV23" s="792">
        <f>($N23*Costos!$I$7)</f>
        <v>0</v>
      </c>
      <c r="AW23" s="791">
        <f>($N23*Costos!$L$8)</f>
        <v>0</v>
      </c>
      <c r="AX23" s="792">
        <f>($N23*Costos!$I$8)</f>
        <v>0</v>
      </c>
      <c r="AY23" s="793">
        <f t="shared" si="4"/>
        <v>0</v>
      </c>
      <c r="AZ23" s="778">
        <f t="shared" si="5"/>
        <v>0</v>
      </c>
      <c r="BA23" s="586"/>
      <c r="BB23" s="537"/>
    </row>
    <row r="24" spans="1:54" ht="17.399999999999999" thickBot="1" x14ac:dyDescent="0.35">
      <c r="A24" s="689"/>
      <c r="B24" s="576"/>
      <c r="D24" s="829"/>
      <c r="E24" s="684"/>
      <c r="F24" s="684"/>
      <c r="G24" s="684"/>
      <c r="H24" s="684"/>
      <c r="I24" s="684"/>
      <c r="J24" s="460"/>
      <c r="K24" s="460"/>
      <c r="L24" s="685"/>
      <c r="M24" s="685"/>
      <c r="N24" s="686"/>
      <c r="O24" s="487">
        <f>($L24*Costos!$J$4)</f>
        <v>0</v>
      </c>
      <c r="P24" s="488">
        <f>($L24*Costos!$G$4)</f>
        <v>0</v>
      </c>
      <c r="Q24" s="487">
        <f>($L24*Costos!$J$5)</f>
        <v>0</v>
      </c>
      <c r="R24" s="488">
        <f>($L24*Costos!$G$5)</f>
        <v>0</v>
      </c>
      <c r="S24" s="487">
        <f>($L24*Costos!$J$6)</f>
        <v>0</v>
      </c>
      <c r="T24" s="488">
        <f>($L24*Costos!$G$6)</f>
        <v>0</v>
      </c>
      <c r="U24" s="487">
        <f>($L24*Costos!$J$7)</f>
        <v>0</v>
      </c>
      <c r="V24" s="488">
        <f>($L24*Costos!$G$7)</f>
        <v>0</v>
      </c>
      <c r="W24" s="487">
        <f>($L24*Costos!$J$8)</f>
        <v>0</v>
      </c>
      <c r="X24" s="488">
        <f>($L24*Costos!$G$8)</f>
        <v>0</v>
      </c>
      <c r="Y24" s="489">
        <f t="shared" si="0"/>
        <v>0</v>
      </c>
      <c r="Z24" s="778">
        <f t="shared" si="1"/>
        <v>0</v>
      </c>
      <c r="AA24" s="790"/>
      <c r="AB24" s="791">
        <f>($M24*Costos!$K$4)</f>
        <v>0</v>
      </c>
      <c r="AC24" s="792">
        <f>($M24*Costos!$H$4)</f>
        <v>0</v>
      </c>
      <c r="AD24" s="791">
        <f>($M24*Costos!$K$5)</f>
        <v>0</v>
      </c>
      <c r="AE24" s="792">
        <f>($M24*Costos!$H$5)</f>
        <v>0</v>
      </c>
      <c r="AF24" s="791">
        <f>($M24*Costos!$K$6)</f>
        <v>0</v>
      </c>
      <c r="AG24" s="792">
        <f>($M24*Costos!$H$6)</f>
        <v>0</v>
      </c>
      <c r="AH24" s="791">
        <f>($M24*Costos!$K$7)</f>
        <v>0</v>
      </c>
      <c r="AI24" s="792">
        <f>($M24*Costos!$H$7)</f>
        <v>0</v>
      </c>
      <c r="AJ24" s="791">
        <f>($M24*Costos!$K$8)</f>
        <v>0</v>
      </c>
      <c r="AK24" s="792">
        <f>($M24*Costos!$H$8)</f>
        <v>0</v>
      </c>
      <c r="AL24" s="793">
        <f t="shared" si="2"/>
        <v>0</v>
      </c>
      <c r="AM24" s="778">
        <f t="shared" si="3"/>
        <v>0</v>
      </c>
      <c r="AN24" s="790"/>
      <c r="AO24" s="791">
        <f>($N24*Costos!$L$4)</f>
        <v>0</v>
      </c>
      <c r="AP24" s="792">
        <f>($N24*Costos!$I$4)</f>
        <v>0</v>
      </c>
      <c r="AQ24" s="791">
        <f>($N24*Costos!$L$5)</f>
        <v>0</v>
      </c>
      <c r="AR24" s="792">
        <f>($N24*Costos!$I$5)</f>
        <v>0</v>
      </c>
      <c r="AS24" s="791">
        <f>($N24*Costos!$L$6)</f>
        <v>0</v>
      </c>
      <c r="AT24" s="792">
        <f>($N24*Costos!$I$6)</f>
        <v>0</v>
      </c>
      <c r="AU24" s="791">
        <f>($N24*Costos!$L$7)</f>
        <v>0</v>
      </c>
      <c r="AV24" s="792">
        <f>($N24*Costos!$I$7)</f>
        <v>0</v>
      </c>
      <c r="AW24" s="791">
        <f>($N24*Costos!$L$8)</f>
        <v>0</v>
      </c>
      <c r="AX24" s="792">
        <f>($N24*Costos!$I$8)</f>
        <v>0</v>
      </c>
      <c r="AY24" s="793">
        <f t="shared" si="4"/>
        <v>0</v>
      </c>
      <c r="AZ24" s="778">
        <f t="shared" si="5"/>
        <v>0</v>
      </c>
      <c r="BA24" s="586"/>
      <c r="BB24" s="537"/>
    </row>
    <row r="25" spans="1:54" ht="17.399999999999999" thickBot="1" x14ac:dyDescent="0.35">
      <c r="A25" s="689"/>
      <c r="B25" s="576"/>
      <c r="D25" s="829"/>
      <c r="E25" s="684"/>
      <c r="F25" s="684"/>
      <c r="G25" s="684"/>
      <c r="H25" s="684"/>
      <c r="I25" s="684"/>
      <c r="J25" s="460"/>
      <c r="K25" s="460"/>
      <c r="L25" s="685"/>
      <c r="M25" s="685"/>
      <c r="N25" s="686"/>
      <c r="O25" s="487">
        <f>($L25*Costos!$J$4)</f>
        <v>0</v>
      </c>
      <c r="P25" s="488">
        <f>($L25*Costos!$G$4)</f>
        <v>0</v>
      </c>
      <c r="Q25" s="487">
        <f>($L25*Costos!$J$5)</f>
        <v>0</v>
      </c>
      <c r="R25" s="488">
        <f>($L25*Costos!$G$5)</f>
        <v>0</v>
      </c>
      <c r="S25" s="487">
        <f>($L25*Costos!$J$6)</f>
        <v>0</v>
      </c>
      <c r="T25" s="488">
        <f>($L25*Costos!$G$6)</f>
        <v>0</v>
      </c>
      <c r="U25" s="487">
        <f>($L25*Costos!$J$7)</f>
        <v>0</v>
      </c>
      <c r="V25" s="488">
        <f>($L25*Costos!$G$7)</f>
        <v>0</v>
      </c>
      <c r="W25" s="487">
        <f>($L25*Costos!$J$8)</f>
        <v>0</v>
      </c>
      <c r="X25" s="488">
        <f>($L25*Costos!$G$8)</f>
        <v>0</v>
      </c>
      <c r="Y25" s="489">
        <f t="shared" si="0"/>
        <v>0</v>
      </c>
      <c r="Z25" s="778">
        <f t="shared" si="1"/>
        <v>0</v>
      </c>
      <c r="AA25" s="790"/>
      <c r="AB25" s="791">
        <f>($M25*Costos!$K$4)</f>
        <v>0</v>
      </c>
      <c r="AC25" s="792">
        <f>($M25*Costos!$H$4)</f>
        <v>0</v>
      </c>
      <c r="AD25" s="791">
        <f>($M25*Costos!$K$5)</f>
        <v>0</v>
      </c>
      <c r="AE25" s="792">
        <f>($M25*Costos!$H$5)</f>
        <v>0</v>
      </c>
      <c r="AF25" s="791">
        <f>($M25*Costos!$K$6)</f>
        <v>0</v>
      </c>
      <c r="AG25" s="792">
        <f>($M25*Costos!$H$6)</f>
        <v>0</v>
      </c>
      <c r="AH25" s="791">
        <f>($M25*Costos!$K$7)</f>
        <v>0</v>
      </c>
      <c r="AI25" s="792">
        <f>($M25*Costos!$H$7)</f>
        <v>0</v>
      </c>
      <c r="AJ25" s="791">
        <f>($M25*Costos!$K$8)</f>
        <v>0</v>
      </c>
      <c r="AK25" s="792">
        <f>($M25*Costos!$H$8)</f>
        <v>0</v>
      </c>
      <c r="AL25" s="793">
        <f t="shared" si="2"/>
        <v>0</v>
      </c>
      <c r="AM25" s="778">
        <f t="shared" si="3"/>
        <v>0</v>
      </c>
      <c r="AN25" s="790"/>
      <c r="AO25" s="791">
        <f>($N25*Costos!$L$4)</f>
        <v>0</v>
      </c>
      <c r="AP25" s="792">
        <f>($N25*Costos!$I$4)</f>
        <v>0</v>
      </c>
      <c r="AQ25" s="791">
        <f>($N25*Costos!$L$5)</f>
        <v>0</v>
      </c>
      <c r="AR25" s="792">
        <f>($N25*Costos!$I$5)</f>
        <v>0</v>
      </c>
      <c r="AS25" s="791">
        <f>($N25*Costos!$L$6)</f>
        <v>0</v>
      </c>
      <c r="AT25" s="792">
        <f>($N25*Costos!$I$6)</f>
        <v>0</v>
      </c>
      <c r="AU25" s="791">
        <f>($N25*Costos!$L$7)</f>
        <v>0</v>
      </c>
      <c r="AV25" s="792">
        <f>($N25*Costos!$I$7)</f>
        <v>0</v>
      </c>
      <c r="AW25" s="791">
        <f>($N25*Costos!$L$8)</f>
        <v>0</v>
      </c>
      <c r="AX25" s="792">
        <f>($N25*Costos!$I$8)</f>
        <v>0</v>
      </c>
      <c r="AY25" s="793">
        <f t="shared" si="4"/>
        <v>0</v>
      </c>
      <c r="AZ25" s="778">
        <f t="shared" si="5"/>
        <v>0</v>
      </c>
      <c r="BA25" s="586"/>
      <c r="BB25" s="537"/>
    </row>
    <row r="26" spans="1:54" ht="17.399999999999999" thickBot="1" x14ac:dyDescent="0.35">
      <c r="A26" s="689"/>
      <c r="B26" s="576"/>
      <c r="D26" s="829"/>
      <c r="E26" s="684"/>
      <c r="F26" s="684"/>
      <c r="G26" s="684"/>
      <c r="H26" s="684"/>
      <c r="I26" s="684"/>
      <c r="J26" s="460"/>
      <c r="K26" s="460"/>
      <c r="L26" s="685"/>
      <c r="M26" s="685"/>
      <c r="N26" s="686"/>
      <c r="O26" s="487">
        <f>($L26*Costos!$J$4)</f>
        <v>0</v>
      </c>
      <c r="P26" s="488">
        <f>($L26*Costos!$G$4)</f>
        <v>0</v>
      </c>
      <c r="Q26" s="487">
        <f>($L26*Costos!$J$5)</f>
        <v>0</v>
      </c>
      <c r="R26" s="488">
        <f>($L26*Costos!$G$5)</f>
        <v>0</v>
      </c>
      <c r="S26" s="487">
        <f>($L26*Costos!$J$6)</f>
        <v>0</v>
      </c>
      <c r="T26" s="488">
        <f>($L26*Costos!$G$6)</f>
        <v>0</v>
      </c>
      <c r="U26" s="487">
        <f>($L26*Costos!$J$7)</f>
        <v>0</v>
      </c>
      <c r="V26" s="488">
        <f>($L26*Costos!$G$7)</f>
        <v>0</v>
      </c>
      <c r="W26" s="487">
        <f>($L26*Costos!$J$8)</f>
        <v>0</v>
      </c>
      <c r="X26" s="488">
        <f>($L26*Costos!$G$8)</f>
        <v>0</v>
      </c>
      <c r="Y26" s="489">
        <f t="shared" si="0"/>
        <v>0</v>
      </c>
      <c r="Z26" s="778">
        <f t="shared" si="1"/>
        <v>0</v>
      </c>
      <c r="AA26" s="790"/>
      <c r="AB26" s="791">
        <f>($M26*Costos!$K$4)</f>
        <v>0</v>
      </c>
      <c r="AC26" s="792">
        <f>($M26*Costos!$H$4)</f>
        <v>0</v>
      </c>
      <c r="AD26" s="791">
        <f>($M26*Costos!$K$5)</f>
        <v>0</v>
      </c>
      <c r="AE26" s="792">
        <f>($M26*Costos!$H$5)</f>
        <v>0</v>
      </c>
      <c r="AF26" s="791">
        <f>($M26*Costos!$K$6)</f>
        <v>0</v>
      </c>
      <c r="AG26" s="792">
        <f>($M26*Costos!$H$6)</f>
        <v>0</v>
      </c>
      <c r="AH26" s="791">
        <f>($M26*Costos!$K$7)</f>
        <v>0</v>
      </c>
      <c r="AI26" s="792">
        <f>($M26*Costos!$H$7)</f>
        <v>0</v>
      </c>
      <c r="AJ26" s="791">
        <f>($M26*Costos!$K$8)</f>
        <v>0</v>
      </c>
      <c r="AK26" s="792">
        <f>($M26*Costos!$H$8)</f>
        <v>0</v>
      </c>
      <c r="AL26" s="793">
        <f t="shared" si="2"/>
        <v>0</v>
      </c>
      <c r="AM26" s="778">
        <f t="shared" si="3"/>
        <v>0</v>
      </c>
      <c r="AN26" s="790"/>
      <c r="AO26" s="791">
        <f>($N26*Costos!$L$4)</f>
        <v>0</v>
      </c>
      <c r="AP26" s="792">
        <f>($N26*Costos!$I$4)</f>
        <v>0</v>
      </c>
      <c r="AQ26" s="791">
        <f>($N26*Costos!$L$5)</f>
        <v>0</v>
      </c>
      <c r="AR26" s="792">
        <f>($N26*Costos!$I$5)</f>
        <v>0</v>
      </c>
      <c r="AS26" s="791">
        <f>($N26*Costos!$L$6)</f>
        <v>0</v>
      </c>
      <c r="AT26" s="792">
        <f>($N26*Costos!$I$6)</f>
        <v>0</v>
      </c>
      <c r="AU26" s="791">
        <f>($N26*Costos!$L$7)</f>
        <v>0</v>
      </c>
      <c r="AV26" s="792">
        <f>($N26*Costos!$I$7)</f>
        <v>0</v>
      </c>
      <c r="AW26" s="791">
        <f>($N26*Costos!$L$8)</f>
        <v>0</v>
      </c>
      <c r="AX26" s="792">
        <f>($N26*Costos!$I$8)</f>
        <v>0</v>
      </c>
      <c r="AY26" s="793">
        <f t="shared" si="4"/>
        <v>0</v>
      </c>
      <c r="AZ26" s="778">
        <f t="shared" si="5"/>
        <v>0</v>
      </c>
      <c r="BA26" s="586"/>
      <c r="BB26" s="537"/>
    </row>
    <row r="27" spans="1:54" ht="17.399999999999999" thickBot="1" x14ac:dyDescent="0.35">
      <c r="A27" s="689"/>
      <c r="B27" s="576"/>
      <c r="D27" s="829"/>
      <c r="E27" s="684"/>
      <c r="F27" s="684"/>
      <c r="G27" s="684"/>
      <c r="H27" s="684"/>
      <c r="I27" s="684"/>
      <c r="J27" s="460"/>
      <c r="K27" s="460"/>
      <c r="L27" s="685"/>
      <c r="M27" s="685"/>
      <c r="N27" s="686"/>
      <c r="O27" s="487">
        <f>($L27*Costos!$J$4)</f>
        <v>0</v>
      </c>
      <c r="P27" s="488">
        <f>($L27*Costos!$G$4)</f>
        <v>0</v>
      </c>
      <c r="Q27" s="487">
        <f>($L27*Costos!$J$5)</f>
        <v>0</v>
      </c>
      <c r="R27" s="488">
        <f>($L27*Costos!$G$5)</f>
        <v>0</v>
      </c>
      <c r="S27" s="487">
        <f>($L27*Costos!$J$6)</f>
        <v>0</v>
      </c>
      <c r="T27" s="488">
        <f>($L27*Costos!$G$6)</f>
        <v>0</v>
      </c>
      <c r="U27" s="487">
        <f>($L27*Costos!$J$7)</f>
        <v>0</v>
      </c>
      <c r="V27" s="488">
        <f>($L27*Costos!$G$7)</f>
        <v>0</v>
      </c>
      <c r="W27" s="487">
        <f>($L27*Costos!$J$8)</f>
        <v>0</v>
      </c>
      <c r="X27" s="488">
        <f>($L27*Costos!$G$8)</f>
        <v>0</v>
      </c>
      <c r="Y27" s="489">
        <f t="shared" si="0"/>
        <v>0</v>
      </c>
      <c r="Z27" s="778">
        <f t="shared" si="1"/>
        <v>0</v>
      </c>
      <c r="AA27" s="790"/>
      <c r="AB27" s="791">
        <f>($M27*Costos!$K$4)</f>
        <v>0</v>
      </c>
      <c r="AC27" s="792">
        <f>($M27*Costos!$H$4)</f>
        <v>0</v>
      </c>
      <c r="AD27" s="791">
        <f>($M27*Costos!$K$5)</f>
        <v>0</v>
      </c>
      <c r="AE27" s="792">
        <f>($M27*Costos!$H$5)</f>
        <v>0</v>
      </c>
      <c r="AF27" s="791">
        <f>($M27*Costos!$K$6)</f>
        <v>0</v>
      </c>
      <c r="AG27" s="792">
        <f>($M27*Costos!$H$6)</f>
        <v>0</v>
      </c>
      <c r="AH27" s="791">
        <f>($M27*Costos!$K$7)</f>
        <v>0</v>
      </c>
      <c r="AI27" s="792">
        <f>($M27*Costos!$H$7)</f>
        <v>0</v>
      </c>
      <c r="AJ27" s="791">
        <f>($M27*Costos!$K$8)</f>
        <v>0</v>
      </c>
      <c r="AK27" s="792">
        <f>($M27*Costos!$H$8)</f>
        <v>0</v>
      </c>
      <c r="AL27" s="793">
        <f t="shared" si="2"/>
        <v>0</v>
      </c>
      <c r="AM27" s="778">
        <f t="shared" si="3"/>
        <v>0</v>
      </c>
      <c r="AN27" s="790"/>
      <c r="AO27" s="791">
        <f>($N27*Costos!$L$4)</f>
        <v>0</v>
      </c>
      <c r="AP27" s="792">
        <f>($N27*Costos!$I$4)</f>
        <v>0</v>
      </c>
      <c r="AQ27" s="791">
        <f>($N27*Costos!$L$5)</f>
        <v>0</v>
      </c>
      <c r="AR27" s="792">
        <f>($N27*Costos!$I$5)</f>
        <v>0</v>
      </c>
      <c r="AS27" s="791">
        <f>($N27*Costos!$L$6)</f>
        <v>0</v>
      </c>
      <c r="AT27" s="792">
        <f>($N27*Costos!$I$6)</f>
        <v>0</v>
      </c>
      <c r="AU27" s="791">
        <f>($N27*Costos!$L$7)</f>
        <v>0</v>
      </c>
      <c r="AV27" s="792">
        <f>($N27*Costos!$I$7)</f>
        <v>0</v>
      </c>
      <c r="AW27" s="791">
        <f>($N27*Costos!$L$8)</f>
        <v>0</v>
      </c>
      <c r="AX27" s="792">
        <f>($N27*Costos!$I$8)</f>
        <v>0</v>
      </c>
      <c r="AY27" s="793">
        <f t="shared" si="4"/>
        <v>0</v>
      </c>
      <c r="AZ27" s="778">
        <f t="shared" si="5"/>
        <v>0</v>
      </c>
      <c r="BA27" s="586"/>
      <c r="BB27" s="537"/>
    </row>
    <row r="28" spans="1:54" ht="17.399999999999999" thickBot="1" x14ac:dyDescent="0.35">
      <c r="A28" s="689"/>
      <c r="B28" s="576"/>
      <c r="D28" s="829"/>
      <c r="E28" s="684"/>
      <c r="F28" s="684"/>
      <c r="G28" s="684"/>
      <c r="H28" s="684"/>
      <c r="I28" s="684"/>
      <c r="J28" s="460"/>
      <c r="K28" s="460"/>
      <c r="L28" s="685"/>
      <c r="M28" s="685"/>
      <c r="N28" s="686"/>
      <c r="O28" s="487">
        <f>($L28*Costos!$J$4)</f>
        <v>0</v>
      </c>
      <c r="P28" s="488">
        <f>($L28*Costos!$G$4)</f>
        <v>0</v>
      </c>
      <c r="Q28" s="487">
        <f>($L28*Costos!$J$5)</f>
        <v>0</v>
      </c>
      <c r="R28" s="488">
        <f>($L28*Costos!$G$5)</f>
        <v>0</v>
      </c>
      <c r="S28" s="487">
        <f>($L28*Costos!$J$6)</f>
        <v>0</v>
      </c>
      <c r="T28" s="488">
        <f>($L28*Costos!$G$6)</f>
        <v>0</v>
      </c>
      <c r="U28" s="487">
        <f>($L28*Costos!$J$7)</f>
        <v>0</v>
      </c>
      <c r="V28" s="488">
        <f>($L28*Costos!$G$7)</f>
        <v>0</v>
      </c>
      <c r="W28" s="487">
        <f>($L28*Costos!$J$8)</f>
        <v>0</v>
      </c>
      <c r="X28" s="488">
        <f>($L28*Costos!$G$8)</f>
        <v>0</v>
      </c>
      <c r="Y28" s="489">
        <f t="shared" si="0"/>
        <v>0</v>
      </c>
      <c r="Z28" s="778">
        <f t="shared" si="1"/>
        <v>0</v>
      </c>
      <c r="AA28" s="790"/>
      <c r="AB28" s="791">
        <f>($M28*Costos!$K$4)</f>
        <v>0</v>
      </c>
      <c r="AC28" s="792">
        <f>($M28*Costos!$H$4)</f>
        <v>0</v>
      </c>
      <c r="AD28" s="791">
        <f>($M28*Costos!$K$5)</f>
        <v>0</v>
      </c>
      <c r="AE28" s="792">
        <f>($M28*Costos!$H$5)</f>
        <v>0</v>
      </c>
      <c r="AF28" s="791">
        <f>($M28*Costos!$K$6)</f>
        <v>0</v>
      </c>
      <c r="AG28" s="792">
        <f>($M28*Costos!$H$6)</f>
        <v>0</v>
      </c>
      <c r="AH28" s="791">
        <f>($M28*Costos!$K$7)</f>
        <v>0</v>
      </c>
      <c r="AI28" s="792">
        <f>($M28*Costos!$H$7)</f>
        <v>0</v>
      </c>
      <c r="AJ28" s="791">
        <f>($M28*Costos!$K$8)</f>
        <v>0</v>
      </c>
      <c r="AK28" s="792">
        <f>($M28*Costos!$H$8)</f>
        <v>0</v>
      </c>
      <c r="AL28" s="793">
        <f t="shared" si="2"/>
        <v>0</v>
      </c>
      <c r="AM28" s="778">
        <f t="shared" si="3"/>
        <v>0</v>
      </c>
      <c r="AN28" s="790"/>
      <c r="AO28" s="791">
        <f>($N28*Costos!$L$4)</f>
        <v>0</v>
      </c>
      <c r="AP28" s="792">
        <f>($N28*Costos!$I$4)</f>
        <v>0</v>
      </c>
      <c r="AQ28" s="791">
        <f>($N28*Costos!$L$5)</f>
        <v>0</v>
      </c>
      <c r="AR28" s="792">
        <f>($N28*Costos!$I$5)</f>
        <v>0</v>
      </c>
      <c r="AS28" s="791">
        <f>($N28*Costos!$L$6)</f>
        <v>0</v>
      </c>
      <c r="AT28" s="792">
        <f>($N28*Costos!$I$6)</f>
        <v>0</v>
      </c>
      <c r="AU28" s="791">
        <f>($N28*Costos!$L$7)</f>
        <v>0</v>
      </c>
      <c r="AV28" s="792">
        <f>($N28*Costos!$I$7)</f>
        <v>0</v>
      </c>
      <c r="AW28" s="791">
        <f>($N28*Costos!$L$8)</f>
        <v>0</v>
      </c>
      <c r="AX28" s="792">
        <f>($N28*Costos!$I$8)</f>
        <v>0</v>
      </c>
      <c r="AY28" s="793">
        <f t="shared" si="4"/>
        <v>0</v>
      </c>
      <c r="AZ28" s="778">
        <f t="shared" si="5"/>
        <v>0</v>
      </c>
      <c r="BA28" s="586"/>
      <c r="BB28" s="537"/>
    </row>
    <row r="29" spans="1:54" ht="17.399999999999999" thickBot="1" x14ac:dyDescent="0.35">
      <c r="A29" s="689"/>
      <c r="B29" s="576"/>
      <c r="D29" s="829"/>
      <c r="E29" s="684"/>
      <c r="F29" s="684"/>
      <c r="G29" s="684"/>
      <c r="H29" s="684"/>
      <c r="I29" s="684"/>
      <c r="J29" s="460"/>
      <c r="K29" s="460"/>
      <c r="L29" s="685"/>
      <c r="M29" s="685"/>
      <c r="N29" s="686"/>
      <c r="O29" s="487">
        <f>($L29*Costos!$J$4)</f>
        <v>0</v>
      </c>
      <c r="P29" s="488">
        <f>($L29*Costos!$G$4)</f>
        <v>0</v>
      </c>
      <c r="Q29" s="487">
        <f>($L29*Costos!$J$5)</f>
        <v>0</v>
      </c>
      <c r="R29" s="488">
        <f>($L29*Costos!$G$5)</f>
        <v>0</v>
      </c>
      <c r="S29" s="487">
        <f>($L29*Costos!$J$6)</f>
        <v>0</v>
      </c>
      <c r="T29" s="488">
        <f>($L29*Costos!$G$6)</f>
        <v>0</v>
      </c>
      <c r="U29" s="487">
        <f>($L29*Costos!$J$7)</f>
        <v>0</v>
      </c>
      <c r="V29" s="488">
        <f>($L29*Costos!$G$7)</f>
        <v>0</v>
      </c>
      <c r="W29" s="487">
        <f>($L29*Costos!$J$8)</f>
        <v>0</v>
      </c>
      <c r="X29" s="488">
        <f>($L29*Costos!$G$8)</f>
        <v>0</v>
      </c>
      <c r="Y29" s="489">
        <f t="shared" si="0"/>
        <v>0</v>
      </c>
      <c r="Z29" s="778">
        <f t="shared" si="1"/>
        <v>0</v>
      </c>
      <c r="AA29" s="790"/>
      <c r="AB29" s="791">
        <f>($M29*Costos!$K$4)</f>
        <v>0</v>
      </c>
      <c r="AC29" s="792">
        <f>($M29*Costos!$H$4)</f>
        <v>0</v>
      </c>
      <c r="AD29" s="791">
        <f>($M29*Costos!$K$5)</f>
        <v>0</v>
      </c>
      <c r="AE29" s="792">
        <f>($M29*Costos!$H$5)</f>
        <v>0</v>
      </c>
      <c r="AF29" s="791">
        <f>($M29*Costos!$K$6)</f>
        <v>0</v>
      </c>
      <c r="AG29" s="792">
        <f>($M29*Costos!$H$6)</f>
        <v>0</v>
      </c>
      <c r="AH29" s="791">
        <f>($M29*Costos!$K$7)</f>
        <v>0</v>
      </c>
      <c r="AI29" s="792">
        <f>($M29*Costos!$H$7)</f>
        <v>0</v>
      </c>
      <c r="AJ29" s="791">
        <f>($M29*Costos!$K$8)</f>
        <v>0</v>
      </c>
      <c r="AK29" s="792">
        <f>($M29*Costos!$H$8)</f>
        <v>0</v>
      </c>
      <c r="AL29" s="793">
        <f t="shared" si="2"/>
        <v>0</v>
      </c>
      <c r="AM29" s="778">
        <f t="shared" si="3"/>
        <v>0</v>
      </c>
      <c r="AN29" s="790"/>
      <c r="AO29" s="791">
        <f>($N29*Costos!$L$4)</f>
        <v>0</v>
      </c>
      <c r="AP29" s="792">
        <f>($N29*Costos!$I$4)</f>
        <v>0</v>
      </c>
      <c r="AQ29" s="791">
        <f>($N29*Costos!$L$5)</f>
        <v>0</v>
      </c>
      <c r="AR29" s="792">
        <f>($N29*Costos!$I$5)</f>
        <v>0</v>
      </c>
      <c r="AS29" s="791">
        <f>($N29*Costos!$L$6)</f>
        <v>0</v>
      </c>
      <c r="AT29" s="792">
        <f>($N29*Costos!$I$6)</f>
        <v>0</v>
      </c>
      <c r="AU29" s="791">
        <f>($N29*Costos!$L$7)</f>
        <v>0</v>
      </c>
      <c r="AV29" s="792">
        <f>($N29*Costos!$I$7)</f>
        <v>0</v>
      </c>
      <c r="AW29" s="791">
        <f>($N29*Costos!$L$8)</f>
        <v>0</v>
      </c>
      <c r="AX29" s="792">
        <f>($N29*Costos!$I$8)</f>
        <v>0</v>
      </c>
      <c r="AY29" s="793">
        <f t="shared" si="4"/>
        <v>0</v>
      </c>
      <c r="AZ29" s="778">
        <f t="shared" si="5"/>
        <v>0</v>
      </c>
      <c r="BA29" s="586"/>
      <c r="BB29" s="537"/>
    </row>
    <row r="30" spans="1:54" ht="17.399999999999999" thickBot="1" x14ac:dyDescent="0.35">
      <c r="A30" s="689"/>
      <c r="B30" s="576"/>
      <c r="D30" s="823"/>
      <c r="E30" s="684"/>
      <c r="F30" s="684"/>
      <c r="G30" s="684"/>
      <c r="H30" s="684"/>
      <c r="I30" s="684"/>
      <c r="J30" s="460"/>
      <c r="K30" s="460"/>
      <c r="L30" s="685"/>
      <c r="M30" s="685"/>
      <c r="N30" s="686"/>
      <c r="O30" s="487">
        <f>($L30*Costos!$J$4)</f>
        <v>0</v>
      </c>
      <c r="P30" s="488">
        <f>($L30*Costos!$G$4)</f>
        <v>0</v>
      </c>
      <c r="Q30" s="487">
        <f>($L30*Costos!$J$5)</f>
        <v>0</v>
      </c>
      <c r="R30" s="488">
        <f>($L30*Costos!$G$5)</f>
        <v>0</v>
      </c>
      <c r="S30" s="487">
        <f>($L30*Costos!$J$6)</f>
        <v>0</v>
      </c>
      <c r="T30" s="488">
        <f>($L30*Costos!$G$6)</f>
        <v>0</v>
      </c>
      <c r="U30" s="487">
        <f>($L30*Costos!$J$7)</f>
        <v>0</v>
      </c>
      <c r="V30" s="488">
        <f>($L30*Costos!$G$7)</f>
        <v>0</v>
      </c>
      <c r="W30" s="487">
        <f>($L30*Costos!$J$8)</f>
        <v>0</v>
      </c>
      <c r="X30" s="488">
        <f>($L30*Costos!$G$8)</f>
        <v>0</v>
      </c>
      <c r="Y30" s="489">
        <f t="shared" si="0"/>
        <v>0</v>
      </c>
      <c r="Z30" s="778">
        <f t="shared" si="1"/>
        <v>0</v>
      </c>
      <c r="AA30" s="790"/>
      <c r="AB30" s="791">
        <f>($M30*Costos!$K$4)</f>
        <v>0</v>
      </c>
      <c r="AC30" s="792">
        <f>($M30*Costos!$H$4)</f>
        <v>0</v>
      </c>
      <c r="AD30" s="791">
        <f>($M30*Costos!$K$5)</f>
        <v>0</v>
      </c>
      <c r="AE30" s="792">
        <f>($M30*Costos!$H$5)</f>
        <v>0</v>
      </c>
      <c r="AF30" s="791">
        <f>($M30*Costos!$K$6)</f>
        <v>0</v>
      </c>
      <c r="AG30" s="792">
        <f>($M30*Costos!$H$6)</f>
        <v>0</v>
      </c>
      <c r="AH30" s="791">
        <f>($M30*Costos!$K$7)</f>
        <v>0</v>
      </c>
      <c r="AI30" s="792">
        <f>($M30*Costos!$H$7)</f>
        <v>0</v>
      </c>
      <c r="AJ30" s="791">
        <f>($M30*Costos!$K$8)</f>
        <v>0</v>
      </c>
      <c r="AK30" s="792">
        <f>($M30*Costos!$H$8)</f>
        <v>0</v>
      </c>
      <c r="AL30" s="793">
        <f t="shared" si="2"/>
        <v>0</v>
      </c>
      <c r="AM30" s="778">
        <f t="shared" si="3"/>
        <v>0</v>
      </c>
      <c r="AN30" s="790"/>
      <c r="AO30" s="791">
        <f>($N30*Costos!$L$4)</f>
        <v>0</v>
      </c>
      <c r="AP30" s="792">
        <f>($N30*Costos!$I$4)</f>
        <v>0</v>
      </c>
      <c r="AQ30" s="791">
        <f>($N30*Costos!$L$5)</f>
        <v>0</v>
      </c>
      <c r="AR30" s="792">
        <f>($N30*Costos!$I$5)</f>
        <v>0</v>
      </c>
      <c r="AS30" s="791">
        <f>($N30*Costos!$L$6)</f>
        <v>0</v>
      </c>
      <c r="AT30" s="792">
        <f>($N30*Costos!$I$6)</f>
        <v>0</v>
      </c>
      <c r="AU30" s="791">
        <f>($N30*Costos!$L$7)</f>
        <v>0</v>
      </c>
      <c r="AV30" s="792">
        <f>($N30*Costos!$I$7)</f>
        <v>0</v>
      </c>
      <c r="AW30" s="791">
        <f>($N30*Costos!$L$8)</f>
        <v>0</v>
      </c>
      <c r="AX30" s="792">
        <f>($N30*Costos!$I$8)</f>
        <v>0</v>
      </c>
      <c r="AY30" s="793">
        <f t="shared" si="4"/>
        <v>0</v>
      </c>
      <c r="AZ30" s="778">
        <f t="shared" si="5"/>
        <v>0</v>
      </c>
      <c r="BA30" s="586"/>
      <c r="BB30" s="537"/>
    </row>
    <row r="31" spans="1:54" ht="17.399999999999999" thickBot="1" x14ac:dyDescent="0.35">
      <c r="A31" s="689"/>
      <c r="B31" s="576"/>
      <c r="D31" s="824"/>
      <c r="E31" s="684"/>
      <c r="F31" s="684"/>
      <c r="G31" s="684"/>
      <c r="H31" s="684"/>
      <c r="I31" s="684"/>
      <c r="J31" s="460"/>
      <c r="K31" s="460"/>
      <c r="L31" s="685"/>
      <c r="M31" s="685"/>
      <c r="N31" s="686"/>
      <c r="O31" s="487">
        <f>($L31*Costos!$J$4)</f>
        <v>0</v>
      </c>
      <c r="P31" s="488">
        <f>($L31*Costos!$G$4)</f>
        <v>0</v>
      </c>
      <c r="Q31" s="487">
        <f>($L31*Costos!$J$5)</f>
        <v>0</v>
      </c>
      <c r="R31" s="488">
        <f>($L31*Costos!$G$5)</f>
        <v>0</v>
      </c>
      <c r="S31" s="487">
        <f>($L31*Costos!$J$6)</f>
        <v>0</v>
      </c>
      <c r="T31" s="488">
        <f>($L31*Costos!$G$6)</f>
        <v>0</v>
      </c>
      <c r="U31" s="487">
        <f>($L31*Costos!$J$7)</f>
        <v>0</v>
      </c>
      <c r="V31" s="488">
        <f>($L31*Costos!$G$7)</f>
        <v>0</v>
      </c>
      <c r="W31" s="487">
        <f>($L31*Costos!$J$8)</f>
        <v>0</v>
      </c>
      <c r="X31" s="488">
        <f>($L31*Costos!$G$8)</f>
        <v>0</v>
      </c>
      <c r="Y31" s="489">
        <f t="shared" si="0"/>
        <v>0</v>
      </c>
      <c r="Z31" s="778">
        <f t="shared" si="1"/>
        <v>0</v>
      </c>
      <c r="AA31" s="790"/>
      <c r="AB31" s="791">
        <f>($M31*Costos!$K$4)</f>
        <v>0</v>
      </c>
      <c r="AC31" s="792">
        <f>($M31*Costos!$H$4)</f>
        <v>0</v>
      </c>
      <c r="AD31" s="791">
        <f>($M31*Costos!$K$5)</f>
        <v>0</v>
      </c>
      <c r="AE31" s="792">
        <f>($M31*Costos!$H$5)</f>
        <v>0</v>
      </c>
      <c r="AF31" s="791">
        <f>($M31*Costos!$K$6)</f>
        <v>0</v>
      </c>
      <c r="AG31" s="792">
        <f>($M31*Costos!$H$6)</f>
        <v>0</v>
      </c>
      <c r="AH31" s="791">
        <f>($M31*Costos!$K$7)</f>
        <v>0</v>
      </c>
      <c r="AI31" s="792">
        <f>($M31*Costos!$H$7)</f>
        <v>0</v>
      </c>
      <c r="AJ31" s="791">
        <f>($M31*Costos!$K$8)</f>
        <v>0</v>
      </c>
      <c r="AK31" s="792">
        <f>($M31*Costos!$H$8)</f>
        <v>0</v>
      </c>
      <c r="AL31" s="793">
        <f t="shared" si="2"/>
        <v>0</v>
      </c>
      <c r="AM31" s="778">
        <f t="shared" si="3"/>
        <v>0</v>
      </c>
      <c r="AN31" s="790"/>
      <c r="AO31" s="791">
        <f>($N31*Costos!$L$4)</f>
        <v>0</v>
      </c>
      <c r="AP31" s="792">
        <f>($N31*Costos!$I$4)</f>
        <v>0</v>
      </c>
      <c r="AQ31" s="791">
        <f>($N31*Costos!$L$5)</f>
        <v>0</v>
      </c>
      <c r="AR31" s="792">
        <f>($N31*Costos!$I$5)</f>
        <v>0</v>
      </c>
      <c r="AS31" s="791">
        <f>($N31*Costos!$L$6)</f>
        <v>0</v>
      </c>
      <c r="AT31" s="792">
        <f>($N31*Costos!$I$6)</f>
        <v>0</v>
      </c>
      <c r="AU31" s="791">
        <f>($N31*Costos!$L$7)</f>
        <v>0</v>
      </c>
      <c r="AV31" s="792">
        <f>($N31*Costos!$I$7)</f>
        <v>0</v>
      </c>
      <c r="AW31" s="791">
        <f>($N31*Costos!$L$8)</f>
        <v>0</v>
      </c>
      <c r="AX31" s="792">
        <f>($N31*Costos!$I$8)</f>
        <v>0</v>
      </c>
      <c r="AY31" s="793">
        <f t="shared" si="4"/>
        <v>0</v>
      </c>
      <c r="AZ31" s="778">
        <f t="shared" si="5"/>
        <v>0</v>
      </c>
      <c r="BA31" s="586"/>
      <c r="BB31" s="537"/>
    </row>
    <row r="32" spans="1:54" ht="17.399999999999999" thickBot="1" x14ac:dyDescent="0.35">
      <c r="A32" s="689"/>
      <c r="B32" s="576"/>
      <c r="D32" s="823"/>
      <c r="E32" s="684"/>
      <c r="F32" s="684"/>
      <c r="G32" s="684"/>
      <c r="H32" s="684"/>
      <c r="I32" s="684"/>
      <c r="J32" s="460"/>
      <c r="K32" s="460"/>
      <c r="L32" s="685"/>
      <c r="M32" s="685"/>
      <c r="N32" s="686"/>
      <c r="O32" s="487">
        <f>($L32*Costos!$J$4)</f>
        <v>0</v>
      </c>
      <c r="P32" s="488">
        <f>($L32*Costos!$G$4)</f>
        <v>0</v>
      </c>
      <c r="Q32" s="487">
        <f>($L32*Costos!$J$5)</f>
        <v>0</v>
      </c>
      <c r="R32" s="488">
        <f>($L32*Costos!$G$5)</f>
        <v>0</v>
      </c>
      <c r="S32" s="487">
        <f>($L32*Costos!$J$6)</f>
        <v>0</v>
      </c>
      <c r="T32" s="488">
        <f>($L32*Costos!$G$6)</f>
        <v>0</v>
      </c>
      <c r="U32" s="487">
        <f>($L32*Costos!$J$7)</f>
        <v>0</v>
      </c>
      <c r="V32" s="488">
        <f>($L32*Costos!$G$7)</f>
        <v>0</v>
      </c>
      <c r="W32" s="487">
        <f>($L32*Costos!$J$8)</f>
        <v>0</v>
      </c>
      <c r="X32" s="488">
        <f>($L32*Costos!$G$8)</f>
        <v>0</v>
      </c>
      <c r="Y32" s="489">
        <f t="shared" si="0"/>
        <v>0</v>
      </c>
      <c r="Z32" s="778">
        <f t="shared" si="1"/>
        <v>0</v>
      </c>
      <c r="AA32" s="790"/>
      <c r="AB32" s="791">
        <f>($M32*Costos!$K$4)</f>
        <v>0</v>
      </c>
      <c r="AC32" s="792">
        <f>($M32*Costos!$H$4)</f>
        <v>0</v>
      </c>
      <c r="AD32" s="791">
        <f>($M32*Costos!$K$5)</f>
        <v>0</v>
      </c>
      <c r="AE32" s="792">
        <f>($M32*Costos!$H$5)</f>
        <v>0</v>
      </c>
      <c r="AF32" s="791">
        <f>($M32*Costos!$K$6)</f>
        <v>0</v>
      </c>
      <c r="AG32" s="792">
        <f>($M32*Costos!$H$6)</f>
        <v>0</v>
      </c>
      <c r="AH32" s="791">
        <f>($M32*Costos!$K$7)</f>
        <v>0</v>
      </c>
      <c r="AI32" s="792">
        <f>($M32*Costos!$H$7)</f>
        <v>0</v>
      </c>
      <c r="AJ32" s="791">
        <f>($M32*Costos!$K$8)</f>
        <v>0</v>
      </c>
      <c r="AK32" s="792">
        <f>($M32*Costos!$H$8)</f>
        <v>0</v>
      </c>
      <c r="AL32" s="793">
        <f t="shared" si="2"/>
        <v>0</v>
      </c>
      <c r="AM32" s="778">
        <f t="shared" si="3"/>
        <v>0</v>
      </c>
      <c r="AN32" s="790"/>
      <c r="AO32" s="791">
        <f>($N32*Costos!$L$4)</f>
        <v>0</v>
      </c>
      <c r="AP32" s="792">
        <f>($N32*Costos!$I$4)</f>
        <v>0</v>
      </c>
      <c r="AQ32" s="791">
        <f>($N32*Costos!$L$5)</f>
        <v>0</v>
      </c>
      <c r="AR32" s="792">
        <f>($N32*Costos!$I$5)</f>
        <v>0</v>
      </c>
      <c r="AS32" s="791">
        <f>($N32*Costos!$L$6)</f>
        <v>0</v>
      </c>
      <c r="AT32" s="792">
        <f>($N32*Costos!$I$6)</f>
        <v>0</v>
      </c>
      <c r="AU32" s="791">
        <f>($N32*Costos!$L$7)</f>
        <v>0</v>
      </c>
      <c r="AV32" s="792">
        <f>($N32*Costos!$I$7)</f>
        <v>0</v>
      </c>
      <c r="AW32" s="791">
        <f>($N32*Costos!$L$8)</f>
        <v>0</v>
      </c>
      <c r="AX32" s="792">
        <f>($N32*Costos!$I$8)</f>
        <v>0</v>
      </c>
      <c r="AY32" s="793">
        <f t="shared" si="4"/>
        <v>0</v>
      </c>
      <c r="AZ32" s="778">
        <f t="shared" si="5"/>
        <v>0</v>
      </c>
      <c r="BA32" s="586"/>
      <c r="BB32" s="537"/>
    </row>
    <row r="33" spans="1:54" ht="17.399999999999999" thickBot="1" x14ac:dyDescent="0.35">
      <c r="A33" s="689"/>
      <c r="B33" s="576"/>
      <c r="D33" s="824"/>
      <c r="E33" s="684"/>
      <c r="F33" s="684"/>
      <c r="G33" s="684"/>
      <c r="H33" s="684"/>
      <c r="I33" s="684"/>
      <c r="J33" s="460"/>
      <c r="K33" s="460"/>
      <c r="L33" s="685"/>
      <c r="M33" s="685"/>
      <c r="N33" s="686"/>
      <c r="O33" s="487">
        <f>($L33*Costos!$J$4)</f>
        <v>0</v>
      </c>
      <c r="P33" s="488">
        <f>($L33*Costos!$G$4)</f>
        <v>0</v>
      </c>
      <c r="Q33" s="487">
        <f>($L33*Costos!$J$5)</f>
        <v>0</v>
      </c>
      <c r="R33" s="488">
        <f>($L33*Costos!$G$5)</f>
        <v>0</v>
      </c>
      <c r="S33" s="487">
        <f>($L33*Costos!$J$6)</f>
        <v>0</v>
      </c>
      <c r="T33" s="488">
        <f>($L33*Costos!$G$6)</f>
        <v>0</v>
      </c>
      <c r="U33" s="487">
        <f>($L33*Costos!$J$7)</f>
        <v>0</v>
      </c>
      <c r="V33" s="488">
        <f>($L33*Costos!$G$7)</f>
        <v>0</v>
      </c>
      <c r="W33" s="487">
        <f>($L33*Costos!$J$8)</f>
        <v>0</v>
      </c>
      <c r="X33" s="488">
        <f>($L33*Costos!$G$8)</f>
        <v>0</v>
      </c>
      <c r="Y33" s="489">
        <f t="shared" si="0"/>
        <v>0</v>
      </c>
      <c r="Z33" s="778">
        <f t="shared" si="1"/>
        <v>0</v>
      </c>
      <c r="AA33" s="790"/>
      <c r="AB33" s="791">
        <f>($M33*Costos!$K$4)</f>
        <v>0</v>
      </c>
      <c r="AC33" s="792">
        <f>($M33*Costos!$H$4)</f>
        <v>0</v>
      </c>
      <c r="AD33" s="791">
        <f>($M33*Costos!$K$5)</f>
        <v>0</v>
      </c>
      <c r="AE33" s="792">
        <f>($M33*Costos!$H$5)</f>
        <v>0</v>
      </c>
      <c r="AF33" s="791">
        <f>($M33*Costos!$K$6)</f>
        <v>0</v>
      </c>
      <c r="AG33" s="792">
        <f>($M33*Costos!$H$6)</f>
        <v>0</v>
      </c>
      <c r="AH33" s="791">
        <f>($M33*Costos!$K$7)</f>
        <v>0</v>
      </c>
      <c r="AI33" s="792">
        <f>($M33*Costos!$H$7)</f>
        <v>0</v>
      </c>
      <c r="AJ33" s="791">
        <f>($M33*Costos!$K$8)</f>
        <v>0</v>
      </c>
      <c r="AK33" s="792">
        <f>($M33*Costos!$H$8)</f>
        <v>0</v>
      </c>
      <c r="AL33" s="793">
        <f t="shared" si="2"/>
        <v>0</v>
      </c>
      <c r="AM33" s="778">
        <f t="shared" si="3"/>
        <v>0</v>
      </c>
      <c r="AN33" s="790"/>
      <c r="AO33" s="791">
        <f>($N33*Costos!$L$4)</f>
        <v>0</v>
      </c>
      <c r="AP33" s="792">
        <f>($N33*Costos!$I$4)</f>
        <v>0</v>
      </c>
      <c r="AQ33" s="791">
        <f>($N33*Costos!$L$5)</f>
        <v>0</v>
      </c>
      <c r="AR33" s="792">
        <f>($N33*Costos!$I$5)</f>
        <v>0</v>
      </c>
      <c r="AS33" s="791">
        <f>($N33*Costos!$L$6)</f>
        <v>0</v>
      </c>
      <c r="AT33" s="792">
        <f>($N33*Costos!$I$6)</f>
        <v>0</v>
      </c>
      <c r="AU33" s="791">
        <f>($N33*Costos!$L$7)</f>
        <v>0</v>
      </c>
      <c r="AV33" s="792">
        <f>($N33*Costos!$I$7)</f>
        <v>0</v>
      </c>
      <c r="AW33" s="791">
        <f>($N33*Costos!$L$8)</f>
        <v>0</v>
      </c>
      <c r="AX33" s="792">
        <f>($N33*Costos!$I$8)</f>
        <v>0</v>
      </c>
      <c r="AY33" s="793">
        <f t="shared" si="4"/>
        <v>0</v>
      </c>
      <c r="AZ33" s="778">
        <f t="shared" si="5"/>
        <v>0</v>
      </c>
      <c r="BA33" s="586"/>
      <c r="BB33" s="537"/>
    </row>
    <row r="34" spans="1:54" ht="17.399999999999999" thickBot="1" x14ac:dyDescent="0.35">
      <c r="A34" s="689"/>
      <c r="B34" s="576"/>
      <c r="D34" s="824"/>
      <c r="E34" s="684"/>
      <c r="F34" s="684"/>
      <c r="G34" s="684"/>
      <c r="H34" s="684"/>
      <c r="I34" s="684"/>
      <c r="J34" s="460"/>
      <c r="K34" s="460"/>
      <c r="L34" s="685"/>
      <c r="M34" s="685"/>
      <c r="N34" s="686"/>
      <c r="O34" s="487">
        <f>($L34*Costos!$J$4)</f>
        <v>0</v>
      </c>
      <c r="P34" s="488">
        <f>($L34*Costos!$G$4)</f>
        <v>0</v>
      </c>
      <c r="Q34" s="487">
        <f>($L34*Costos!$J$5)</f>
        <v>0</v>
      </c>
      <c r="R34" s="488">
        <f>($L34*Costos!$G$5)</f>
        <v>0</v>
      </c>
      <c r="S34" s="487">
        <f>($L34*Costos!$J$6)</f>
        <v>0</v>
      </c>
      <c r="T34" s="488">
        <f>($L34*Costos!$G$6)</f>
        <v>0</v>
      </c>
      <c r="U34" s="487">
        <f>($L34*Costos!$J$7)</f>
        <v>0</v>
      </c>
      <c r="V34" s="488">
        <f>($L34*Costos!$G$7)</f>
        <v>0</v>
      </c>
      <c r="W34" s="487">
        <f>($L34*Costos!$J$8)</f>
        <v>0</v>
      </c>
      <c r="X34" s="488">
        <f>($L34*Costos!$G$8)</f>
        <v>0</v>
      </c>
      <c r="Y34" s="489">
        <f t="shared" si="0"/>
        <v>0</v>
      </c>
      <c r="Z34" s="778">
        <f t="shared" si="1"/>
        <v>0</v>
      </c>
      <c r="AA34" s="790"/>
      <c r="AB34" s="791">
        <f>($M34*Costos!$K$4)</f>
        <v>0</v>
      </c>
      <c r="AC34" s="792">
        <f>($M34*Costos!$H$4)</f>
        <v>0</v>
      </c>
      <c r="AD34" s="791">
        <f>($M34*Costos!$K$5)</f>
        <v>0</v>
      </c>
      <c r="AE34" s="792">
        <f>($M34*Costos!$H$5)</f>
        <v>0</v>
      </c>
      <c r="AF34" s="791">
        <f>($M34*Costos!$K$6)</f>
        <v>0</v>
      </c>
      <c r="AG34" s="792">
        <f>($M34*Costos!$H$6)</f>
        <v>0</v>
      </c>
      <c r="AH34" s="791">
        <f>($M34*Costos!$K$7)</f>
        <v>0</v>
      </c>
      <c r="AI34" s="792">
        <f>($M34*Costos!$H$7)</f>
        <v>0</v>
      </c>
      <c r="AJ34" s="791">
        <f>($M34*Costos!$K$8)</f>
        <v>0</v>
      </c>
      <c r="AK34" s="792">
        <f>($M34*Costos!$H$8)</f>
        <v>0</v>
      </c>
      <c r="AL34" s="793">
        <f t="shared" si="2"/>
        <v>0</v>
      </c>
      <c r="AM34" s="778">
        <f t="shared" si="3"/>
        <v>0</v>
      </c>
      <c r="AN34" s="790"/>
      <c r="AO34" s="791">
        <f>($N34*Costos!$L$4)</f>
        <v>0</v>
      </c>
      <c r="AP34" s="792">
        <f>($N34*Costos!$I$4)</f>
        <v>0</v>
      </c>
      <c r="AQ34" s="791">
        <f>($N34*Costos!$L$5)</f>
        <v>0</v>
      </c>
      <c r="AR34" s="792">
        <f>($N34*Costos!$I$5)</f>
        <v>0</v>
      </c>
      <c r="AS34" s="791">
        <f>($N34*Costos!$L$6)</f>
        <v>0</v>
      </c>
      <c r="AT34" s="792">
        <f>($N34*Costos!$I$6)</f>
        <v>0</v>
      </c>
      <c r="AU34" s="791">
        <f>($N34*Costos!$L$7)</f>
        <v>0</v>
      </c>
      <c r="AV34" s="792">
        <f>($N34*Costos!$I$7)</f>
        <v>0</v>
      </c>
      <c r="AW34" s="791">
        <f>($N34*Costos!$L$8)</f>
        <v>0</v>
      </c>
      <c r="AX34" s="792">
        <f>($N34*Costos!$I$8)</f>
        <v>0</v>
      </c>
      <c r="AY34" s="793">
        <f t="shared" si="4"/>
        <v>0</v>
      </c>
      <c r="AZ34" s="778">
        <f t="shared" si="5"/>
        <v>0</v>
      </c>
      <c r="BA34" s="586"/>
      <c r="BB34" s="537"/>
    </row>
    <row r="35" spans="1:54" ht="17.399999999999999" thickBot="1" x14ac:dyDescent="0.35">
      <c r="A35" s="689"/>
      <c r="B35" s="576"/>
      <c r="D35" s="824"/>
      <c r="E35" s="684"/>
      <c r="F35" s="684"/>
      <c r="G35" s="684"/>
      <c r="H35" s="684"/>
      <c r="I35" s="684"/>
      <c r="J35" s="460"/>
      <c r="K35" s="460"/>
      <c r="L35" s="685"/>
      <c r="M35" s="685"/>
      <c r="N35" s="686"/>
      <c r="O35" s="487">
        <f>($L35*Costos!$J$4)</f>
        <v>0</v>
      </c>
      <c r="P35" s="488">
        <f>($L35*Costos!$G$4)</f>
        <v>0</v>
      </c>
      <c r="Q35" s="487">
        <f>($L35*Costos!$J$5)</f>
        <v>0</v>
      </c>
      <c r="R35" s="488">
        <f>($L35*Costos!$G$5)</f>
        <v>0</v>
      </c>
      <c r="S35" s="487">
        <f>($L35*Costos!$J$6)</f>
        <v>0</v>
      </c>
      <c r="T35" s="488">
        <f>($L35*Costos!$G$6)</f>
        <v>0</v>
      </c>
      <c r="U35" s="487">
        <f>($L35*Costos!$J$7)</f>
        <v>0</v>
      </c>
      <c r="V35" s="488">
        <f>($L35*Costos!$G$7)</f>
        <v>0</v>
      </c>
      <c r="W35" s="487">
        <f>($L35*Costos!$J$8)</f>
        <v>0</v>
      </c>
      <c r="X35" s="488">
        <f>($L35*Costos!$G$8)</f>
        <v>0</v>
      </c>
      <c r="Y35" s="489">
        <f t="shared" si="0"/>
        <v>0</v>
      </c>
      <c r="Z35" s="778">
        <f t="shared" si="1"/>
        <v>0</v>
      </c>
      <c r="AA35" s="790"/>
      <c r="AB35" s="791">
        <f>($M35*Costos!$K$4)</f>
        <v>0</v>
      </c>
      <c r="AC35" s="792">
        <f>($M35*Costos!$H$4)</f>
        <v>0</v>
      </c>
      <c r="AD35" s="791">
        <f>($M35*Costos!$K$5)</f>
        <v>0</v>
      </c>
      <c r="AE35" s="792">
        <f>($M35*Costos!$H$5)</f>
        <v>0</v>
      </c>
      <c r="AF35" s="791">
        <f>($M35*Costos!$K$6)</f>
        <v>0</v>
      </c>
      <c r="AG35" s="792">
        <f>($M35*Costos!$H$6)</f>
        <v>0</v>
      </c>
      <c r="AH35" s="791">
        <f>($M35*Costos!$K$7)</f>
        <v>0</v>
      </c>
      <c r="AI35" s="792">
        <f>($M35*Costos!$H$7)</f>
        <v>0</v>
      </c>
      <c r="AJ35" s="791">
        <f>($M35*Costos!$K$8)</f>
        <v>0</v>
      </c>
      <c r="AK35" s="792">
        <f>($M35*Costos!$H$8)</f>
        <v>0</v>
      </c>
      <c r="AL35" s="793">
        <f t="shared" si="2"/>
        <v>0</v>
      </c>
      <c r="AM35" s="778">
        <f t="shared" si="3"/>
        <v>0</v>
      </c>
      <c r="AN35" s="790"/>
      <c r="AO35" s="791">
        <f>($N35*Costos!$L$4)</f>
        <v>0</v>
      </c>
      <c r="AP35" s="792">
        <f>($N35*Costos!$I$4)</f>
        <v>0</v>
      </c>
      <c r="AQ35" s="791">
        <f>($N35*Costos!$L$5)</f>
        <v>0</v>
      </c>
      <c r="AR35" s="792">
        <f>($N35*Costos!$I$5)</f>
        <v>0</v>
      </c>
      <c r="AS35" s="791">
        <f>($N35*Costos!$L$6)</f>
        <v>0</v>
      </c>
      <c r="AT35" s="792">
        <f>($N35*Costos!$I$6)</f>
        <v>0</v>
      </c>
      <c r="AU35" s="791">
        <f>($N35*Costos!$L$7)</f>
        <v>0</v>
      </c>
      <c r="AV35" s="792">
        <f>($N35*Costos!$I$7)</f>
        <v>0</v>
      </c>
      <c r="AW35" s="791">
        <f>($N35*Costos!$L$8)</f>
        <v>0</v>
      </c>
      <c r="AX35" s="792">
        <f>($N35*Costos!$I$8)</f>
        <v>0</v>
      </c>
      <c r="AY35" s="793">
        <f t="shared" si="4"/>
        <v>0</v>
      </c>
      <c r="AZ35" s="778">
        <f t="shared" si="5"/>
        <v>0</v>
      </c>
      <c r="BA35" s="586"/>
      <c r="BB35" s="537"/>
    </row>
    <row r="36" spans="1:54" ht="17.399999999999999" thickBot="1" x14ac:dyDescent="0.35">
      <c r="A36" s="689"/>
      <c r="B36" s="576"/>
      <c r="D36" s="824"/>
      <c r="E36" s="684"/>
      <c r="F36" s="684"/>
      <c r="G36" s="684"/>
      <c r="H36" s="684"/>
      <c r="I36" s="684"/>
      <c r="J36" s="460"/>
      <c r="K36" s="460"/>
      <c r="L36" s="685"/>
      <c r="M36" s="685"/>
      <c r="N36" s="686"/>
      <c r="O36" s="487">
        <f>($L36*Costos!$J$4)</f>
        <v>0</v>
      </c>
      <c r="P36" s="488">
        <f>($L36*Costos!$G$4)</f>
        <v>0</v>
      </c>
      <c r="Q36" s="487">
        <f>($L36*Costos!$J$5)</f>
        <v>0</v>
      </c>
      <c r="R36" s="488">
        <f>($L36*Costos!$G$5)</f>
        <v>0</v>
      </c>
      <c r="S36" s="487">
        <f>($L36*Costos!$J$6)</f>
        <v>0</v>
      </c>
      <c r="T36" s="488">
        <f>($L36*Costos!$G$6)</f>
        <v>0</v>
      </c>
      <c r="U36" s="487">
        <f>($L36*Costos!$J$7)</f>
        <v>0</v>
      </c>
      <c r="V36" s="488">
        <f>($L36*Costos!$G$7)</f>
        <v>0</v>
      </c>
      <c r="W36" s="487">
        <f>($L36*Costos!$J$8)</f>
        <v>0</v>
      </c>
      <c r="X36" s="488">
        <f>($L36*Costos!$G$8)</f>
        <v>0</v>
      </c>
      <c r="Y36" s="489">
        <f t="shared" si="0"/>
        <v>0</v>
      </c>
      <c r="Z36" s="778">
        <f t="shared" si="1"/>
        <v>0</v>
      </c>
      <c r="AA36" s="790"/>
      <c r="AB36" s="791">
        <f>($M36*Costos!$K$4)</f>
        <v>0</v>
      </c>
      <c r="AC36" s="792">
        <f>($M36*Costos!$H$4)</f>
        <v>0</v>
      </c>
      <c r="AD36" s="791">
        <f>($M36*Costos!$K$5)</f>
        <v>0</v>
      </c>
      <c r="AE36" s="792">
        <f>($M36*Costos!$H$5)</f>
        <v>0</v>
      </c>
      <c r="AF36" s="791">
        <f>($M36*Costos!$K$6)</f>
        <v>0</v>
      </c>
      <c r="AG36" s="792">
        <f>($M36*Costos!$H$6)</f>
        <v>0</v>
      </c>
      <c r="AH36" s="791">
        <f>($M36*Costos!$K$7)</f>
        <v>0</v>
      </c>
      <c r="AI36" s="792">
        <f>($M36*Costos!$H$7)</f>
        <v>0</v>
      </c>
      <c r="AJ36" s="791">
        <f>($M36*Costos!$K$8)</f>
        <v>0</v>
      </c>
      <c r="AK36" s="792">
        <f>($M36*Costos!$H$8)</f>
        <v>0</v>
      </c>
      <c r="AL36" s="793">
        <f t="shared" si="2"/>
        <v>0</v>
      </c>
      <c r="AM36" s="778">
        <f t="shared" si="3"/>
        <v>0</v>
      </c>
      <c r="AN36" s="790"/>
      <c r="AO36" s="791">
        <f>($N36*Costos!$L$4)</f>
        <v>0</v>
      </c>
      <c r="AP36" s="792">
        <f>($N36*Costos!$I$4)</f>
        <v>0</v>
      </c>
      <c r="AQ36" s="791">
        <f>($N36*Costos!$L$5)</f>
        <v>0</v>
      </c>
      <c r="AR36" s="792">
        <f>($N36*Costos!$I$5)</f>
        <v>0</v>
      </c>
      <c r="AS36" s="791">
        <f>($N36*Costos!$L$6)</f>
        <v>0</v>
      </c>
      <c r="AT36" s="792">
        <f>($N36*Costos!$I$6)</f>
        <v>0</v>
      </c>
      <c r="AU36" s="791">
        <f>($N36*Costos!$L$7)</f>
        <v>0</v>
      </c>
      <c r="AV36" s="792">
        <f>($N36*Costos!$I$7)</f>
        <v>0</v>
      </c>
      <c r="AW36" s="791">
        <f>($N36*Costos!$L$8)</f>
        <v>0</v>
      </c>
      <c r="AX36" s="792">
        <f>($N36*Costos!$I$8)</f>
        <v>0</v>
      </c>
      <c r="AY36" s="793">
        <f t="shared" si="4"/>
        <v>0</v>
      </c>
      <c r="AZ36" s="778">
        <f t="shared" si="5"/>
        <v>0</v>
      </c>
      <c r="BA36" s="586"/>
      <c r="BB36" s="537"/>
    </row>
    <row r="37" spans="1:54" ht="17.399999999999999" thickBot="1" x14ac:dyDescent="0.35">
      <c r="A37" s="689"/>
      <c r="B37" s="576"/>
      <c r="D37" s="823"/>
      <c r="E37" s="684"/>
      <c r="F37" s="684"/>
      <c r="G37" s="684"/>
      <c r="H37" s="684"/>
      <c r="I37" s="684"/>
      <c r="J37" s="460"/>
      <c r="K37" s="460"/>
      <c r="L37" s="685"/>
      <c r="M37" s="685"/>
      <c r="N37" s="686"/>
      <c r="O37" s="487">
        <f>($L37*Costos!$J$4)</f>
        <v>0</v>
      </c>
      <c r="P37" s="488">
        <f>($L37*Costos!$G$4)</f>
        <v>0</v>
      </c>
      <c r="Q37" s="487">
        <f>($L37*Costos!$J$5)</f>
        <v>0</v>
      </c>
      <c r="R37" s="488">
        <f>($L37*Costos!$G$5)</f>
        <v>0</v>
      </c>
      <c r="S37" s="487">
        <f>($L37*Costos!$J$6)</f>
        <v>0</v>
      </c>
      <c r="T37" s="488">
        <f>($L37*Costos!$G$6)</f>
        <v>0</v>
      </c>
      <c r="U37" s="487">
        <f>($L37*Costos!$J$7)</f>
        <v>0</v>
      </c>
      <c r="V37" s="488">
        <f>($L37*Costos!$G$7)</f>
        <v>0</v>
      </c>
      <c r="W37" s="487">
        <f>($L37*Costos!$J$8)</f>
        <v>0</v>
      </c>
      <c r="X37" s="488">
        <f>($L37*Costos!$G$8)</f>
        <v>0</v>
      </c>
      <c r="Y37" s="489">
        <f t="shared" si="0"/>
        <v>0</v>
      </c>
      <c r="Z37" s="778">
        <f t="shared" si="1"/>
        <v>0</v>
      </c>
      <c r="AA37" s="790"/>
      <c r="AB37" s="791">
        <f>($M37*Costos!$K$4)</f>
        <v>0</v>
      </c>
      <c r="AC37" s="792">
        <f>($M37*Costos!$H$4)</f>
        <v>0</v>
      </c>
      <c r="AD37" s="791">
        <f>($M37*Costos!$K$5)</f>
        <v>0</v>
      </c>
      <c r="AE37" s="792">
        <f>($M37*Costos!$H$5)</f>
        <v>0</v>
      </c>
      <c r="AF37" s="791">
        <f>($M37*Costos!$K$6)</f>
        <v>0</v>
      </c>
      <c r="AG37" s="792">
        <f>($M37*Costos!$H$6)</f>
        <v>0</v>
      </c>
      <c r="AH37" s="791">
        <f>($M37*Costos!$K$7)</f>
        <v>0</v>
      </c>
      <c r="AI37" s="792">
        <f>($M37*Costos!$H$7)</f>
        <v>0</v>
      </c>
      <c r="AJ37" s="791">
        <f>($M37*Costos!$K$8)</f>
        <v>0</v>
      </c>
      <c r="AK37" s="792">
        <f>($M37*Costos!$H$8)</f>
        <v>0</v>
      </c>
      <c r="AL37" s="793">
        <f t="shared" si="2"/>
        <v>0</v>
      </c>
      <c r="AM37" s="778">
        <f t="shared" si="3"/>
        <v>0</v>
      </c>
      <c r="AN37" s="790"/>
      <c r="AO37" s="791">
        <f>($N37*Costos!$L$4)</f>
        <v>0</v>
      </c>
      <c r="AP37" s="792">
        <f>($N37*Costos!$I$4)</f>
        <v>0</v>
      </c>
      <c r="AQ37" s="791">
        <f>($N37*Costos!$L$5)</f>
        <v>0</v>
      </c>
      <c r="AR37" s="792">
        <f>($N37*Costos!$I$5)</f>
        <v>0</v>
      </c>
      <c r="AS37" s="791">
        <f>($N37*Costos!$L$6)</f>
        <v>0</v>
      </c>
      <c r="AT37" s="792">
        <f>($N37*Costos!$I$6)</f>
        <v>0</v>
      </c>
      <c r="AU37" s="791">
        <f>($N37*Costos!$L$7)</f>
        <v>0</v>
      </c>
      <c r="AV37" s="792">
        <f>($N37*Costos!$I$7)</f>
        <v>0</v>
      </c>
      <c r="AW37" s="791">
        <f>($N37*Costos!$L$8)</f>
        <v>0</v>
      </c>
      <c r="AX37" s="792">
        <f>($N37*Costos!$I$8)</f>
        <v>0</v>
      </c>
      <c r="AY37" s="793">
        <f t="shared" si="4"/>
        <v>0</v>
      </c>
      <c r="AZ37" s="778">
        <f t="shared" si="5"/>
        <v>0</v>
      </c>
      <c r="BA37" s="586"/>
      <c r="BB37" s="537"/>
    </row>
    <row r="38" spans="1:54" ht="17.399999999999999" thickBot="1" x14ac:dyDescent="0.35">
      <c r="A38" s="689"/>
      <c r="B38" s="576"/>
      <c r="D38" s="824"/>
      <c r="E38" s="684"/>
      <c r="F38" s="684"/>
      <c r="G38" s="684"/>
      <c r="H38" s="684"/>
      <c r="I38" s="684"/>
      <c r="J38" s="460"/>
      <c r="K38" s="460"/>
      <c r="L38" s="685"/>
      <c r="M38" s="685"/>
      <c r="N38" s="686"/>
      <c r="O38" s="487">
        <f>($L38*Costos!$J$4)</f>
        <v>0</v>
      </c>
      <c r="P38" s="488">
        <f>($L38*Costos!$G$4)</f>
        <v>0</v>
      </c>
      <c r="Q38" s="487">
        <f>($L38*Costos!$J$5)</f>
        <v>0</v>
      </c>
      <c r="R38" s="488">
        <f>($L38*Costos!$G$5)</f>
        <v>0</v>
      </c>
      <c r="S38" s="487">
        <f>($L38*Costos!$J$6)</f>
        <v>0</v>
      </c>
      <c r="T38" s="488">
        <f>($L38*Costos!$G$6)</f>
        <v>0</v>
      </c>
      <c r="U38" s="487">
        <f>($L38*Costos!$J$7)</f>
        <v>0</v>
      </c>
      <c r="V38" s="488">
        <f>($L38*Costos!$G$7)</f>
        <v>0</v>
      </c>
      <c r="W38" s="487">
        <f>($L38*Costos!$J$8)</f>
        <v>0</v>
      </c>
      <c r="X38" s="488">
        <f>($L38*Costos!$G$8)</f>
        <v>0</v>
      </c>
      <c r="Y38" s="489">
        <f t="shared" si="0"/>
        <v>0</v>
      </c>
      <c r="Z38" s="778">
        <f t="shared" si="1"/>
        <v>0</v>
      </c>
      <c r="AA38" s="790"/>
      <c r="AB38" s="791">
        <f>($M38*Costos!$K$4)</f>
        <v>0</v>
      </c>
      <c r="AC38" s="792">
        <f>($M38*Costos!$H$4)</f>
        <v>0</v>
      </c>
      <c r="AD38" s="791">
        <f>($M38*Costos!$K$5)</f>
        <v>0</v>
      </c>
      <c r="AE38" s="792">
        <f>($M38*Costos!$H$5)</f>
        <v>0</v>
      </c>
      <c r="AF38" s="791">
        <f>($M38*Costos!$K$6)</f>
        <v>0</v>
      </c>
      <c r="AG38" s="792">
        <f>($M38*Costos!$H$6)</f>
        <v>0</v>
      </c>
      <c r="AH38" s="791">
        <f>($M38*Costos!$K$7)</f>
        <v>0</v>
      </c>
      <c r="AI38" s="792">
        <f>($M38*Costos!$H$7)</f>
        <v>0</v>
      </c>
      <c r="AJ38" s="791">
        <f>($M38*Costos!$K$8)</f>
        <v>0</v>
      </c>
      <c r="AK38" s="792">
        <f>($M38*Costos!$H$8)</f>
        <v>0</v>
      </c>
      <c r="AL38" s="793">
        <f t="shared" si="2"/>
        <v>0</v>
      </c>
      <c r="AM38" s="778">
        <f t="shared" si="3"/>
        <v>0</v>
      </c>
      <c r="AN38" s="790"/>
      <c r="AO38" s="791">
        <f>($N38*Costos!$L$4)</f>
        <v>0</v>
      </c>
      <c r="AP38" s="792">
        <f>($N38*Costos!$I$4)</f>
        <v>0</v>
      </c>
      <c r="AQ38" s="791">
        <f>($N38*Costos!$L$5)</f>
        <v>0</v>
      </c>
      <c r="AR38" s="792">
        <f>($N38*Costos!$I$5)</f>
        <v>0</v>
      </c>
      <c r="AS38" s="791">
        <f>($N38*Costos!$L$6)</f>
        <v>0</v>
      </c>
      <c r="AT38" s="792">
        <f>($N38*Costos!$I$6)</f>
        <v>0</v>
      </c>
      <c r="AU38" s="791">
        <f>($N38*Costos!$L$7)</f>
        <v>0</v>
      </c>
      <c r="AV38" s="792">
        <f>($N38*Costos!$I$7)</f>
        <v>0</v>
      </c>
      <c r="AW38" s="791">
        <f>($N38*Costos!$L$8)</f>
        <v>0</v>
      </c>
      <c r="AX38" s="792">
        <f>($N38*Costos!$I$8)</f>
        <v>0</v>
      </c>
      <c r="AY38" s="793">
        <f t="shared" si="4"/>
        <v>0</v>
      </c>
      <c r="AZ38" s="778">
        <f t="shared" si="5"/>
        <v>0</v>
      </c>
      <c r="BA38" s="586"/>
      <c r="BB38" s="537"/>
    </row>
    <row r="39" spans="1:54" ht="17.399999999999999" thickBot="1" x14ac:dyDescent="0.35">
      <c r="A39" s="689"/>
      <c r="B39" s="576"/>
      <c r="D39" s="824"/>
      <c r="E39" s="684"/>
      <c r="F39" s="684"/>
      <c r="G39" s="684"/>
      <c r="H39" s="684"/>
      <c r="I39" s="684"/>
      <c r="J39" s="460"/>
      <c r="K39" s="460"/>
      <c r="L39" s="685"/>
      <c r="M39" s="685"/>
      <c r="N39" s="686"/>
      <c r="O39" s="487">
        <f>($L39*Costos!$J$4)</f>
        <v>0</v>
      </c>
      <c r="P39" s="488">
        <f>($L39*Costos!$G$4)</f>
        <v>0</v>
      </c>
      <c r="Q39" s="487">
        <f>($L39*Costos!$J$5)</f>
        <v>0</v>
      </c>
      <c r="R39" s="488">
        <f>($L39*Costos!$G$5)</f>
        <v>0</v>
      </c>
      <c r="S39" s="487">
        <f>($L39*Costos!$J$6)</f>
        <v>0</v>
      </c>
      <c r="T39" s="488">
        <f>($L39*Costos!$G$6)</f>
        <v>0</v>
      </c>
      <c r="U39" s="487">
        <f>($L39*Costos!$J$7)</f>
        <v>0</v>
      </c>
      <c r="V39" s="488">
        <f>($L39*Costos!$G$7)</f>
        <v>0</v>
      </c>
      <c r="W39" s="487">
        <f>($L39*Costos!$J$8)</f>
        <v>0</v>
      </c>
      <c r="X39" s="488">
        <f>($L39*Costos!$G$8)</f>
        <v>0</v>
      </c>
      <c r="Y39" s="489">
        <f t="shared" si="0"/>
        <v>0</v>
      </c>
      <c r="Z39" s="778">
        <f t="shared" si="1"/>
        <v>0</v>
      </c>
      <c r="AA39" s="790"/>
      <c r="AB39" s="791">
        <f>($M39*Costos!$K$4)</f>
        <v>0</v>
      </c>
      <c r="AC39" s="792">
        <f>($M39*Costos!$H$4)</f>
        <v>0</v>
      </c>
      <c r="AD39" s="791">
        <f>($M39*Costos!$K$5)</f>
        <v>0</v>
      </c>
      <c r="AE39" s="792">
        <f>($M39*Costos!$H$5)</f>
        <v>0</v>
      </c>
      <c r="AF39" s="791">
        <f>($M39*Costos!$K$6)</f>
        <v>0</v>
      </c>
      <c r="AG39" s="792">
        <f>($M39*Costos!$H$6)</f>
        <v>0</v>
      </c>
      <c r="AH39" s="791">
        <f>($M39*Costos!$K$7)</f>
        <v>0</v>
      </c>
      <c r="AI39" s="792">
        <f>($M39*Costos!$H$7)</f>
        <v>0</v>
      </c>
      <c r="AJ39" s="791">
        <f>($M39*Costos!$K$8)</f>
        <v>0</v>
      </c>
      <c r="AK39" s="792">
        <f>($M39*Costos!$H$8)</f>
        <v>0</v>
      </c>
      <c r="AL39" s="793">
        <f t="shared" si="2"/>
        <v>0</v>
      </c>
      <c r="AM39" s="778">
        <f t="shared" si="3"/>
        <v>0</v>
      </c>
      <c r="AN39" s="790"/>
      <c r="AO39" s="791">
        <f>($N39*Costos!$L$4)</f>
        <v>0</v>
      </c>
      <c r="AP39" s="792">
        <f>($N39*Costos!$I$4)</f>
        <v>0</v>
      </c>
      <c r="AQ39" s="791">
        <f>($N39*Costos!$L$5)</f>
        <v>0</v>
      </c>
      <c r="AR39" s="792">
        <f>($N39*Costos!$I$5)</f>
        <v>0</v>
      </c>
      <c r="AS39" s="791">
        <f>($N39*Costos!$L$6)</f>
        <v>0</v>
      </c>
      <c r="AT39" s="792">
        <f>($N39*Costos!$I$6)</f>
        <v>0</v>
      </c>
      <c r="AU39" s="791">
        <f>($N39*Costos!$L$7)</f>
        <v>0</v>
      </c>
      <c r="AV39" s="792">
        <f>($N39*Costos!$I$7)</f>
        <v>0</v>
      </c>
      <c r="AW39" s="791">
        <f>($N39*Costos!$L$8)</f>
        <v>0</v>
      </c>
      <c r="AX39" s="792">
        <f>($N39*Costos!$I$8)</f>
        <v>0</v>
      </c>
      <c r="AY39" s="793">
        <f t="shared" si="4"/>
        <v>0</v>
      </c>
      <c r="AZ39" s="778">
        <f t="shared" si="5"/>
        <v>0</v>
      </c>
      <c r="BA39" s="586"/>
      <c r="BB39" s="537"/>
    </row>
    <row r="40" spans="1:54" ht="17.399999999999999" thickBot="1" x14ac:dyDescent="0.35">
      <c r="A40" s="689"/>
      <c r="B40" s="576"/>
      <c r="D40" s="824"/>
      <c r="E40" s="684"/>
      <c r="F40" s="684"/>
      <c r="G40" s="684"/>
      <c r="H40" s="684"/>
      <c r="I40" s="684"/>
      <c r="J40" s="460"/>
      <c r="K40" s="460"/>
      <c r="L40" s="685"/>
      <c r="M40" s="685"/>
      <c r="N40" s="686"/>
      <c r="O40" s="487">
        <f>($L40*Costos!$J$4)</f>
        <v>0</v>
      </c>
      <c r="P40" s="488">
        <f>($L40*Costos!$G$4)</f>
        <v>0</v>
      </c>
      <c r="Q40" s="487">
        <f>($L40*Costos!$J$5)</f>
        <v>0</v>
      </c>
      <c r="R40" s="488">
        <f>($L40*Costos!$G$5)</f>
        <v>0</v>
      </c>
      <c r="S40" s="487">
        <f>($L40*Costos!$J$6)</f>
        <v>0</v>
      </c>
      <c r="T40" s="488">
        <f>($L40*Costos!$G$6)</f>
        <v>0</v>
      </c>
      <c r="U40" s="487">
        <f>($L40*Costos!$J$7)</f>
        <v>0</v>
      </c>
      <c r="V40" s="488">
        <f>($L40*Costos!$G$7)</f>
        <v>0</v>
      </c>
      <c r="W40" s="487">
        <f>($L40*Costos!$J$8)</f>
        <v>0</v>
      </c>
      <c r="X40" s="488">
        <f>($L40*Costos!$G$8)</f>
        <v>0</v>
      </c>
      <c r="Y40" s="489">
        <f t="shared" si="0"/>
        <v>0</v>
      </c>
      <c r="Z40" s="778">
        <f t="shared" si="1"/>
        <v>0</v>
      </c>
      <c r="AA40" s="790"/>
      <c r="AB40" s="791">
        <f>($M40*Costos!$K$4)</f>
        <v>0</v>
      </c>
      <c r="AC40" s="792">
        <f>($M40*Costos!$H$4)</f>
        <v>0</v>
      </c>
      <c r="AD40" s="791">
        <f>($M40*Costos!$K$5)</f>
        <v>0</v>
      </c>
      <c r="AE40" s="792">
        <f>($M40*Costos!$H$5)</f>
        <v>0</v>
      </c>
      <c r="AF40" s="791">
        <f>($M40*Costos!$K$6)</f>
        <v>0</v>
      </c>
      <c r="AG40" s="792">
        <f>($M40*Costos!$H$6)</f>
        <v>0</v>
      </c>
      <c r="AH40" s="791">
        <f>($M40*Costos!$K$7)</f>
        <v>0</v>
      </c>
      <c r="AI40" s="792">
        <f>($M40*Costos!$H$7)</f>
        <v>0</v>
      </c>
      <c r="AJ40" s="791">
        <f>($M40*Costos!$K$8)</f>
        <v>0</v>
      </c>
      <c r="AK40" s="792">
        <f>($M40*Costos!$H$8)</f>
        <v>0</v>
      </c>
      <c r="AL40" s="793">
        <f t="shared" si="2"/>
        <v>0</v>
      </c>
      <c r="AM40" s="778">
        <f t="shared" si="3"/>
        <v>0</v>
      </c>
      <c r="AN40" s="790"/>
      <c r="AO40" s="791">
        <f>($N40*Costos!$L$4)</f>
        <v>0</v>
      </c>
      <c r="AP40" s="792">
        <f>($N40*Costos!$I$4)</f>
        <v>0</v>
      </c>
      <c r="AQ40" s="791">
        <f>($N40*Costos!$L$5)</f>
        <v>0</v>
      </c>
      <c r="AR40" s="792">
        <f>($N40*Costos!$I$5)</f>
        <v>0</v>
      </c>
      <c r="AS40" s="791">
        <f>($N40*Costos!$L$6)</f>
        <v>0</v>
      </c>
      <c r="AT40" s="792">
        <f>($N40*Costos!$I$6)</f>
        <v>0</v>
      </c>
      <c r="AU40" s="791">
        <f>($N40*Costos!$L$7)</f>
        <v>0</v>
      </c>
      <c r="AV40" s="792">
        <f>($N40*Costos!$I$7)</f>
        <v>0</v>
      </c>
      <c r="AW40" s="791">
        <f>($N40*Costos!$L$8)</f>
        <v>0</v>
      </c>
      <c r="AX40" s="792">
        <f>($N40*Costos!$I$8)</f>
        <v>0</v>
      </c>
      <c r="AY40" s="793">
        <f t="shared" si="4"/>
        <v>0</v>
      </c>
      <c r="AZ40" s="778">
        <f t="shared" si="5"/>
        <v>0</v>
      </c>
      <c r="BA40" s="586"/>
      <c r="BB40" s="537"/>
    </row>
    <row r="41" spans="1:54" ht="17.399999999999999" thickBot="1" x14ac:dyDescent="0.35">
      <c r="A41" s="689"/>
      <c r="B41" s="576"/>
      <c r="D41" s="824"/>
      <c r="E41" s="684"/>
      <c r="F41" s="684"/>
      <c r="G41" s="684"/>
      <c r="H41" s="684"/>
      <c r="I41" s="684"/>
      <c r="J41" s="460"/>
      <c r="K41" s="460"/>
      <c r="L41" s="685"/>
      <c r="M41" s="685"/>
      <c r="N41" s="686"/>
      <c r="O41" s="487">
        <f>($L41*Costos!$J$4)</f>
        <v>0</v>
      </c>
      <c r="P41" s="488">
        <f>($L41*Costos!$G$4)</f>
        <v>0</v>
      </c>
      <c r="Q41" s="487">
        <f>($L41*Costos!$J$5)</f>
        <v>0</v>
      </c>
      <c r="R41" s="488">
        <f>($L41*Costos!$G$5)</f>
        <v>0</v>
      </c>
      <c r="S41" s="487">
        <f>($L41*Costos!$J$6)</f>
        <v>0</v>
      </c>
      <c r="T41" s="488">
        <f>($L41*Costos!$G$6)</f>
        <v>0</v>
      </c>
      <c r="U41" s="487">
        <f>($L41*Costos!$J$7)</f>
        <v>0</v>
      </c>
      <c r="V41" s="488">
        <f>($L41*Costos!$G$7)</f>
        <v>0</v>
      </c>
      <c r="W41" s="487">
        <f>($L41*Costos!$J$8)</f>
        <v>0</v>
      </c>
      <c r="X41" s="488">
        <f>($L41*Costos!$G$8)</f>
        <v>0</v>
      </c>
      <c r="Y41" s="489">
        <f t="shared" si="0"/>
        <v>0</v>
      </c>
      <c r="Z41" s="778">
        <f t="shared" si="1"/>
        <v>0</v>
      </c>
      <c r="AA41" s="790"/>
      <c r="AB41" s="791">
        <f>($M41*Costos!$K$4)</f>
        <v>0</v>
      </c>
      <c r="AC41" s="792">
        <f>($M41*Costos!$H$4)</f>
        <v>0</v>
      </c>
      <c r="AD41" s="791">
        <f>($M41*Costos!$K$5)</f>
        <v>0</v>
      </c>
      <c r="AE41" s="792">
        <f>($M41*Costos!$H$5)</f>
        <v>0</v>
      </c>
      <c r="AF41" s="791">
        <f>($M41*Costos!$K$6)</f>
        <v>0</v>
      </c>
      <c r="AG41" s="792">
        <f>($M41*Costos!$H$6)</f>
        <v>0</v>
      </c>
      <c r="AH41" s="791">
        <f>($M41*Costos!$K$7)</f>
        <v>0</v>
      </c>
      <c r="AI41" s="792">
        <f>($M41*Costos!$H$7)</f>
        <v>0</v>
      </c>
      <c r="AJ41" s="791">
        <f>($M41*Costos!$K$8)</f>
        <v>0</v>
      </c>
      <c r="AK41" s="792">
        <f>($M41*Costos!$H$8)</f>
        <v>0</v>
      </c>
      <c r="AL41" s="793">
        <f t="shared" si="2"/>
        <v>0</v>
      </c>
      <c r="AM41" s="778">
        <f t="shared" si="3"/>
        <v>0</v>
      </c>
      <c r="AN41" s="790"/>
      <c r="AO41" s="791">
        <f>($N41*Costos!$L$4)</f>
        <v>0</v>
      </c>
      <c r="AP41" s="792">
        <f>($N41*Costos!$I$4)</f>
        <v>0</v>
      </c>
      <c r="AQ41" s="791">
        <f>($N41*Costos!$L$5)</f>
        <v>0</v>
      </c>
      <c r="AR41" s="792">
        <f>($N41*Costos!$I$5)</f>
        <v>0</v>
      </c>
      <c r="AS41" s="791">
        <f>($N41*Costos!$L$6)</f>
        <v>0</v>
      </c>
      <c r="AT41" s="792">
        <f>($N41*Costos!$I$6)</f>
        <v>0</v>
      </c>
      <c r="AU41" s="791">
        <f>($N41*Costos!$L$7)</f>
        <v>0</v>
      </c>
      <c r="AV41" s="792">
        <f>($N41*Costos!$I$7)</f>
        <v>0</v>
      </c>
      <c r="AW41" s="791">
        <f>($N41*Costos!$L$8)</f>
        <v>0</v>
      </c>
      <c r="AX41" s="792">
        <f>($N41*Costos!$I$8)</f>
        <v>0</v>
      </c>
      <c r="AY41" s="793">
        <f t="shared" si="4"/>
        <v>0</v>
      </c>
      <c r="AZ41" s="778">
        <f t="shared" si="5"/>
        <v>0</v>
      </c>
      <c r="BA41" s="586"/>
      <c r="BB41" s="537"/>
    </row>
    <row r="42" spans="1:54" ht="17.399999999999999" thickBot="1" x14ac:dyDescent="0.35">
      <c r="A42" s="689"/>
      <c r="B42" s="576"/>
      <c r="D42" s="824"/>
      <c r="E42" s="684"/>
      <c r="F42" s="684"/>
      <c r="G42" s="684"/>
      <c r="H42" s="684"/>
      <c r="I42" s="684"/>
      <c r="J42" s="460"/>
      <c r="K42" s="460"/>
      <c r="L42" s="685"/>
      <c r="M42" s="685"/>
      <c r="N42" s="686"/>
      <c r="O42" s="487">
        <f>($L42*Costos!$J$4)</f>
        <v>0</v>
      </c>
      <c r="P42" s="488">
        <f>($L42*Costos!$G$4)</f>
        <v>0</v>
      </c>
      <c r="Q42" s="487">
        <f>($L42*Costos!$J$5)</f>
        <v>0</v>
      </c>
      <c r="R42" s="488">
        <f>($L42*Costos!$G$5)</f>
        <v>0</v>
      </c>
      <c r="S42" s="487">
        <f>($L42*Costos!$J$6)</f>
        <v>0</v>
      </c>
      <c r="T42" s="488">
        <f>($L42*Costos!$G$6)</f>
        <v>0</v>
      </c>
      <c r="U42" s="487">
        <f>($L42*Costos!$J$7)</f>
        <v>0</v>
      </c>
      <c r="V42" s="488">
        <f>($L42*Costos!$G$7)</f>
        <v>0</v>
      </c>
      <c r="W42" s="487">
        <f>($L42*Costos!$J$8)</f>
        <v>0</v>
      </c>
      <c r="X42" s="488">
        <f>($L42*Costos!$G$8)</f>
        <v>0</v>
      </c>
      <c r="Y42" s="489">
        <f t="shared" si="0"/>
        <v>0</v>
      </c>
      <c r="Z42" s="778">
        <f t="shared" si="1"/>
        <v>0</v>
      </c>
      <c r="AA42" s="790"/>
      <c r="AB42" s="791">
        <f>($M42*Costos!$K$4)</f>
        <v>0</v>
      </c>
      <c r="AC42" s="792">
        <f>($M42*Costos!$H$4)</f>
        <v>0</v>
      </c>
      <c r="AD42" s="791">
        <f>($M42*Costos!$K$5)</f>
        <v>0</v>
      </c>
      <c r="AE42" s="792">
        <f>($M42*Costos!$H$5)</f>
        <v>0</v>
      </c>
      <c r="AF42" s="791">
        <f>($M42*Costos!$K$6)</f>
        <v>0</v>
      </c>
      <c r="AG42" s="792">
        <f>($M42*Costos!$H$6)</f>
        <v>0</v>
      </c>
      <c r="AH42" s="791">
        <f>($M42*Costos!$K$7)</f>
        <v>0</v>
      </c>
      <c r="AI42" s="792">
        <f>($M42*Costos!$H$7)</f>
        <v>0</v>
      </c>
      <c r="AJ42" s="791">
        <f>($M42*Costos!$K$8)</f>
        <v>0</v>
      </c>
      <c r="AK42" s="792">
        <f>($M42*Costos!$H$8)</f>
        <v>0</v>
      </c>
      <c r="AL42" s="793">
        <f t="shared" si="2"/>
        <v>0</v>
      </c>
      <c r="AM42" s="778">
        <f t="shared" si="3"/>
        <v>0</v>
      </c>
      <c r="AN42" s="790"/>
      <c r="AO42" s="791">
        <f>($N42*Costos!$L$4)</f>
        <v>0</v>
      </c>
      <c r="AP42" s="792">
        <f>($N42*Costos!$I$4)</f>
        <v>0</v>
      </c>
      <c r="AQ42" s="791">
        <f>($N42*Costos!$L$5)</f>
        <v>0</v>
      </c>
      <c r="AR42" s="792">
        <f>($N42*Costos!$I$5)</f>
        <v>0</v>
      </c>
      <c r="AS42" s="791">
        <f>($N42*Costos!$L$6)</f>
        <v>0</v>
      </c>
      <c r="AT42" s="792">
        <f>($N42*Costos!$I$6)</f>
        <v>0</v>
      </c>
      <c r="AU42" s="791">
        <f>($N42*Costos!$L$7)</f>
        <v>0</v>
      </c>
      <c r="AV42" s="792">
        <f>($N42*Costos!$I$7)</f>
        <v>0</v>
      </c>
      <c r="AW42" s="791">
        <f>($N42*Costos!$L$8)</f>
        <v>0</v>
      </c>
      <c r="AX42" s="792">
        <f>($N42*Costos!$I$8)</f>
        <v>0</v>
      </c>
      <c r="AY42" s="793">
        <f t="shared" si="4"/>
        <v>0</v>
      </c>
      <c r="AZ42" s="778">
        <f t="shared" si="5"/>
        <v>0</v>
      </c>
      <c r="BA42" s="586"/>
      <c r="BB42" s="537"/>
    </row>
    <row r="43" spans="1:54" ht="17.399999999999999" thickBot="1" x14ac:dyDescent="0.35">
      <c r="A43" s="689"/>
      <c r="B43" s="576"/>
      <c r="D43" s="825"/>
      <c r="E43" s="684"/>
      <c r="F43" s="684"/>
      <c r="G43" s="684"/>
      <c r="H43" s="684"/>
      <c r="I43" s="684"/>
      <c r="J43" s="460"/>
      <c r="K43" s="460"/>
      <c r="L43" s="685"/>
      <c r="M43" s="685"/>
      <c r="N43" s="686"/>
      <c r="O43" s="487">
        <f>($L43*Costos!$J$4)</f>
        <v>0</v>
      </c>
      <c r="P43" s="488">
        <f>($L43*Costos!$G$4)</f>
        <v>0</v>
      </c>
      <c r="Q43" s="487">
        <f>($L43*Costos!$J$5)</f>
        <v>0</v>
      </c>
      <c r="R43" s="488">
        <f>($L43*Costos!$G$5)</f>
        <v>0</v>
      </c>
      <c r="S43" s="487">
        <f>($L43*Costos!$J$6)</f>
        <v>0</v>
      </c>
      <c r="T43" s="488">
        <f>($L43*Costos!$G$6)</f>
        <v>0</v>
      </c>
      <c r="U43" s="487">
        <f>($L43*Costos!$J$7)</f>
        <v>0</v>
      </c>
      <c r="V43" s="488">
        <f>($L43*Costos!$G$7)</f>
        <v>0</v>
      </c>
      <c r="W43" s="487">
        <f>($L43*Costos!$J$8)</f>
        <v>0</v>
      </c>
      <c r="X43" s="488">
        <f>($L43*Costos!$G$8)</f>
        <v>0</v>
      </c>
      <c r="Y43" s="489">
        <f t="shared" ref="Y43:Y73" si="6">IF($E43="x",P43,0)+IF($F43="x",R43,0)+IF($G43="x",T43,0)+IF($H43="x",V43,0)+IF($I43="x",X43,0)</f>
        <v>0</v>
      </c>
      <c r="Z43" s="778">
        <f t="shared" ref="Z43:Z73" si="7">IF($E43="x",O43,0)+IF($F43="x",Q43,0)+IF($G43="x",S43,0)+IF($H43="x",U43,0)+IF($I43="x",W43,0)</f>
        <v>0</v>
      </c>
      <c r="AA43" s="790"/>
      <c r="AB43" s="791">
        <f>($M43*Costos!$K$4)</f>
        <v>0</v>
      </c>
      <c r="AC43" s="792">
        <f>($M43*Costos!$H$4)</f>
        <v>0</v>
      </c>
      <c r="AD43" s="791">
        <f>($M43*Costos!$K$5)</f>
        <v>0</v>
      </c>
      <c r="AE43" s="792">
        <f>($M43*Costos!$H$5)</f>
        <v>0</v>
      </c>
      <c r="AF43" s="791">
        <f>($M43*Costos!$K$6)</f>
        <v>0</v>
      </c>
      <c r="AG43" s="792">
        <f>($M43*Costos!$H$6)</f>
        <v>0</v>
      </c>
      <c r="AH43" s="791">
        <f>($M43*Costos!$K$7)</f>
        <v>0</v>
      </c>
      <c r="AI43" s="792">
        <f>($M43*Costos!$H$7)</f>
        <v>0</v>
      </c>
      <c r="AJ43" s="791">
        <f>($M43*Costos!$K$8)</f>
        <v>0</v>
      </c>
      <c r="AK43" s="792">
        <f>($M43*Costos!$H$8)</f>
        <v>0</v>
      </c>
      <c r="AL43" s="793">
        <f t="shared" ref="AL43:AL73" si="8">IF($E43="x",AC43,0)+IF($F43="x",AE43,0)+IF($G43="x",AG43,0)+IF($H43="x",AI43,0)+IF($I43="x",AK43,0)</f>
        <v>0</v>
      </c>
      <c r="AM43" s="778">
        <f t="shared" ref="AM43:AM73" si="9">IF($E43="x",AB43,0)+IF($F43="x",AD43,0)+IF($G43="x",AF43,0)+IF($H43="x",AH43,0)+IF($I43="x",AJ43,0)</f>
        <v>0</v>
      </c>
      <c r="AN43" s="790"/>
      <c r="AO43" s="791">
        <f>($N43*Costos!$L$4)</f>
        <v>0</v>
      </c>
      <c r="AP43" s="792">
        <f>($N43*Costos!$I$4)</f>
        <v>0</v>
      </c>
      <c r="AQ43" s="791">
        <f>($N43*Costos!$L$5)</f>
        <v>0</v>
      </c>
      <c r="AR43" s="792">
        <f>($N43*Costos!$I$5)</f>
        <v>0</v>
      </c>
      <c r="AS43" s="791">
        <f>($N43*Costos!$L$6)</f>
        <v>0</v>
      </c>
      <c r="AT43" s="792">
        <f>($N43*Costos!$I$6)</f>
        <v>0</v>
      </c>
      <c r="AU43" s="791">
        <f>($N43*Costos!$L$7)</f>
        <v>0</v>
      </c>
      <c r="AV43" s="792">
        <f>($N43*Costos!$I$7)</f>
        <v>0</v>
      </c>
      <c r="AW43" s="791">
        <f>($N43*Costos!$L$8)</f>
        <v>0</v>
      </c>
      <c r="AX43" s="792">
        <f>($N43*Costos!$I$8)</f>
        <v>0</v>
      </c>
      <c r="AY43" s="793">
        <f t="shared" ref="AY43:AY73" si="10">IF($E43="x",AP43,0)+IF($F43="x",AR43,0)+IF($G43="x",AT43,0)+IF($H43="x",AV43,0)+IF($I43="x",AX43,0)</f>
        <v>0</v>
      </c>
      <c r="AZ43" s="778">
        <f t="shared" ref="AZ43:AZ73" si="11">IF($E43="x",AO43,0)+IF($F43="x",AQ43,0)+IF($G43="x",AS43,0)+IF($H43="x",AU43,0)+IF($I43="x",AW43,0)</f>
        <v>0</v>
      </c>
      <c r="BA43" s="586"/>
      <c r="BB43" s="537"/>
    </row>
    <row r="44" spans="1:54" ht="17.399999999999999" thickBot="1" x14ac:dyDescent="0.35">
      <c r="A44" s="689"/>
      <c r="B44" s="576"/>
      <c r="D44" s="825"/>
      <c r="E44" s="684"/>
      <c r="F44" s="684"/>
      <c r="G44" s="684"/>
      <c r="H44" s="684"/>
      <c r="I44" s="684"/>
      <c r="J44" s="460"/>
      <c r="K44" s="460"/>
      <c r="L44" s="685"/>
      <c r="M44" s="685"/>
      <c r="N44" s="686"/>
      <c r="O44" s="487">
        <f>($L44*Costos!$J$4)</f>
        <v>0</v>
      </c>
      <c r="P44" s="488">
        <f>($L44*Costos!$G$4)</f>
        <v>0</v>
      </c>
      <c r="Q44" s="487">
        <f>($L44*Costos!$J$5)</f>
        <v>0</v>
      </c>
      <c r="R44" s="488">
        <f>($L44*Costos!$G$5)</f>
        <v>0</v>
      </c>
      <c r="S44" s="487">
        <f>($L44*Costos!$J$6)</f>
        <v>0</v>
      </c>
      <c r="T44" s="488">
        <f>($L44*Costos!$G$6)</f>
        <v>0</v>
      </c>
      <c r="U44" s="487">
        <f>($L44*Costos!$J$7)</f>
        <v>0</v>
      </c>
      <c r="V44" s="488">
        <f>($L44*Costos!$G$7)</f>
        <v>0</v>
      </c>
      <c r="W44" s="487">
        <f>($L44*Costos!$J$8)</f>
        <v>0</v>
      </c>
      <c r="X44" s="488">
        <f>($L44*Costos!$G$8)</f>
        <v>0</v>
      </c>
      <c r="Y44" s="489">
        <f t="shared" si="6"/>
        <v>0</v>
      </c>
      <c r="Z44" s="778">
        <f t="shared" si="7"/>
        <v>0</v>
      </c>
      <c r="AA44" s="790"/>
      <c r="AB44" s="791">
        <f>($M44*Costos!$K$4)</f>
        <v>0</v>
      </c>
      <c r="AC44" s="792">
        <f>($M44*Costos!$H$4)</f>
        <v>0</v>
      </c>
      <c r="AD44" s="791">
        <f>($M44*Costos!$K$5)</f>
        <v>0</v>
      </c>
      <c r="AE44" s="792">
        <f>($M44*Costos!$H$5)</f>
        <v>0</v>
      </c>
      <c r="AF44" s="791">
        <f>($M44*Costos!$K$6)</f>
        <v>0</v>
      </c>
      <c r="AG44" s="792">
        <f>($M44*Costos!$H$6)</f>
        <v>0</v>
      </c>
      <c r="AH44" s="791">
        <f>($M44*Costos!$K$7)</f>
        <v>0</v>
      </c>
      <c r="AI44" s="792">
        <f>($M44*Costos!$H$7)</f>
        <v>0</v>
      </c>
      <c r="AJ44" s="791">
        <f>($M44*Costos!$K$8)</f>
        <v>0</v>
      </c>
      <c r="AK44" s="792">
        <f>($M44*Costos!$H$8)</f>
        <v>0</v>
      </c>
      <c r="AL44" s="793">
        <f t="shared" si="8"/>
        <v>0</v>
      </c>
      <c r="AM44" s="778">
        <f t="shared" si="9"/>
        <v>0</v>
      </c>
      <c r="AN44" s="790"/>
      <c r="AO44" s="791">
        <f>($N44*Costos!$L$4)</f>
        <v>0</v>
      </c>
      <c r="AP44" s="792">
        <f>($N44*Costos!$I$4)</f>
        <v>0</v>
      </c>
      <c r="AQ44" s="791">
        <f>($N44*Costos!$L$5)</f>
        <v>0</v>
      </c>
      <c r="AR44" s="792">
        <f>($N44*Costos!$I$5)</f>
        <v>0</v>
      </c>
      <c r="AS44" s="791">
        <f>($N44*Costos!$L$6)</f>
        <v>0</v>
      </c>
      <c r="AT44" s="792">
        <f>($N44*Costos!$I$6)</f>
        <v>0</v>
      </c>
      <c r="AU44" s="791">
        <f>($N44*Costos!$L$7)</f>
        <v>0</v>
      </c>
      <c r="AV44" s="792">
        <f>($N44*Costos!$I$7)</f>
        <v>0</v>
      </c>
      <c r="AW44" s="791">
        <f>($N44*Costos!$L$8)</f>
        <v>0</v>
      </c>
      <c r="AX44" s="792">
        <f>($N44*Costos!$I$8)</f>
        <v>0</v>
      </c>
      <c r="AY44" s="793">
        <f t="shared" si="10"/>
        <v>0</v>
      </c>
      <c r="AZ44" s="778">
        <f t="shared" si="11"/>
        <v>0</v>
      </c>
      <c r="BA44" s="586"/>
      <c r="BB44" s="537"/>
    </row>
    <row r="45" spans="1:54" ht="17.399999999999999" thickBot="1" x14ac:dyDescent="0.35">
      <c r="A45" s="689"/>
      <c r="B45" s="576"/>
      <c r="D45" s="825"/>
      <c r="E45" s="684"/>
      <c r="F45" s="684"/>
      <c r="G45" s="684"/>
      <c r="H45" s="684"/>
      <c r="I45" s="684"/>
      <c r="J45" s="460"/>
      <c r="K45" s="460"/>
      <c r="L45" s="685"/>
      <c r="M45" s="685"/>
      <c r="N45" s="686"/>
      <c r="O45" s="487">
        <f>($L45*Costos!$J$4)</f>
        <v>0</v>
      </c>
      <c r="P45" s="488">
        <f>($L45*Costos!$G$4)</f>
        <v>0</v>
      </c>
      <c r="Q45" s="487">
        <f>($L45*Costos!$J$5)</f>
        <v>0</v>
      </c>
      <c r="R45" s="488">
        <f>($L45*Costos!$G$5)</f>
        <v>0</v>
      </c>
      <c r="S45" s="487">
        <f>($L45*Costos!$J$6)</f>
        <v>0</v>
      </c>
      <c r="T45" s="488">
        <f>($L45*Costos!$G$6)</f>
        <v>0</v>
      </c>
      <c r="U45" s="487">
        <f>($L45*Costos!$J$7)</f>
        <v>0</v>
      </c>
      <c r="V45" s="488">
        <f>($L45*Costos!$G$7)</f>
        <v>0</v>
      </c>
      <c r="W45" s="487">
        <f>($L45*Costos!$J$8)</f>
        <v>0</v>
      </c>
      <c r="X45" s="488">
        <f>($L45*Costos!$G$8)</f>
        <v>0</v>
      </c>
      <c r="Y45" s="489">
        <f t="shared" si="6"/>
        <v>0</v>
      </c>
      <c r="Z45" s="778">
        <f t="shared" si="7"/>
        <v>0</v>
      </c>
      <c r="AA45" s="790"/>
      <c r="AB45" s="791">
        <f>($M45*Costos!$K$4)</f>
        <v>0</v>
      </c>
      <c r="AC45" s="792">
        <f>($M45*Costos!$H$4)</f>
        <v>0</v>
      </c>
      <c r="AD45" s="791">
        <f>($M45*Costos!$K$5)</f>
        <v>0</v>
      </c>
      <c r="AE45" s="792">
        <f>($M45*Costos!$H$5)</f>
        <v>0</v>
      </c>
      <c r="AF45" s="791">
        <f>($M45*Costos!$K$6)</f>
        <v>0</v>
      </c>
      <c r="AG45" s="792">
        <f>($M45*Costos!$H$6)</f>
        <v>0</v>
      </c>
      <c r="AH45" s="791">
        <f>($M45*Costos!$K$7)</f>
        <v>0</v>
      </c>
      <c r="AI45" s="792">
        <f>($M45*Costos!$H$7)</f>
        <v>0</v>
      </c>
      <c r="AJ45" s="791">
        <f>($M45*Costos!$K$8)</f>
        <v>0</v>
      </c>
      <c r="AK45" s="792">
        <f>($M45*Costos!$H$8)</f>
        <v>0</v>
      </c>
      <c r="AL45" s="793">
        <f t="shared" si="8"/>
        <v>0</v>
      </c>
      <c r="AM45" s="778">
        <f t="shared" si="9"/>
        <v>0</v>
      </c>
      <c r="AN45" s="790"/>
      <c r="AO45" s="791">
        <f>($N45*Costos!$L$4)</f>
        <v>0</v>
      </c>
      <c r="AP45" s="792">
        <f>($N45*Costos!$I$4)</f>
        <v>0</v>
      </c>
      <c r="AQ45" s="791">
        <f>($N45*Costos!$L$5)</f>
        <v>0</v>
      </c>
      <c r="AR45" s="792">
        <f>($N45*Costos!$I$5)</f>
        <v>0</v>
      </c>
      <c r="AS45" s="791">
        <f>($N45*Costos!$L$6)</f>
        <v>0</v>
      </c>
      <c r="AT45" s="792">
        <f>($N45*Costos!$I$6)</f>
        <v>0</v>
      </c>
      <c r="AU45" s="791">
        <f>($N45*Costos!$L$7)</f>
        <v>0</v>
      </c>
      <c r="AV45" s="792">
        <f>($N45*Costos!$I$7)</f>
        <v>0</v>
      </c>
      <c r="AW45" s="791">
        <f>($N45*Costos!$L$8)</f>
        <v>0</v>
      </c>
      <c r="AX45" s="792">
        <f>($N45*Costos!$I$8)</f>
        <v>0</v>
      </c>
      <c r="AY45" s="793">
        <f t="shared" si="10"/>
        <v>0</v>
      </c>
      <c r="AZ45" s="778">
        <f t="shared" si="11"/>
        <v>0</v>
      </c>
      <c r="BA45" s="586"/>
      <c r="BB45" s="537"/>
    </row>
    <row r="46" spans="1:54" ht="17.399999999999999" thickBot="1" x14ac:dyDescent="0.35">
      <c r="A46" s="689"/>
      <c r="B46" s="576"/>
      <c r="D46" s="825"/>
      <c r="E46" s="684"/>
      <c r="F46" s="684"/>
      <c r="G46" s="684"/>
      <c r="H46" s="684"/>
      <c r="I46" s="684"/>
      <c r="J46" s="460"/>
      <c r="K46" s="460"/>
      <c r="L46" s="685"/>
      <c r="M46" s="685"/>
      <c r="N46" s="686"/>
      <c r="O46" s="487">
        <f>($L46*Costos!$J$4)</f>
        <v>0</v>
      </c>
      <c r="P46" s="488">
        <f>($L46*Costos!$G$4)</f>
        <v>0</v>
      </c>
      <c r="Q46" s="487">
        <f>($L46*Costos!$J$5)</f>
        <v>0</v>
      </c>
      <c r="R46" s="488">
        <f>($L46*Costos!$G$5)</f>
        <v>0</v>
      </c>
      <c r="S46" s="487">
        <f>($L46*Costos!$J$6)</f>
        <v>0</v>
      </c>
      <c r="T46" s="488">
        <f>($L46*Costos!$G$6)</f>
        <v>0</v>
      </c>
      <c r="U46" s="487">
        <f>($L46*Costos!$J$7)</f>
        <v>0</v>
      </c>
      <c r="V46" s="488">
        <f>($L46*Costos!$G$7)</f>
        <v>0</v>
      </c>
      <c r="W46" s="487">
        <f>($L46*Costos!$J$8)</f>
        <v>0</v>
      </c>
      <c r="X46" s="488">
        <f>($L46*Costos!$G$8)</f>
        <v>0</v>
      </c>
      <c r="Y46" s="489">
        <f t="shared" si="6"/>
        <v>0</v>
      </c>
      <c r="Z46" s="778">
        <f t="shared" si="7"/>
        <v>0</v>
      </c>
      <c r="AA46" s="790"/>
      <c r="AB46" s="791">
        <f>($M46*Costos!$K$4)</f>
        <v>0</v>
      </c>
      <c r="AC46" s="792">
        <f>($M46*Costos!$H$4)</f>
        <v>0</v>
      </c>
      <c r="AD46" s="791">
        <f>($M46*Costos!$K$5)</f>
        <v>0</v>
      </c>
      <c r="AE46" s="792">
        <f>($M46*Costos!$H$5)</f>
        <v>0</v>
      </c>
      <c r="AF46" s="791">
        <f>($M46*Costos!$K$6)</f>
        <v>0</v>
      </c>
      <c r="AG46" s="792">
        <f>($M46*Costos!$H$6)</f>
        <v>0</v>
      </c>
      <c r="AH46" s="791">
        <f>($M46*Costos!$K$7)</f>
        <v>0</v>
      </c>
      <c r="AI46" s="792">
        <f>($M46*Costos!$H$7)</f>
        <v>0</v>
      </c>
      <c r="AJ46" s="791">
        <f>($M46*Costos!$K$8)</f>
        <v>0</v>
      </c>
      <c r="AK46" s="792">
        <f>($M46*Costos!$H$8)</f>
        <v>0</v>
      </c>
      <c r="AL46" s="793">
        <f t="shared" si="8"/>
        <v>0</v>
      </c>
      <c r="AM46" s="778">
        <f t="shared" si="9"/>
        <v>0</v>
      </c>
      <c r="AN46" s="790"/>
      <c r="AO46" s="791">
        <f>($N46*Costos!$L$4)</f>
        <v>0</v>
      </c>
      <c r="AP46" s="792">
        <f>($N46*Costos!$I$4)</f>
        <v>0</v>
      </c>
      <c r="AQ46" s="791">
        <f>($N46*Costos!$L$5)</f>
        <v>0</v>
      </c>
      <c r="AR46" s="792">
        <f>($N46*Costos!$I$5)</f>
        <v>0</v>
      </c>
      <c r="AS46" s="791">
        <f>($N46*Costos!$L$6)</f>
        <v>0</v>
      </c>
      <c r="AT46" s="792">
        <f>($N46*Costos!$I$6)</f>
        <v>0</v>
      </c>
      <c r="AU46" s="791">
        <f>($N46*Costos!$L$7)</f>
        <v>0</v>
      </c>
      <c r="AV46" s="792">
        <f>($N46*Costos!$I$7)</f>
        <v>0</v>
      </c>
      <c r="AW46" s="791">
        <f>($N46*Costos!$L$8)</f>
        <v>0</v>
      </c>
      <c r="AX46" s="792">
        <f>($N46*Costos!$I$8)</f>
        <v>0</v>
      </c>
      <c r="AY46" s="793">
        <f t="shared" si="10"/>
        <v>0</v>
      </c>
      <c r="AZ46" s="778">
        <f t="shared" si="11"/>
        <v>0</v>
      </c>
      <c r="BA46" s="586"/>
      <c r="BB46" s="537"/>
    </row>
    <row r="47" spans="1:54" ht="17.399999999999999" thickBot="1" x14ac:dyDescent="0.35">
      <c r="A47" s="689"/>
      <c r="B47" s="576"/>
      <c r="D47" s="825"/>
      <c r="E47" s="684"/>
      <c r="F47" s="684"/>
      <c r="G47" s="684"/>
      <c r="H47" s="684"/>
      <c r="I47" s="684"/>
      <c r="J47" s="460"/>
      <c r="K47" s="460"/>
      <c r="L47" s="685"/>
      <c r="M47" s="685"/>
      <c r="N47" s="686"/>
      <c r="O47" s="487">
        <f>($L47*Costos!$J$4)</f>
        <v>0</v>
      </c>
      <c r="P47" s="488">
        <f>($L47*Costos!$G$4)</f>
        <v>0</v>
      </c>
      <c r="Q47" s="487">
        <f>($L47*Costos!$J$5)</f>
        <v>0</v>
      </c>
      <c r="R47" s="488">
        <f>($L47*Costos!$G$5)</f>
        <v>0</v>
      </c>
      <c r="S47" s="487">
        <f>($L47*Costos!$J$6)</f>
        <v>0</v>
      </c>
      <c r="T47" s="488">
        <f>($L47*Costos!$G$6)</f>
        <v>0</v>
      </c>
      <c r="U47" s="487">
        <f>($L47*Costos!$J$7)</f>
        <v>0</v>
      </c>
      <c r="V47" s="488">
        <f>($L47*Costos!$G$7)</f>
        <v>0</v>
      </c>
      <c r="W47" s="487">
        <f>($L47*Costos!$J$8)</f>
        <v>0</v>
      </c>
      <c r="X47" s="488">
        <f>($L47*Costos!$G$8)</f>
        <v>0</v>
      </c>
      <c r="Y47" s="489">
        <f t="shared" si="6"/>
        <v>0</v>
      </c>
      <c r="Z47" s="778">
        <f t="shared" si="7"/>
        <v>0</v>
      </c>
      <c r="AA47" s="790"/>
      <c r="AB47" s="791">
        <f>($M47*Costos!$K$4)</f>
        <v>0</v>
      </c>
      <c r="AC47" s="792">
        <f>($M47*Costos!$H$4)</f>
        <v>0</v>
      </c>
      <c r="AD47" s="791">
        <f>($M47*Costos!$K$5)</f>
        <v>0</v>
      </c>
      <c r="AE47" s="792">
        <f>($M47*Costos!$H$5)</f>
        <v>0</v>
      </c>
      <c r="AF47" s="791">
        <f>($M47*Costos!$K$6)</f>
        <v>0</v>
      </c>
      <c r="AG47" s="792">
        <f>($M47*Costos!$H$6)</f>
        <v>0</v>
      </c>
      <c r="AH47" s="791">
        <f>($M47*Costos!$K$7)</f>
        <v>0</v>
      </c>
      <c r="AI47" s="792">
        <f>($M47*Costos!$H$7)</f>
        <v>0</v>
      </c>
      <c r="AJ47" s="791">
        <f>($M47*Costos!$K$8)</f>
        <v>0</v>
      </c>
      <c r="AK47" s="792">
        <f>($M47*Costos!$H$8)</f>
        <v>0</v>
      </c>
      <c r="AL47" s="793">
        <f t="shared" si="8"/>
        <v>0</v>
      </c>
      <c r="AM47" s="778">
        <f t="shared" si="9"/>
        <v>0</v>
      </c>
      <c r="AN47" s="790"/>
      <c r="AO47" s="791">
        <f>($N47*Costos!$L$4)</f>
        <v>0</v>
      </c>
      <c r="AP47" s="792">
        <f>($N47*Costos!$I$4)</f>
        <v>0</v>
      </c>
      <c r="AQ47" s="791">
        <f>($N47*Costos!$L$5)</f>
        <v>0</v>
      </c>
      <c r="AR47" s="792">
        <f>($N47*Costos!$I$5)</f>
        <v>0</v>
      </c>
      <c r="AS47" s="791">
        <f>($N47*Costos!$L$6)</f>
        <v>0</v>
      </c>
      <c r="AT47" s="792">
        <f>($N47*Costos!$I$6)</f>
        <v>0</v>
      </c>
      <c r="AU47" s="791">
        <f>($N47*Costos!$L$7)</f>
        <v>0</v>
      </c>
      <c r="AV47" s="792">
        <f>($N47*Costos!$I$7)</f>
        <v>0</v>
      </c>
      <c r="AW47" s="791">
        <f>($N47*Costos!$L$8)</f>
        <v>0</v>
      </c>
      <c r="AX47" s="792">
        <f>($N47*Costos!$I$8)</f>
        <v>0</v>
      </c>
      <c r="AY47" s="793">
        <f t="shared" si="10"/>
        <v>0</v>
      </c>
      <c r="AZ47" s="778">
        <f t="shared" si="11"/>
        <v>0</v>
      </c>
      <c r="BA47" s="586"/>
      <c r="BB47" s="537"/>
    </row>
    <row r="48" spans="1:54" ht="17.399999999999999" thickBot="1" x14ac:dyDescent="0.35">
      <c r="A48" s="689"/>
      <c r="B48" s="576"/>
      <c r="D48" s="825"/>
      <c r="E48" s="684"/>
      <c r="F48" s="684"/>
      <c r="G48" s="684"/>
      <c r="H48" s="684"/>
      <c r="I48" s="684"/>
      <c r="J48" s="460"/>
      <c r="K48" s="460"/>
      <c r="L48" s="685"/>
      <c r="M48" s="685"/>
      <c r="N48" s="686"/>
      <c r="O48" s="487">
        <f>($L48*Costos!$J$4)</f>
        <v>0</v>
      </c>
      <c r="P48" s="488">
        <f>($L48*Costos!$G$4)</f>
        <v>0</v>
      </c>
      <c r="Q48" s="487">
        <f>($L48*Costos!$J$5)</f>
        <v>0</v>
      </c>
      <c r="R48" s="488">
        <f>($L48*Costos!$G$5)</f>
        <v>0</v>
      </c>
      <c r="S48" s="487">
        <f>($L48*Costos!$J$6)</f>
        <v>0</v>
      </c>
      <c r="T48" s="488">
        <f>($L48*Costos!$G$6)</f>
        <v>0</v>
      </c>
      <c r="U48" s="487">
        <f>($L48*Costos!$J$7)</f>
        <v>0</v>
      </c>
      <c r="V48" s="488">
        <f>($L48*Costos!$G$7)</f>
        <v>0</v>
      </c>
      <c r="W48" s="487">
        <f>($L48*Costos!$J$8)</f>
        <v>0</v>
      </c>
      <c r="X48" s="488">
        <f>($L48*Costos!$G$8)</f>
        <v>0</v>
      </c>
      <c r="Y48" s="489">
        <f t="shared" si="6"/>
        <v>0</v>
      </c>
      <c r="Z48" s="778">
        <f t="shared" si="7"/>
        <v>0</v>
      </c>
      <c r="AA48" s="790"/>
      <c r="AB48" s="791">
        <f>($M48*Costos!$K$4)</f>
        <v>0</v>
      </c>
      <c r="AC48" s="792">
        <f>($M48*Costos!$H$4)</f>
        <v>0</v>
      </c>
      <c r="AD48" s="791">
        <f>($M48*Costos!$K$5)</f>
        <v>0</v>
      </c>
      <c r="AE48" s="792">
        <f>($M48*Costos!$H$5)</f>
        <v>0</v>
      </c>
      <c r="AF48" s="791">
        <f>($M48*Costos!$K$6)</f>
        <v>0</v>
      </c>
      <c r="AG48" s="792">
        <f>($M48*Costos!$H$6)</f>
        <v>0</v>
      </c>
      <c r="AH48" s="791">
        <f>($M48*Costos!$K$7)</f>
        <v>0</v>
      </c>
      <c r="AI48" s="792">
        <f>($M48*Costos!$H$7)</f>
        <v>0</v>
      </c>
      <c r="AJ48" s="791">
        <f>($M48*Costos!$K$8)</f>
        <v>0</v>
      </c>
      <c r="AK48" s="792">
        <f>($M48*Costos!$H$8)</f>
        <v>0</v>
      </c>
      <c r="AL48" s="793">
        <f t="shared" si="8"/>
        <v>0</v>
      </c>
      <c r="AM48" s="778">
        <f t="shared" si="9"/>
        <v>0</v>
      </c>
      <c r="AN48" s="790"/>
      <c r="AO48" s="791">
        <f>($N48*Costos!$L$4)</f>
        <v>0</v>
      </c>
      <c r="AP48" s="792">
        <f>($N48*Costos!$I$4)</f>
        <v>0</v>
      </c>
      <c r="AQ48" s="791">
        <f>($N48*Costos!$L$5)</f>
        <v>0</v>
      </c>
      <c r="AR48" s="792">
        <f>($N48*Costos!$I$5)</f>
        <v>0</v>
      </c>
      <c r="AS48" s="791">
        <f>($N48*Costos!$L$6)</f>
        <v>0</v>
      </c>
      <c r="AT48" s="792">
        <f>($N48*Costos!$I$6)</f>
        <v>0</v>
      </c>
      <c r="AU48" s="791">
        <f>($N48*Costos!$L$7)</f>
        <v>0</v>
      </c>
      <c r="AV48" s="792">
        <f>($N48*Costos!$I$7)</f>
        <v>0</v>
      </c>
      <c r="AW48" s="791">
        <f>($N48*Costos!$L$8)</f>
        <v>0</v>
      </c>
      <c r="AX48" s="792">
        <f>($N48*Costos!$I$8)</f>
        <v>0</v>
      </c>
      <c r="AY48" s="793">
        <f t="shared" si="10"/>
        <v>0</v>
      </c>
      <c r="AZ48" s="778">
        <f t="shared" si="11"/>
        <v>0</v>
      </c>
      <c r="BA48" s="586"/>
      <c r="BB48" s="537"/>
    </row>
    <row r="49" spans="1:54" ht="17.399999999999999" thickBot="1" x14ac:dyDescent="0.35">
      <c r="A49" s="689"/>
      <c r="B49" s="576"/>
      <c r="D49" s="825"/>
      <c r="E49" s="684"/>
      <c r="F49" s="684"/>
      <c r="G49" s="684"/>
      <c r="H49" s="684"/>
      <c r="I49" s="684"/>
      <c r="J49" s="460"/>
      <c r="K49" s="460"/>
      <c r="L49" s="685"/>
      <c r="M49" s="685"/>
      <c r="N49" s="686"/>
      <c r="O49" s="487">
        <f>($L49*Costos!$J$4)</f>
        <v>0</v>
      </c>
      <c r="P49" s="488">
        <f>($L49*Costos!$G$4)</f>
        <v>0</v>
      </c>
      <c r="Q49" s="487">
        <f>($L49*Costos!$J$5)</f>
        <v>0</v>
      </c>
      <c r="R49" s="488">
        <f>($L49*Costos!$G$5)</f>
        <v>0</v>
      </c>
      <c r="S49" s="487">
        <f>($L49*Costos!$J$6)</f>
        <v>0</v>
      </c>
      <c r="T49" s="488">
        <f>($L49*Costos!$G$6)</f>
        <v>0</v>
      </c>
      <c r="U49" s="487">
        <f>($L49*Costos!$J$7)</f>
        <v>0</v>
      </c>
      <c r="V49" s="488">
        <f>($L49*Costos!$G$7)</f>
        <v>0</v>
      </c>
      <c r="W49" s="487">
        <f>($L49*Costos!$J$8)</f>
        <v>0</v>
      </c>
      <c r="X49" s="488">
        <f>($L49*Costos!$G$8)</f>
        <v>0</v>
      </c>
      <c r="Y49" s="489">
        <f t="shared" si="6"/>
        <v>0</v>
      </c>
      <c r="Z49" s="778">
        <f t="shared" si="7"/>
        <v>0</v>
      </c>
      <c r="AA49" s="790"/>
      <c r="AB49" s="791">
        <f>($M49*Costos!$K$4)</f>
        <v>0</v>
      </c>
      <c r="AC49" s="792">
        <f>($M49*Costos!$H$4)</f>
        <v>0</v>
      </c>
      <c r="AD49" s="791">
        <f>($M49*Costos!$K$5)</f>
        <v>0</v>
      </c>
      <c r="AE49" s="792">
        <f>($M49*Costos!$H$5)</f>
        <v>0</v>
      </c>
      <c r="AF49" s="791">
        <f>($M49*Costos!$K$6)</f>
        <v>0</v>
      </c>
      <c r="AG49" s="792">
        <f>($M49*Costos!$H$6)</f>
        <v>0</v>
      </c>
      <c r="AH49" s="791">
        <f>($M49*Costos!$K$7)</f>
        <v>0</v>
      </c>
      <c r="AI49" s="792">
        <f>($M49*Costos!$H$7)</f>
        <v>0</v>
      </c>
      <c r="AJ49" s="791">
        <f>($M49*Costos!$K$8)</f>
        <v>0</v>
      </c>
      <c r="AK49" s="792">
        <f>($M49*Costos!$H$8)</f>
        <v>0</v>
      </c>
      <c r="AL49" s="793">
        <f t="shared" si="8"/>
        <v>0</v>
      </c>
      <c r="AM49" s="778">
        <f t="shared" si="9"/>
        <v>0</v>
      </c>
      <c r="AN49" s="790"/>
      <c r="AO49" s="791">
        <f>($N49*Costos!$L$4)</f>
        <v>0</v>
      </c>
      <c r="AP49" s="792">
        <f>($N49*Costos!$I$4)</f>
        <v>0</v>
      </c>
      <c r="AQ49" s="791">
        <f>($N49*Costos!$L$5)</f>
        <v>0</v>
      </c>
      <c r="AR49" s="792">
        <f>($N49*Costos!$I$5)</f>
        <v>0</v>
      </c>
      <c r="AS49" s="791">
        <f>($N49*Costos!$L$6)</f>
        <v>0</v>
      </c>
      <c r="AT49" s="792">
        <f>($N49*Costos!$I$6)</f>
        <v>0</v>
      </c>
      <c r="AU49" s="791">
        <f>($N49*Costos!$L$7)</f>
        <v>0</v>
      </c>
      <c r="AV49" s="792">
        <f>($N49*Costos!$I$7)</f>
        <v>0</v>
      </c>
      <c r="AW49" s="791">
        <f>($N49*Costos!$L$8)</f>
        <v>0</v>
      </c>
      <c r="AX49" s="792">
        <f>($N49*Costos!$I$8)</f>
        <v>0</v>
      </c>
      <c r="AY49" s="793">
        <f t="shared" si="10"/>
        <v>0</v>
      </c>
      <c r="AZ49" s="778">
        <f t="shared" si="11"/>
        <v>0</v>
      </c>
      <c r="BA49" s="586"/>
      <c r="BB49" s="537"/>
    </row>
    <row r="50" spans="1:54" ht="17.399999999999999" thickBot="1" x14ac:dyDescent="0.35">
      <c r="A50" s="689"/>
      <c r="B50" s="576"/>
      <c r="D50" s="529"/>
      <c r="E50" s="546"/>
      <c r="F50" s="546"/>
      <c r="G50" s="546"/>
      <c r="H50" s="546"/>
      <c r="I50" s="546"/>
      <c r="J50" s="460"/>
      <c r="K50" s="460"/>
      <c r="L50" s="566"/>
      <c r="M50" s="566"/>
      <c r="N50" s="567"/>
      <c r="O50" s="487">
        <f>($L50*Costos!$J$4)</f>
        <v>0</v>
      </c>
      <c r="P50" s="488">
        <f>($L50*Costos!$G$4)</f>
        <v>0</v>
      </c>
      <c r="Q50" s="487">
        <f>($L50*Costos!$J$5)</f>
        <v>0</v>
      </c>
      <c r="R50" s="488">
        <f>($L50*Costos!$G$5)</f>
        <v>0</v>
      </c>
      <c r="S50" s="487">
        <f>($L50*Costos!$J$6)</f>
        <v>0</v>
      </c>
      <c r="T50" s="488">
        <f>($L50*Costos!$G$6)</f>
        <v>0</v>
      </c>
      <c r="U50" s="487">
        <f>($L50*Costos!$J$7)</f>
        <v>0</v>
      </c>
      <c r="V50" s="488">
        <f>($L50*Costos!$G$7)</f>
        <v>0</v>
      </c>
      <c r="W50" s="487">
        <f>($L50*Costos!$J$8)</f>
        <v>0</v>
      </c>
      <c r="X50" s="488">
        <f>($L50*Costos!$G$8)</f>
        <v>0</v>
      </c>
      <c r="Y50" s="489">
        <f t="shared" si="6"/>
        <v>0</v>
      </c>
      <c r="Z50" s="778">
        <f t="shared" si="7"/>
        <v>0</v>
      </c>
      <c r="AA50" s="790"/>
      <c r="AB50" s="791">
        <f>($M50*Costos!$K$4)</f>
        <v>0</v>
      </c>
      <c r="AC50" s="792">
        <f>($M50*Costos!$H$4)</f>
        <v>0</v>
      </c>
      <c r="AD50" s="791">
        <f>($M50*Costos!$K$5)</f>
        <v>0</v>
      </c>
      <c r="AE50" s="792">
        <f>($M50*Costos!$H$5)</f>
        <v>0</v>
      </c>
      <c r="AF50" s="791">
        <f>($M50*Costos!$K$6)</f>
        <v>0</v>
      </c>
      <c r="AG50" s="792">
        <f>($M50*Costos!$H$6)</f>
        <v>0</v>
      </c>
      <c r="AH50" s="791">
        <f>($M50*Costos!$K$7)</f>
        <v>0</v>
      </c>
      <c r="AI50" s="792">
        <f>($M50*Costos!$H$7)</f>
        <v>0</v>
      </c>
      <c r="AJ50" s="791">
        <f>($M50*Costos!$K$8)</f>
        <v>0</v>
      </c>
      <c r="AK50" s="792">
        <f>($M50*Costos!$H$8)</f>
        <v>0</v>
      </c>
      <c r="AL50" s="793">
        <f t="shared" si="8"/>
        <v>0</v>
      </c>
      <c r="AM50" s="778">
        <f t="shared" si="9"/>
        <v>0</v>
      </c>
      <c r="AN50" s="790"/>
      <c r="AO50" s="791">
        <f>($N50*Costos!$L$4)</f>
        <v>0</v>
      </c>
      <c r="AP50" s="792">
        <f>($N50*Costos!$I$4)</f>
        <v>0</v>
      </c>
      <c r="AQ50" s="791">
        <f>($N50*Costos!$L$5)</f>
        <v>0</v>
      </c>
      <c r="AR50" s="792">
        <f>($N50*Costos!$I$5)</f>
        <v>0</v>
      </c>
      <c r="AS50" s="791">
        <f>($N50*Costos!$L$6)</f>
        <v>0</v>
      </c>
      <c r="AT50" s="792">
        <f>($N50*Costos!$I$6)</f>
        <v>0</v>
      </c>
      <c r="AU50" s="791">
        <f>($N50*Costos!$L$7)</f>
        <v>0</v>
      </c>
      <c r="AV50" s="792">
        <f>($N50*Costos!$I$7)</f>
        <v>0</v>
      </c>
      <c r="AW50" s="791">
        <f>($N50*Costos!$L$8)</f>
        <v>0</v>
      </c>
      <c r="AX50" s="792">
        <f>($N50*Costos!$I$8)</f>
        <v>0</v>
      </c>
      <c r="AY50" s="793">
        <f t="shared" si="10"/>
        <v>0</v>
      </c>
      <c r="AZ50" s="778">
        <f t="shared" si="11"/>
        <v>0</v>
      </c>
      <c r="BA50" s="586"/>
      <c r="BB50" s="537"/>
    </row>
    <row r="51" spans="1:54" ht="17.399999999999999" thickBot="1" x14ac:dyDescent="0.35">
      <c r="A51" s="689"/>
      <c r="B51" s="576"/>
      <c r="D51" s="529"/>
      <c r="E51" s="546"/>
      <c r="F51" s="546"/>
      <c r="G51" s="546"/>
      <c r="H51" s="546"/>
      <c r="I51" s="546"/>
      <c r="J51" s="460"/>
      <c r="K51" s="460"/>
      <c r="L51" s="566"/>
      <c r="M51" s="566"/>
      <c r="N51" s="567"/>
      <c r="O51" s="487">
        <f>($L51*Costos!$J$4)</f>
        <v>0</v>
      </c>
      <c r="P51" s="488">
        <f>($L51*Costos!$G$4)</f>
        <v>0</v>
      </c>
      <c r="Q51" s="487">
        <f>($L51*Costos!$J$5)</f>
        <v>0</v>
      </c>
      <c r="R51" s="488">
        <f>($L51*Costos!$G$5)</f>
        <v>0</v>
      </c>
      <c r="S51" s="487">
        <f>($L51*Costos!$J$6)</f>
        <v>0</v>
      </c>
      <c r="T51" s="488">
        <f>($L51*Costos!$G$6)</f>
        <v>0</v>
      </c>
      <c r="U51" s="487">
        <f>($L51*Costos!$J$7)</f>
        <v>0</v>
      </c>
      <c r="V51" s="488">
        <f>($L51*Costos!$G$7)</f>
        <v>0</v>
      </c>
      <c r="W51" s="487">
        <f>($L51*Costos!$J$8)</f>
        <v>0</v>
      </c>
      <c r="X51" s="488">
        <f>($L51*Costos!$G$8)</f>
        <v>0</v>
      </c>
      <c r="Y51" s="489">
        <f t="shared" si="6"/>
        <v>0</v>
      </c>
      <c r="Z51" s="778">
        <f t="shared" si="7"/>
        <v>0</v>
      </c>
      <c r="AA51" s="790"/>
      <c r="AB51" s="791">
        <f>($M51*Costos!$K$4)</f>
        <v>0</v>
      </c>
      <c r="AC51" s="792">
        <f>($M51*Costos!$H$4)</f>
        <v>0</v>
      </c>
      <c r="AD51" s="791">
        <f>($M51*Costos!$K$5)</f>
        <v>0</v>
      </c>
      <c r="AE51" s="792">
        <f>($M51*Costos!$H$5)</f>
        <v>0</v>
      </c>
      <c r="AF51" s="791">
        <f>($M51*Costos!$K$6)</f>
        <v>0</v>
      </c>
      <c r="AG51" s="792">
        <f>($M51*Costos!$H$6)</f>
        <v>0</v>
      </c>
      <c r="AH51" s="791">
        <f>($M51*Costos!$K$7)</f>
        <v>0</v>
      </c>
      <c r="AI51" s="792">
        <f>($M51*Costos!$H$7)</f>
        <v>0</v>
      </c>
      <c r="AJ51" s="791">
        <f>($M51*Costos!$K$8)</f>
        <v>0</v>
      </c>
      <c r="AK51" s="792">
        <f>($M51*Costos!$H$8)</f>
        <v>0</v>
      </c>
      <c r="AL51" s="793">
        <f t="shared" si="8"/>
        <v>0</v>
      </c>
      <c r="AM51" s="778">
        <f t="shared" si="9"/>
        <v>0</v>
      </c>
      <c r="AN51" s="790"/>
      <c r="AO51" s="791">
        <f>($N51*Costos!$L$4)</f>
        <v>0</v>
      </c>
      <c r="AP51" s="792">
        <f>($N51*Costos!$I$4)</f>
        <v>0</v>
      </c>
      <c r="AQ51" s="791">
        <f>($N51*Costos!$L$5)</f>
        <v>0</v>
      </c>
      <c r="AR51" s="792">
        <f>($N51*Costos!$I$5)</f>
        <v>0</v>
      </c>
      <c r="AS51" s="791">
        <f>($N51*Costos!$L$6)</f>
        <v>0</v>
      </c>
      <c r="AT51" s="792">
        <f>($N51*Costos!$I$6)</f>
        <v>0</v>
      </c>
      <c r="AU51" s="791">
        <f>($N51*Costos!$L$7)</f>
        <v>0</v>
      </c>
      <c r="AV51" s="792">
        <f>($N51*Costos!$I$7)</f>
        <v>0</v>
      </c>
      <c r="AW51" s="791">
        <f>($N51*Costos!$L$8)</f>
        <v>0</v>
      </c>
      <c r="AX51" s="792">
        <f>($N51*Costos!$I$8)</f>
        <v>0</v>
      </c>
      <c r="AY51" s="793">
        <f t="shared" si="10"/>
        <v>0</v>
      </c>
      <c r="AZ51" s="778">
        <f t="shared" si="11"/>
        <v>0</v>
      </c>
      <c r="BA51" s="586"/>
      <c r="BB51" s="537"/>
    </row>
    <row r="52" spans="1:54" ht="17.399999999999999" thickBot="1" x14ac:dyDescent="0.35">
      <c r="A52" s="689"/>
      <c r="B52" s="576"/>
      <c r="D52" s="529"/>
      <c r="E52" s="546"/>
      <c r="F52" s="546"/>
      <c r="G52" s="546"/>
      <c r="H52" s="546"/>
      <c r="I52" s="546"/>
      <c r="J52" s="460"/>
      <c r="K52" s="460"/>
      <c r="L52" s="566"/>
      <c r="M52" s="566"/>
      <c r="N52" s="567"/>
      <c r="O52" s="487">
        <f>($L52*Costos!$J$4)</f>
        <v>0</v>
      </c>
      <c r="P52" s="488">
        <f>($L52*Costos!$G$4)</f>
        <v>0</v>
      </c>
      <c r="Q52" s="487">
        <f>($L52*Costos!$J$5)</f>
        <v>0</v>
      </c>
      <c r="R52" s="488">
        <f>($L52*Costos!$G$5)</f>
        <v>0</v>
      </c>
      <c r="S52" s="487">
        <f>($L52*Costos!$J$6)</f>
        <v>0</v>
      </c>
      <c r="T52" s="488">
        <f>($L52*Costos!$G$6)</f>
        <v>0</v>
      </c>
      <c r="U52" s="487">
        <f>($L52*Costos!$J$7)</f>
        <v>0</v>
      </c>
      <c r="V52" s="488">
        <f>($L52*Costos!$G$7)</f>
        <v>0</v>
      </c>
      <c r="W52" s="487">
        <f>($L52*Costos!$J$8)</f>
        <v>0</v>
      </c>
      <c r="X52" s="488">
        <f>($L52*Costos!$G$8)</f>
        <v>0</v>
      </c>
      <c r="Y52" s="489">
        <f t="shared" si="6"/>
        <v>0</v>
      </c>
      <c r="Z52" s="778">
        <f t="shared" si="7"/>
        <v>0</v>
      </c>
      <c r="AA52" s="790"/>
      <c r="AB52" s="791">
        <f>($M52*Costos!$K$4)</f>
        <v>0</v>
      </c>
      <c r="AC52" s="792">
        <f>($M52*Costos!$H$4)</f>
        <v>0</v>
      </c>
      <c r="AD52" s="791">
        <f>($M52*Costos!$K$5)</f>
        <v>0</v>
      </c>
      <c r="AE52" s="792">
        <f>($M52*Costos!$H$5)</f>
        <v>0</v>
      </c>
      <c r="AF52" s="791">
        <f>($M52*Costos!$K$6)</f>
        <v>0</v>
      </c>
      <c r="AG52" s="792">
        <f>($M52*Costos!$H$6)</f>
        <v>0</v>
      </c>
      <c r="AH52" s="791">
        <f>($M52*Costos!$K$7)</f>
        <v>0</v>
      </c>
      <c r="AI52" s="792">
        <f>($M52*Costos!$H$7)</f>
        <v>0</v>
      </c>
      <c r="AJ52" s="791">
        <f>($M52*Costos!$K$8)</f>
        <v>0</v>
      </c>
      <c r="AK52" s="792">
        <f>($M52*Costos!$H$8)</f>
        <v>0</v>
      </c>
      <c r="AL52" s="793">
        <f t="shared" si="8"/>
        <v>0</v>
      </c>
      <c r="AM52" s="778">
        <f t="shared" si="9"/>
        <v>0</v>
      </c>
      <c r="AN52" s="790"/>
      <c r="AO52" s="791">
        <f>($N52*Costos!$L$4)</f>
        <v>0</v>
      </c>
      <c r="AP52" s="792">
        <f>($N52*Costos!$I$4)</f>
        <v>0</v>
      </c>
      <c r="AQ52" s="791">
        <f>($N52*Costos!$L$5)</f>
        <v>0</v>
      </c>
      <c r="AR52" s="792">
        <f>($N52*Costos!$I$5)</f>
        <v>0</v>
      </c>
      <c r="AS52" s="791">
        <f>($N52*Costos!$L$6)</f>
        <v>0</v>
      </c>
      <c r="AT52" s="792">
        <f>($N52*Costos!$I$6)</f>
        <v>0</v>
      </c>
      <c r="AU52" s="791">
        <f>($N52*Costos!$L$7)</f>
        <v>0</v>
      </c>
      <c r="AV52" s="792">
        <f>($N52*Costos!$I$7)</f>
        <v>0</v>
      </c>
      <c r="AW52" s="791">
        <f>($N52*Costos!$L$8)</f>
        <v>0</v>
      </c>
      <c r="AX52" s="792">
        <f>($N52*Costos!$I$8)</f>
        <v>0</v>
      </c>
      <c r="AY52" s="793">
        <f t="shared" si="10"/>
        <v>0</v>
      </c>
      <c r="AZ52" s="778">
        <f t="shared" si="11"/>
        <v>0</v>
      </c>
      <c r="BA52" s="586"/>
      <c r="BB52" s="537"/>
    </row>
    <row r="53" spans="1:54" ht="17.399999999999999" thickBot="1" x14ac:dyDescent="0.35">
      <c r="A53" s="689"/>
      <c r="B53" s="576"/>
      <c r="D53" s="529"/>
      <c r="E53" s="546"/>
      <c r="F53" s="546"/>
      <c r="G53" s="546"/>
      <c r="H53" s="546"/>
      <c r="I53" s="546"/>
      <c r="J53" s="460"/>
      <c r="K53" s="460"/>
      <c r="L53" s="566"/>
      <c r="M53" s="566"/>
      <c r="N53" s="567"/>
      <c r="O53" s="487">
        <f>($L53*Costos!$J$4)</f>
        <v>0</v>
      </c>
      <c r="P53" s="488">
        <f>($L53*Costos!$G$4)</f>
        <v>0</v>
      </c>
      <c r="Q53" s="487">
        <f>($L53*Costos!$J$5)</f>
        <v>0</v>
      </c>
      <c r="R53" s="488">
        <f>($L53*Costos!$G$5)</f>
        <v>0</v>
      </c>
      <c r="S53" s="487">
        <f>($L53*Costos!$J$6)</f>
        <v>0</v>
      </c>
      <c r="T53" s="488">
        <f>($L53*Costos!$G$6)</f>
        <v>0</v>
      </c>
      <c r="U53" s="487">
        <f>($L53*Costos!$J$7)</f>
        <v>0</v>
      </c>
      <c r="V53" s="488">
        <f>($L53*Costos!$G$7)</f>
        <v>0</v>
      </c>
      <c r="W53" s="487">
        <f>($L53*Costos!$J$8)</f>
        <v>0</v>
      </c>
      <c r="X53" s="488">
        <f>($L53*Costos!$G$8)</f>
        <v>0</v>
      </c>
      <c r="Y53" s="489">
        <f t="shared" si="6"/>
        <v>0</v>
      </c>
      <c r="Z53" s="778">
        <f t="shared" si="7"/>
        <v>0</v>
      </c>
      <c r="AA53" s="790"/>
      <c r="AB53" s="791">
        <f>($M53*Costos!$K$4)</f>
        <v>0</v>
      </c>
      <c r="AC53" s="792">
        <f>($M53*Costos!$H$4)</f>
        <v>0</v>
      </c>
      <c r="AD53" s="791">
        <f>($M53*Costos!$K$5)</f>
        <v>0</v>
      </c>
      <c r="AE53" s="792">
        <f>($M53*Costos!$H$5)</f>
        <v>0</v>
      </c>
      <c r="AF53" s="791">
        <f>($M53*Costos!$K$6)</f>
        <v>0</v>
      </c>
      <c r="AG53" s="792">
        <f>($M53*Costos!$H$6)</f>
        <v>0</v>
      </c>
      <c r="AH53" s="791">
        <f>($M53*Costos!$K$7)</f>
        <v>0</v>
      </c>
      <c r="AI53" s="792">
        <f>($M53*Costos!$H$7)</f>
        <v>0</v>
      </c>
      <c r="AJ53" s="791">
        <f>($M53*Costos!$K$8)</f>
        <v>0</v>
      </c>
      <c r="AK53" s="792">
        <f>($M53*Costos!$H$8)</f>
        <v>0</v>
      </c>
      <c r="AL53" s="793">
        <f t="shared" si="8"/>
        <v>0</v>
      </c>
      <c r="AM53" s="778">
        <f t="shared" si="9"/>
        <v>0</v>
      </c>
      <c r="AN53" s="790"/>
      <c r="AO53" s="791">
        <f>($N53*Costos!$L$4)</f>
        <v>0</v>
      </c>
      <c r="AP53" s="792">
        <f>($N53*Costos!$I$4)</f>
        <v>0</v>
      </c>
      <c r="AQ53" s="791">
        <f>($N53*Costos!$L$5)</f>
        <v>0</v>
      </c>
      <c r="AR53" s="792">
        <f>($N53*Costos!$I$5)</f>
        <v>0</v>
      </c>
      <c r="AS53" s="791">
        <f>($N53*Costos!$L$6)</f>
        <v>0</v>
      </c>
      <c r="AT53" s="792">
        <f>($N53*Costos!$I$6)</f>
        <v>0</v>
      </c>
      <c r="AU53" s="791">
        <f>($N53*Costos!$L$7)</f>
        <v>0</v>
      </c>
      <c r="AV53" s="792">
        <f>($N53*Costos!$I$7)</f>
        <v>0</v>
      </c>
      <c r="AW53" s="791">
        <f>($N53*Costos!$L$8)</f>
        <v>0</v>
      </c>
      <c r="AX53" s="792">
        <f>($N53*Costos!$I$8)</f>
        <v>0</v>
      </c>
      <c r="AY53" s="793">
        <f t="shared" si="10"/>
        <v>0</v>
      </c>
      <c r="AZ53" s="778">
        <f t="shared" si="11"/>
        <v>0</v>
      </c>
      <c r="BA53" s="586"/>
      <c r="BB53" s="537"/>
    </row>
    <row r="54" spans="1:54" ht="17.399999999999999" thickBot="1" x14ac:dyDescent="0.35">
      <c r="A54" s="689"/>
      <c r="B54" s="576"/>
      <c r="D54" s="529"/>
      <c r="E54" s="546"/>
      <c r="F54" s="546"/>
      <c r="G54" s="546"/>
      <c r="H54" s="546"/>
      <c r="I54" s="546"/>
      <c r="J54" s="460"/>
      <c r="K54" s="460"/>
      <c r="L54" s="566"/>
      <c r="M54" s="566"/>
      <c r="N54" s="567"/>
      <c r="O54" s="487">
        <f>($L54*Costos!$J$4)</f>
        <v>0</v>
      </c>
      <c r="P54" s="488">
        <f>($L54*Costos!$G$4)</f>
        <v>0</v>
      </c>
      <c r="Q54" s="487">
        <f>($L54*Costos!$J$5)</f>
        <v>0</v>
      </c>
      <c r="R54" s="488">
        <f>($L54*Costos!$G$5)</f>
        <v>0</v>
      </c>
      <c r="S54" s="487">
        <f>($L54*Costos!$J$6)</f>
        <v>0</v>
      </c>
      <c r="T54" s="488">
        <f>($L54*Costos!$G$6)</f>
        <v>0</v>
      </c>
      <c r="U54" s="487">
        <f>($L54*Costos!$J$7)</f>
        <v>0</v>
      </c>
      <c r="V54" s="488">
        <f>($L54*Costos!$G$7)</f>
        <v>0</v>
      </c>
      <c r="W54" s="487">
        <f>($L54*Costos!$J$8)</f>
        <v>0</v>
      </c>
      <c r="X54" s="488">
        <f>($L54*Costos!$G$8)</f>
        <v>0</v>
      </c>
      <c r="Y54" s="489">
        <f t="shared" si="6"/>
        <v>0</v>
      </c>
      <c r="Z54" s="778">
        <f t="shared" si="7"/>
        <v>0</v>
      </c>
      <c r="AA54" s="790"/>
      <c r="AB54" s="791">
        <f>($M54*Costos!$K$4)</f>
        <v>0</v>
      </c>
      <c r="AC54" s="792">
        <f>($M54*Costos!$H$4)</f>
        <v>0</v>
      </c>
      <c r="AD54" s="791">
        <f>($M54*Costos!$K$5)</f>
        <v>0</v>
      </c>
      <c r="AE54" s="792">
        <f>($M54*Costos!$H$5)</f>
        <v>0</v>
      </c>
      <c r="AF54" s="791">
        <f>($M54*Costos!$K$6)</f>
        <v>0</v>
      </c>
      <c r="AG54" s="792">
        <f>($M54*Costos!$H$6)</f>
        <v>0</v>
      </c>
      <c r="AH54" s="791">
        <f>($M54*Costos!$K$7)</f>
        <v>0</v>
      </c>
      <c r="AI54" s="792">
        <f>($M54*Costos!$H$7)</f>
        <v>0</v>
      </c>
      <c r="AJ54" s="791">
        <f>($M54*Costos!$K$8)</f>
        <v>0</v>
      </c>
      <c r="AK54" s="792">
        <f>($M54*Costos!$H$8)</f>
        <v>0</v>
      </c>
      <c r="AL54" s="793">
        <f t="shared" si="8"/>
        <v>0</v>
      </c>
      <c r="AM54" s="778">
        <f t="shared" si="9"/>
        <v>0</v>
      </c>
      <c r="AN54" s="790"/>
      <c r="AO54" s="791">
        <f>($N54*Costos!$L$4)</f>
        <v>0</v>
      </c>
      <c r="AP54" s="792">
        <f>($N54*Costos!$I$4)</f>
        <v>0</v>
      </c>
      <c r="AQ54" s="791">
        <f>($N54*Costos!$L$5)</f>
        <v>0</v>
      </c>
      <c r="AR54" s="792">
        <f>($N54*Costos!$I$5)</f>
        <v>0</v>
      </c>
      <c r="AS54" s="791">
        <f>($N54*Costos!$L$6)</f>
        <v>0</v>
      </c>
      <c r="AT54" s="792">
        <f>($N54*Costos!$I$6)</f>
        <v>0</v>
      </c>
      <c r="AU54" s="791">
        <f>($N54*Costos!$L$7)</f>
        <v>0</v>
      </c>
      <c r="AV54" s="792">
        <f>($N54*Costos!$I$7)</f>
        <v>0</v>
      </c>
      <c r="AW54" s="791">
        <f>($N54*Costos!$L$8)</f>
        <v>0</v>
      </c>
      <c r="AX54" s="792">
        <f>($N54*Costos!$I$8)</f>
        <v>0</v>
      </c>
      <c r="AY54" s="793">
        <f t="shared" si="10"/>
        <v>0</v>
      </c>
      <c r="AZ54" s="778">
        <f t="shared" si="11"/>
        <v>0</v>
      </c>
      <c r="BA54" s="586"/>
      <c r="BB54" s="537"/>
    </row>
    <row r="55" spans="1:54" ht="17.399999999999999" thickBot="1" x14ac:dyDescent="0.35">
      <c r="A55" s="689"/>
      <c r="B55" s="576"/>
      <c r="D55" s="529"/>
      <c r="E55" s="546"/>
      <c r="F55" s="546"/>
      <c r="G55" s="546"/>
      <c r="H55" s="546"/>
      <c r="I55" s="546"/>
      <c r="J55" s="460"/>
      <c r="K55" s="460"/>
      <c r="L55" s="566"/>
      <c r="M55" s="566"/>
      <c r="N55" s="567"/>
      <c r="O55" s="487">
        <f>($L55*Costos!$J$4)</f>
        <v>0</v>
      </c>
      <c r="P55" s="488">
        <f>($L55*Costos!$G$4)</f>
        <v>0</v>
      </c>
      <c r="Q55" s="487">
        <f>($L55*Costos!$J$5)</f>
        <v>0</v>
      </c>
      <c r="R55" s="488">
        <f>($L55*Costos!$G$5)</f>
        <v>0</v>
      </c>
      <c r="S55" s="487">
        <f>($L55*Costos!$J$6)</f>
        <v>0</v>
      </c>
      <c r="T55" s="488">
        <f>($L55*Costos!$G$6)</f>
        <v>0</v>
      </c>
      <c r="U55" s="487">
        <f>($L55*Costos!$J$7)</f>
        <v>0</v>
      </c>
      <c r="V55" s="488">
        <f>($L55*Costos!$G$7)</f>
        <v>0</v>
      </c>
      <c r="W55" s="487">
        <f>($L55*Costos!$J$8)</f>
        <v>0</v>
      </c>
      <c r="X55" s="488">
        <f>($L55*Costos!$G$8)</f>
        <v>0</v>
      </c>
      <c r="Y55" s="489">
        <f t="shared" si="6"/>
        <v>0</v>
      </c>
      <c r="Z55" s="778">
        <f t="shared" si="7"/>
        <v>0</v>
      </c>
      <c r="AA55" s="790"/>
      <c r="AB55" s="791">
        <f>($M55*Costos!$K$4)</f>
        <v>0</v>
      </c>
      <c r="AC55" s="792">
        <f>($M55*Costos!$H$4)</f>
        <v>0</v>
      </c>
      <c r="AD55" s="791">
        <f>($M55*Costos!$K$5)</f>
        <v>0</v>
      </c>
      <c r="AE55" s="792">
        <f>($M55*Costos!$H$5)</f>
        <v>0</v>
      </c>
      <c r="AF55" s="791">
        <f>($M55*Costos!$K$6)</f>
        <v>0</v>
      </c>
      <c r="AG55" s="792">
        <f>($M55*Costos!$H$6)</f>
        <v>0</v>
      </c>
      <c r="AH55" s="791">
        <f>($M55*Costos!$K$7)</f>
        <v>0</v>
      </c>
      <c r="AI55" s="792">
        <f>($M55*Costos!$H$7)</f>
        <v>0</v>
      </c>
      <c r="AJ55" s="791">
        <f>($M55*Costos!$K$8)</f>
        <v>0</v>
      </c>
      <c r="AK55" s="792">
        <f>($M55*Costos!$H$8)</f>
        <v>0</v>
      </c>
      <c r="AL55" s="793">
        <f t="shared" si="8"/>
        <v>0</v>
      </c>
      <c r="AM55" s="778">
        <f t="shared" si="9"/>
        <v>0</v>
      </c>
      <c r="AN55" s="790"/>
      <c r="AO55" s="791">
        <f>($N55*Costos!$L$4)</f>
        <v>0</v>
      </c>
      <c r="AP55" s="792">
        <f>($N55*Costos!$I$4)</f>
        <v>0</v>
      </c>
      <c r="AQ55" s="791">
        <f>($N55*Costos!$L$5)</f>
        <v>0</v>
      </c>
      <c r="AR55" s="792">
        <f>($N55*Costos!$I$5)</f>
        <v>0</v>
      </c>
      <c r="AS55" s="791">
        <f>($N55*Costos!$L$6)</f>
        <v>0</v>
      </c>
      <c r="AT55" s="792">
        <f>($N55*Costos!$I$6)</f>
        <v>0</v>
      </c>
      <c r="AU55" s="791">
        <f>($N55*Costos!$L$7)</f>
        <v>0</v>
      </c>
      <c r="AV55" s="792">
        <f>($N55*Costos!$I$7)</f>
        <v>0</v>
      </c>
      <c r="AW55" s="791">
        <f>($N55*Costos!$L$8)</f>
        <v>0</v>
      </c>
      <c r="AX55" s="792">
        <f>($N55*Costos!$I$8)</f>
        <v>0</v>
      </c>
      <c r="AY55" s="793">
        <f t="shared" si="10"/>
        <v>0</v>
      </c>
      <c r="AZ55" s="778">
        <f t="shared" si="11"/>
        <v>0</v>
      </c>
      <c r="BA55" s="586"/>
      <c r="BB55" s="537"/>
    </row>
    <row r="56" spans="1:54" ht="17.399999999999999" thickBot="1" x14ac:dyDescent="0.35">
      <c r="A56" s="689"/>
      <c r="B56" s="576"/>
      <c r="D56" s="529"/>
      <c r="E56" s="546"/>
      <c r="F56" s="546"/>
      <c r="G56" s="546"/>
      <c r="H56" s="546"/>
      <c r="I56" s="546"/>
      <c r="J56" s="460"/>
      <c r="K56" s="460"/>
      <c r="L56" s="566"/>
      <c r="M56" s="566"/>
      <c r="N56" s="567"/>
      <c r="O56" s="487">
        <f>($L56*Costos!$J$4)</f>
        <v>0</v>
      </c>
      <c r="P56" s="488">
        <f>($L56*Costos!$G$4)</f>
        <v>0</v>
      </c>
      <c r="Q56" s="487">
        <f>($L56*Costos!$J$5)</f>
        <v>0</v>
      </c>
      <c r="R56" s="488">
        <f>($L56*Costos!$G$5)</f>
        <v>0</v>
      </c>
      <c r="S56" s="487">
        <f>($L56*Costos!$J$6)</f>
        <v>0</v>
      </c>
      <c r="T56" s="488">
        <f>($L56*Costos!$G$6)</f>
        <v>0</v>
      </c>
      <c r="U56" s="487">
        <f>($L56*Costos!$J$7)</f>
        <v>0</v>
      </c>
      <c r="V56" s="488">
        <f>($L56*Costos!$G$7)</f>
        <v>0</v>
      </c>
      <c r="W56" s="487">
        <f>($L56*Costos!$J$8)</f>
        <v>0</v>
      </c>
      <c r="X56" s="488">
        <f>($L56*Costos!$G$8)</f>
        <v>0</v>
      </c>
      <c r="Y56" s="489">
        <f t="shared" si="6"/>
        <v>0</v>
      </c>
      <c r="Z56" s="778">
        <f t="shared" si="7"/>
        <v>0</v>
      </c>
      <c r="AA56" s="790"/>
      <c r="AB56" s="791">
        <f>($M56*Costos!$K$4)</f>
        <v>0</v>
      </c>
      <c r="AC56" s="792">
        <f>($M56*Costos!$H$4)</f>
        <v>0</v>
      </c>
      <c r="AD56" s="791">
        <f>($M56*Costos!$K$5)</f>
        <v>0</v>
      </c>
      <c r="AE56" s="792">
        <f>($M56*Costos!$H$5)</f>
        <v>0</v>
      </c>
      <c r="AF56" s="791">
        <f>($M56*Costos!$K$6)</f>
        <v>0</v>
      </c>
      <c r="AG56" s="792">
        <f>($M56*Costos!$H$6)</f>
        <v>0</v>
      </c>
      <c r="AH56" s="791">
        <f>($M56*Costos!$K$7)</f>
        <v>0</v>
      </c>
      <c r="AI56" s="792">
        <f>($M56*Costos!$H$7)</f>
        <v>0</v>
      </c>
      <c r="AJ56" s="791">
        <f>($M56*Costos!$K$8)</f>
        <v>0</v>
      </c>
      <c r="AK56" s="792">
        <f>($M56*Costos!$H$8)</f>
        <v>0</v>
      </c>
      <c r="AL56" s="793">
        <f t="shared" si="8"/>
        <v>0</v>
      </c>
      <c r="AM56" s="778">
        <f t="shared" si="9"/>
        <v>0</v>
      </c>
      <c r="AN56" s="790"/>
      <c r="AO56" s="791">
        <f>($N56*Costos!$L$4)</f>
        <v>0</v>
      </c>
      <c r="AP56" s="792">
        <f>($N56*Costos!$I$4)</f>
        <v>0</v>
      </c>
      <c r="AQ56" s="791">
        <f>($N56*Costos!$L$5)</f>
        <v>0</v>
      </c>
      <c r="AR56" s="792">
        <f>($N56*Costos!$I$5)</f>
        <v>0</v>
      </c>
      <c r="AS56" s="791">
        <f>($N56*Costos!$L$6)</f>
        <v>0</v>
      </c>
      <c r="AT56" s="792">
        <f>($N56*Costos!$I$6)</f>
        <v>0</v>
      </c>
      <c r="AU56" s="791">
        <f>($N56*Costos!$L$7)</f>
        <v>0</v>
      </c>
      <c r="AV56" s="792">
        <f>($N56*Costos!$I$7)</f>
        <v>0</v>
      </c>
      <c r="AW56" s="791">
        <f>($N56*Costos!$L$8)</f>
        <v>0</v>
      </c>
      <c r="AX56" s="792">
        <f>($N56*Costos!$I$8)</f>
        <v>0</v>
      </c>
      <c r="AY56" s="793">
        <f t="shared" si="10"/>
        <v>0</v>
      </c>
      <c r="AZ56" s="778">
        <f t="shared" si="11"/>
        <v>0</v>
      </c>
      <c r="BA56" s="586"/>
      <c r="BB56" s="537"/>
    </row>
    <row r="57" spans="1:54" ht="17.399999999999999" thickBot="1" x14ac:dyDescent="0.35">
      <c r="A57" s="689"/>
      <c r="B57" s="576"/>
      <c r="D57" s="529"/>
      <c r="E57" s="546"/>
      <c r="F57" s="546"/>
      <c r="G57" s="546"/>
      <c r="H57" s="546"/>
      <c r="I57" s="546"/>
      <c r="J57" s="460"/>
      <c r="K57" s="460"/>
      <c r="L57" s="566"/>
      <c r="M57" s="566"/>
      <c r="N57" s="567"/>
      <c r="O57" s="487">
        <f>($L57*Costos!$J$4)</f>
        <v>0</v>
      </c>
      <c r="P57" s="488">
        <f>($L57*Costos!$G$4)</f>
        <v>0</v>
      </c>
      <c r="Q57" s="487">
        <f>($L57*Costos!$J$5)</f>
        <v>0</v>
      </c>
      <c r="R57" s="488">
        <f>($L57*Costos!$G$5)</f>
        <v>0</v>
      </c>
      <c r="S57" s="487">
        <f>($L57*Costos!$J$6)</f>
        <v>0</v>
      </c>
      <c r="T57" s="488">
        <f>($L57*Costos!$G$6)</f>
        <v>0</v>
      </c>
      <c r="U57" s="487">
        <f>($L57*Costos!$J$7)</f>
        <v>0</v>
      </c>
      <c r="V57" s="488">
        <f>($L57*Costos!$G$7)</f>
        <v>0</v>
      </c>
      <c r="W57" s="487">
        <f>($L57*Costos!$J$8)</f>
        <v>0</v>
      </c>
      <c r="X57" s="488">
        <f>($L57*Costos!$G$8)</f>
        <v>0</v>
      </c>
      <c r="Y57" s="489">
        <f t="shared" si="6"/>
        <v>0</v>
      </c>
      <c r="Z57" s="778">
        <f t="shared" si="7"/>
        <v>0</v>
      </c>
      <c r="AA57" s="790"/>
      <c r="AB57" s="791">
        <f>($M57*Costos!$K$4)</f>
        <v>0</v>
      </c>
      <c r="AC57" s="792">
        <f>($M57*Costos!$H$4)</f>
        <v>0</v>
      </c>
      <c r="AD57" s="791">
        <f>($M57*Costos!$K$5)</f>
        <v>0</v>
      </c>
      <c r="AE57" s="792">
        <f>($M57*Costos!$H$5)</f>
        <v>0</v>
      </c>
      <c r="AF57" s="791">
        <f>($M57*Costos!$K$6)</f>
        <v>0</v>
      </c>
      <c r="AG57" s="792">
        <f>($M57*Costos!$H$6)</f>
        <v>0</v>
      </c>
      <c r="AH57" s="791">
        <f>($M57*Costos!$K$7)</f>
        <v>0</v>
      </c>
      <c r="AI57" s="792">
        <f>($M57*Costos!$H$7)</f>
        <v>0</v>
      </c>
      <c r="AJ57" s="791">
        <f>($M57*Costos!$K$8)</f>
        <v>0</v>
      </c>
      <c r="AK57" s="792">
        <f>($M57*Costos!$H$8)</f>
        <v>0</v>
      </c>
      <c r="AL57" s="793">
        <f t="shared" si="8"/>
        <v>0</v>
      </c>
      <c r="AM57" s="778">
        <f t="shared" si="9"/>
        <v>0</v>
      </c>
      <c r="AN57" s="790"/>
      <c r="AO57" s="791">
        <f>($N57*Costos!$L$4)</f>
        <v>0</v>
      </c>
      <c r="AP57" s="792">
        <f>($N57*Costos!$I$4)</f>
        <v>0</v>
      </c>
      <c r="AQ57" s="791">
        <f>($N57*Costos!$L$5)</f>
        <v>0</v>
      </c>
      <c r="AR57" s="792">
        <f>($N57*Costos!$I$5)</f>
        <v>0</v>
      </c>
      <c r="AS57" s="791">
        <f>($N57*Costos!$L$6)</f>
        <v>0</v>
      </c>
      <c r="AT57" s="792">
        <f>($N57*Costos!$I$6)</f>
        <v>0</v>
      </c>
      <c r="AU57" s="791">
        <f>($N57*Costos!$L$7)</f>
        <v>0</v>
      </c>
      <c r="AV57" s="792">
        <f>($N57*Costos!$I$7)</f>
        <v>0</v>
      </c>
      <c r="AW57" s="791">
        <f>($N57*Costos!$L$8)</f>
        <v>0</v>
      </c>
      <c r="AX57" s="792">
        <f>($N57*Costos!$I$8)</f>
        <v>0</v>
      </c>
      <c r="AY57" s="793">
        <f t="shared" si="10"/>
        <v>0</v>
      </c>
      <c r="AZ57" s="778">
        <f t="shared" si="11"/>
        <v>0</v>
      </c>
      <c r="BA57" s="586"/>
      <c r="BB57" s="537"/>
    </row>
    <row r="58" spans="1:54" ht="17.399999999999999" thickBot="1" x14ac:dyDescent="0.35">
      <c r="A58" s="689"/>
      <c r="B58" s="576"/>
      <c r="D58" s="531"/>
      <c r="E58" s="546"/>
      <c r="F58" s="546"/>
      <c r="G58" s="546"/>
      <c r="H58" s="546"/>
      <c r="I58" s="546"/>
      <c r="J58" s="460"/>
      <c r="K58" s="460"/>
      <c r="L58" s="566"/>
      <c r="M58" s="566"/>
      <c r="N58" s="567"/>
      <c r="O58" s="487">
        <f>($L58*Costos!$J$4)</f>
        <v>0</v>
      </c>
      <c r="P58" s="488">
        <f>($L58*Costos!$G$4)</f>
        <v>0</v>
      </c>
      <c r="Q58" s="487">
        <f>($L58*Costos!$J$5)</f>
        <v>0</v>
      </c>
      <c r="R58" s="488">
        <f>($L58*Costos!$G$5)</f>
        <v>0</v>
      </c>
      <c r="S58" s="487">
        <f>($L58*Costos!$J$6)</f>
        <v>0</v>
      </c>
      <c r="T58" s="488">
        <f>($L58*Costos!$G$6)</f>
        <v>0</v>
      </c>
      <c r="U58" s="487">
        <f>($L58*Costos!$J$7)</f>
        <v>0</v>
      </c>
      <c r="V58" s="488">
        <f>($L58*Costos!$G$7)</f>
        <v>0</v>
      </c>
      <c r="W58" s="487">
        <f>($L58*Costos!$J$8)</f>
        <v>0</v>
      </c>
      <c r="X58" s="488">
        <f>($L58*Costos!$G$8)</f>
        <v>0</v>
      </c>
      <c r="Y58" s="489">
        <f t="shared" si="6"/>
        <v>0</v>
      </c>
      <c r="Z58" s="778">
        <f t="shared" si="7"/>
        <v>0</v>
      </c>
      <c r="AA58" s="790"/>
      <c r="AB58" s="791">
        <f>($M58*Costos!$K$4)</f>
        <v>0</v>
      </c>
      <c r="AC58" s="792">
        <f>($M58*Costos!$H$4)</f>
        <v>0</v>
      </c>
      <c r="AD58" s="791">
        <f>($M58*Costos!$K$5)</f>
        <v>0</v>
      </c>
      <c r="AE58" s="792">
        <f>($M58*Costos!$H$5)</f>
        <v>0</v>
      </c>
      <c r="AF58" s="791">
        <f>($M58*Costos!$K$6)</f>
        <v>0</v>
      </c>
      <c r="AG58" s="792">
        <f>($M58*Costos!$H$6)</f>
        <v>0</v>
      </c>
      <c r="AH58" s="791">
        <f>($M58*Costos!$K$7)</f>
        <v>0</v>
      </c>
      <c r="AI58" s="792">
        <f>($M58*Costos!$H$7)</f>
        <v>0</v>
      </c>
      <c r="AJ58" s="791">
        <f>($M58*Costos!$K$8)</f>
        <v>0</v>
      </c>
      <c r="AK58" s="792">
        <f>($M58*Costos!$H$8)</f>
        <v>0</v>
      </c>
      <c r="AL58" s="793">
        <f t="shared" si="8"/>
        <v>0</v>
      </c>
      <c r="AM58" s="778">
        <f t="shared" si="9"/>
        <v>0</v>
      </c>
      <c r="AN58" s="790"/>
      <c r="AO58" s="791">
        <f>($N58*Costos!$L$4)</f>
        <v>0</v>
      </c>
      <c r="AP58" s="792">
        <f>($N58*Costos!$I$4)</f>
        <v>0</v>
      </c>
      <c r="AQ58" s="791">
        <f>($N58*Costos!$L$5)</f>
        <v>0</v>
      </c>
      <c r="AR58" s="792">
        <f>($N58*Costos!$I$5)</f>
        <v>0</v>
      </c>
      <c r="AS58" s="791">
        <f>($N58*Costos!$L$6)</f>
        <v>0</v>
      </c>
      <c r="AT58" s="792">
        <f>($N58*Costos!$I$6)</f>
        <v>0</v>
      </c>
      <c r="AU58" s="791">
        <f>($N58*Costos!$L$7)</f>
        <v>0</v>
      </c>
      <c r="AV58" s="792">
        <f>($N58*Costos!$I$7)</f>
        <v>0</v>
      </c>
      <c r="AW58" s="791">
        <f>($N58*Costos!$L$8)</f>
        <v>0</v>
      </c>
      <c r="AX58" s="792">
        <f>($N58*Costos!$I$8)</f>
        <v>0</v>
      </c>
      <c r="AY58" s="793">
        <f t="shared" si="10"/>
        <v>0</v>
      </c>
      <c r="AZ58" s="778">
        <f t="shared" si="11"/>
        <v>0</v>
      </c>
      <c r="BA58" s="586"/>
      <c r="BB58" s="537"/>
    </row>
    <row r="59" spans="1:54" ht="17.399999999999999" thickBot="1" x14ac:dyDescent="0.35">
      <c r="A59" s="689"/>
      <c r="B59" s="576"/>
      <c r="D59" s="529"/>
      <c r="E59" s="546"/>
      <c r="F59" s="546"/>
      <c r="G59" s="546"/>
      <c r="H59" s="546"/>
      <c r="I59" s="546"/>
      <c r="J59" s="460"/>
      <c r="K59" s="460"/>
      <c r="L59" s="566"/>
      <c r="M59" s="566"/>
      <c r="N59" s="567"/>
      <c r="O59" s="487">
        <f>($L59*Costos!$J$4)</f>
        <v>0</v>
      </c>
      <c r="P59" s="488">
        <f>($L59*Costos!$G$4)</f>
        <v>0</v>
      </c>
      <c r="Q59" s="487">
        <f>($L59*Costos!$J$5)</f>
        <v>0</v>
      </c>
      <c r="R59" s="488">
        <f>($L59*Costos!$G$5)</f>
        <v>0</v>
      </c>
      <c r="S59" s="487">
        <f>($L59*Costos!$J$6)</f>
        <v>0</v>
      </c>
      <c r="T59" s="488">
        <f>($L59*Costos!$G$6)</f>
        <v>0</v>
      </c>
      <c r="U59" s="487">
        <f>($L59*Costos!$J$7)</f>
        <v>0</v>
      </c>
      <c r="V59" s="488">
        <f>($L59*Costos!$G$7)</f>
        <v>0</v>
      </c>
      <c r="W59" s="487">
        <f>($L59*Costos!$J$8)</f>
        <v>0</v>
      </c>
      <c r="X59" s="488">
        <f>($L59*Costos!$G$8)</f>
        <v>0</v>
      </c>
      <c r="Y59" s="489">
        <f t="shared" si="6"/>
        <v>0</v>
      </c>
      <c r="Z59" s="778">
        <f t="shared" si="7"/>
        <v>0</v>
      </c>
      <c r="AA59" s="790"/>
      <c r="AB59" s="791">
        <f>($M59*Costos!$K$4)</f>
        <v>0</v>
      </c>
      <c r="AC59" s="792">
        <f>($M59*Costos!$H$4)</f>
        <v>0</v>
      </c>
      <c r="AD59" s="791">
        <f>($M59*Costos!$K$5)</f>
        <v>0</v>
      </c>
      <c r="AE59" s="792">
        <f>($M59*Costos!$H$5)</f>
        <v>0</v>
      </c>
      <c r="AF59" s="791">
        <f>($M59*Costos!$K$6)</f>
        <v>0</v>
      </c>
      <c r="AG59" s="792">
        <f>($M59*Costos!$H$6)</f>
        <v>0</v>
      </c>
      <c r="AH59" s="791">
        <f>($M59*Costos!$K$7)</f>
        <v>0</v>
      </c>
      <c r="AI59" s="792">
        <f>($M59*Costos!$H$7)</f>
        <v>0</v>
      </c>
      <c r="AJ59" s="791">
        <f>($M59*Costos!$K$8)</f>
        <v>0</v>
      </c>
      <c r="AK59" s="792">
        <f>($M59*Costos!$H$8)</f>
        <v>0</v>
      </c>
      <c r="AL59" s="793">
        <f t="shared" si="8"/>
        <v>0</v>
      </c>
      <c r="AM59" s="778">
        <f t="shared" si="9"/>
        <v>0</v>
      </c>
      <c r="AN59" s="790"/>
      <c r="AO59" s="791">
        <f>($N59*Costos!$L$4)</f>
        <v>0</v>
      </c>
      <c r="AP59" s="792">
        <f>($N59*Costos!$I$4)</f>
        <v>0</v>
      </c>
      <c r="AQ59" s="791">
        <f>($N59*Costos!$L$5)</f>
        <v>0</v>
      </c>
      <c r="AR59" s="792">
        <f>($N59*Costos!$I$5)</f>
        <v>0</v>
      </c>
      <c r="AS59" s="791">
        <f>($N59*Costos!$L$6)</f>
        <v>0</v>
      </c>
      <c r="AT59" s="792">
        <f>($N59*Costos!$I$6)</f>
        <v>0</v>
      </c>
      <c r="AU59" s="791">
        <f>($N59*Costos!$L$7)</f>
        <v>0</v>
      </c>
      <c r="AV59" s="792">
        <f>($N59*Costos!$I$7)</f>
        <v>0</v>
      </c>
      <c r="AW59" s="791">
        <f>($N59*Costos!$L$8)</f>
        <v>0</v>
      </c>
      <c r="AX59" s="792">
        <f>($N59*Costos!$I$8)</f>
        <v>0</v>
      </c>
      <c r="AY59" s="793">
        <f t="shared" si="10"/>
        <v>0</v>
      </c>
      <c r="AZ59" s="778">
        <f t="shared" si="11"/>
        <v>0</v>
      </c>
      <c r="BA59" s="586"/>
      <c r="BB59" s="537"/>
    </row>
    <row r="60" spans="1:54" ht="17.399999999999999" thickBot="1" x14ac:dyDescent="0.35">
      <c r="A60" s="689"/>
      <c r="B60" s="576"/>
      <c r="D60" s="529"/>
      <c r="E60" s="546"/>
      <c r="F60" s="546"/>
      <c r="G60" s="546"/>
      <c r="H60" s="546"/>
      <c r="I60" s="546"/>
      <c r="J60" s="460"/>
      <c r="K60" s="460"/>
      <c r="L60" s="566"/>
      <c r="M60" s="566"/>
      <c r="N60" s="567"/>
      <c r="O60" s="487">
        <f>($L60*Costos!$J$4)</f>
        <v>0</v>
      </c>
      <c r="P60" s="488">
        <f>($L60*Costos!$G$4)</f>
        <v>0</v>
      </c>
      <c r="Q60" s="487">
        <f>($L60*Costos!$J$5)</f>
        <v>0</v>
      </c>
      <c r="R60" s="488">
        <f>($L60*Costos!$G$5)</f>
        <v>0</v>
      </c>
      <c r="S60" s="487">
        <f>($L60*Costos!$J$6)</f>
        <v>0</v>
      </c>
      <c r="T60" s="488">
        <f>($L60*Costos!$G$6)</f>
        <v>0</v>
      </c>
      <c r="U60" s="487">
        <f>($L60*Costos!$J$7)</f>
        <v>0</v>
      </c>
      <c r="V60" s="488">
        <f>($L60*Costos!$G$7)</f>
        <v>0</v>
      </c>
      <c r="W60" s="487">
        <f>($L60*Costos!$J$8)</f>
        <v>0</v>
      </c>
      <c r="X60" s="488">
        <f>($L60*Costos!$G$8)</f>
        <v>0</v>
      </c>
      <c r="Y60" s="489">
        <f t="shared" si="6"/>
        <v>0</v>
      </c>
      <c r="Z60" s="778">
        <f t="shared" si="7"/>
        <v>0</v>
      </c>
      <c r="AA60" s="790"/>
      <c r="AB60" s="791">
        <f>($M60*Costos!$K$4)</f>
        <v>0</v>
      </c>
      <c r="AC60" s="792">
        <f>($M60*Costos!$H$4)</f>
        <v>0</v>
      </c>
      <c r="AD60" s="791">
        <f>($M60*Costos!$K$5)</f>
        <v>0</v>
      </c>
      <c r="AE60" s="792">
        <f>($M60*Costos!$H$5)</f>
        <v>0</v>
      </c>
      <c r="AF60" s="791">
        <f>($M60*Costos!$K$6)</f>
        <v>0</v>
      </c>
      <c r="AG60" s="792">
        <f>($M60*Costos!$H$6)</f>
        <v>0</v>
      </c>
      <c r="AH60" s="791">
        <f>($M60*Costos!$K$7)</f>
        <v>0</v>
      </c>
      <c r="AI60" s="792">
        <f>($M60*Costos!$H$7)</f>
        <v>0</v>
      </c>
      <c r="AJ60" s="791">
        <f>($M60*Costos!$K$8)</f>
        <v>0</v>
      </c>
      <c r="AK60" s="792">
        <f>($M60*Costos!$H$8)</f>
        <v>0</v>
      </c>
      <c r="AL60" s="793">
        <f t="shared" si="8"/>
        <v>0</v>
      </c>
      <c r="AM60" s="778">
        <f t="shared" si="9"/>
        <v>0</v>
      </c>
      <c r="AN60" s="790"/>
      <c r="AO60" s="791">
        <f>($N60*Costos!$L$4)</f>
        <v>0</v>
      </c>
      <c r="AP60" s="792">
        <f>($N60*Costos!$I$4)</f>
        <v>0</v>
      </c>
      <c r="AQ60" s="791">
        <f>($N60*Costos!$L$5)</f>
        <v>0</v>
      </c>
      <c r="AR60" s="792">
        <f>($N60*Costos!$I$5)</f>
        <v>0</v>
      </c>
      <c r="AS60" s="791">
        <f>($N60*Costos!$L$6)</f>
        <v>0</v>
      </c>
      <c r="AT60" s="792">
        <f>($N60*Costos!$I$6)</f>
        <v>0</v>
      </c>
      <c r="AU60" s="791">
        <f>($N60*Costos!$L$7)</f>
        <v>0</v>
      </c>
      <c r="AV60" s="792">
        <f>($N60*Costos!$I$7)</f>
        <v>0</v>
      </c>
      <c r="AW60" s="791">
        <f>($N60*Costos!$L$8)</f>
        <v>0</v>
      </c>
      <c r="AX60" s="792">
        <f>($N60*Costos!$I$8)</f>
        <v>0</v>
      </c>
      <c r="AY60" s="793">
        <f t="shared" si="10"/>
        <v>0</v>
      </c>
      <c r="AZ60" s="778">
        <f t="shared" si="11"/>
        <v>0</v>
      </c>
      <c r="BA60" s="586"/>
      <c r="BB60" s="537"/>
    </row>
    <row r="61" spans="1:54" ht="17.399999999999999" thickBot="1" x14ac:dyDescent="0.35">
      <c r="A61" s="689"/>
      <c r="B61" s="576"/>
      <c r="D61" s="529"/>
      <c r="E61" s="546"/>
      <c r="F61" s="546"/>
      <c r="G61" s="546"/>
      <c r="H61" s="546"/>
      <c r="I61" s="546"/>
      <c r="J61" s="460"/>
      <c r="K61" s="460"/>
      <c r="L61" s="566"/>
      <c r="M61" s="566"/>
      <c r="N61" s="567"/>
      <c r="O61" s="487">
        <f>($L61*Costos!$J$4)</f>
        <v>0</v>
      </c>
      <c r="P61" s="488">
        <f>($L61*Costos!$G$4)</f>
        <v>0</v>
      </c>
      <c r="Q61" s="487">
        <f>($L61*Costos!$J$5)</f>
        <v>0</v>
      </c>
      <c r="R61" s="488">
        <f>($L61*Costos!$G$5)</f>
        <v>0</v>
      </c>
      <c r="S61" s="487">
        <f>($L61*Costos!$J$6)</f>
        <v>0</v>
      </c>
      <c r="T61" s="488">
        <f>($L61*Costos!$G$6)</f>
        <v>0</v>
      </c>
      <c r="U61" s="487">
        <f>($L61*Costos!$J$7)</f>
        <v>0</v>
      </c>
      <c r="V61" s="488">
        <f>($L61*Costos!$G$7)</f>
        <v>0</v>
      </c>
      <c r="W61" s="487">
        <f>($L61*Costos!$J$8)</f>
        <v>0</v>
      </c>
      <c r="X61" s="488">
        <f>($L61*Costos!$G$8)</f>
        <v>0</v>
      </c>
      <c r="Y61" s="489">
        <f t="shared" si="6"/>
        <v>0</v>
      </c>
      <c r="Z61" s="778">
        <f t="shared" si="7"/>
        <v>0</v>
      </c>
      <c r="AA61" s="790"/>
      <c r="AB61" s="791">
        <f>($M61*Costos!$K$4)</f>
        <v>0</v>
      </c>
      <c r="AC61" s="792">
        <f>($M61*Costos!$H$4)</f>
        <v>0</v>
      </c>
      <c r="AD61" s="791">
        <f>($M61*Costos!$K$5)</f>
        <v>0</v>
      </c>
      <c r="AE61" s="792">
        <f>($M61*Costos!$H$5)</f>
        <v>0</v>
      </c>
      <c r="AF61" s="791">
        <f>($M61*Costos!$K$6)</f>
        <v>0</v>
      </c>
      <c r="AG61" s="792">
        <f>($M61*Costos!$H$6)</f>
        <v>0</v>
      </c>
      <c r="AH61" s="791">
        <f>($M61*Costos!$K$7)</f>
        <v>0</v>
      </c>
      <c r="AI61" s="792">
        <f>($M61*Costos!$H$7)</f>
        <v>0</v>
      </c>
      <c r="AJ61" s="791">
        <f>($M61*Costos!$K$8)</f>
        <v>0</v>
      </c>
      <c r="AK61" s="792">
        <f>($M61*Costos!$H$8)</f>
        <v>0</v>
      </c>
      <c r="AL61" s="793">
        <f t="shared" si="8"/>
        <v>0</v>
      </c>
      <c r="AM61" s="778">
        <f t="shared" si="9"/>
        <v>0</v>
      </c>
      <c r="AN61" s="790"/>
      <c r="AO61" s="791">
        <f>($N61*Costos!$L$4)</f>
        <v>0</v>
      </c>
      <c r="AP61" s="792">
        <f>($N61*Costos!$I$4)</f>
        <v>0</v>
      </c>
      <c r="AQ61" s="791">
        <f>($N61*Costos!$L$5)</f>
        <v>0</v>
      </c>
      <c r="AR61" s="792">
        <f>($N61*Costos!$I$5)</f>
        <v>0</v>
      </c>
      <c r="AS61" s="791">
        <f>($N61*Costos!$L$6)</f>
        <v>0</v>
      </c>
      <c r="AT61" s="792">
        <f>($N61*Costos!$I$6)</f>
        <v>0</v>
      </c>
      <c r="AU61" s="791">
        <f>($N61*Costos!$L$7)</f>
        <v>0</v>
      </c>
      <c r="AV61" s="792">
        <f>($N61*Costos!$I$7)</f>
        <v>0</v>
      </c>
      <c r="AW61" s="791">
        <f>($N61*Costos!$L$8)</f>
        <v>0</v>
      </c>
      <c r="AX61" s="792">
        <f>($N61*Costos!$I$8)</f>
        <v>0</v>
      </c>
      <c r="AY61" s="793">
        <f t="shared" si="10"/>
        <v>0</v>
      </c>
      <c r="AZ61" s="778">
        <f t="shared" si="11"/>
        <v>0</v>
      </c>
      <c r="BA61" s="586"/>
      <c r="BB61" s="537"/>
    </row>
    <row r="62" spans="1:54" ht="17.399999999999999" thickBot="1" x14ac:dyDescent="0.35">
      <c r="A62" s="689"/>
      <c r="B62" s="576"/>
      <c r="D62" s="529"/>
      <c r="E62" s="546"/>
      <c r="F62" s="546"/>
      <c r="G62" s="546"/>
      <c r="H62" s="546"/>
      <c r="I62" s="546"/>
      <c r="J62" s="460"/>
      <c r="K62" s="460"/>
      <c r="L62" s="566"/>
      <c r="M62" s="566"/>
      <c r="N62" s="567"/>
      <c r="O62" s="487">
        <f>($L62*Costos!$J$4)</f>
        <v>0</v>
      </c>
      <c r="P62" s="488">
        <f>($L62*Costos!$G$4)</f>
        <v>0</v>
      </c>
      <c r="Q62" s="487">
        <f>($L62*Costos!$J$5)</f>
        <v>0</v>
      </c>
      <c r="R62" s="488">
        <f>($L62*Costos!$G$5)</f>
        <v>0</v>
      </c>
      <c r="S62" s="487">
        <f>($L62*Costos!$J$6)</f>
        <v>0</v>
      </c>
      <c r="T62" s="488">
        <f>($L62*Costos!$G$6)</f>
        <v>0</v>
      </c>
      <c r="U62" s="487">
        <f>($L62*Costos!$J$7)</f>
        <v>0</v>
      </c>
      <c r="V62" s="488">
        <f>($L62*Costos!$G$7)</f>
        <v>0</v>
      </c>
      <c r="W62" s="487">
        <f>($L62*Costos!$J$8)</f>
        <v>0</v>
      </c>
      <c r="X62" s="488">
        <f>($L62*Costos!$G$8)</f>
        <v>0</v>
      </c>
      <c r="Y62" s="489">
        <f t="shared" si="6"/>
        <v>0</v>
      </c>
      <c r="Z62" s="778">
        <f t="shared" si="7"/>
        <v>0</v>
      </c>
      <c r="AA62" s="790"/>
      <c r="AB62" s="791">
        <f>($M62*Costos!$K$4)</f>
        <v>0</v>
      </c>
      <c r="AC62" s="792">
        <f>($M62*Costos!$H$4)</f>
        <v>0</v>
      </c>
      <c r="AD62" s="791">
        <f>($M62*Costos!$K$5)</f>
        <v>0</v>
      </c>
      <c r="AE62" s="792">
        <f>($M62*Costos!$H$5)</f>
        <v>0</v>
      </c>
      <c r="AF62" s="791">
        <f>($M62*Costos!$K$6)</f>
        <v>0</v>
      </c>
      <c r="AG62" s="792">
        <f>($M62*Costos!$H$6)</f>
        <v>0</v>
      </c>
      <c r="AH62" s="791">
        <f>($M62*Costos!$K$7)</f>
        <v>0</v>
      </c>
      <c r="AI62" s="792">
        <f>($M62*Costos!$H$7)</f>
        <v>0</v>
      </c>
      <c r="AJ62" s="791">
        <f>($M62*Costos!$K$8)</f>
        <v>0</v>
      </c>
      <c r="AK62" s="792">
        <f>($M62*Costos!$H$8)</f>
        <v>0</v>
      </c>
      <c r="AL62" s="793">
        <f t="shared" si="8"/>
        <v>0</v>
      </c>
      <c r="AM62" s="778">
        <f t="shared" si="9"/>
        <v>0</v>
      </c>
      <c r="AN62" s="790"/>
      <c r="AO62" s="791">
        <f>($N62*Costos!$L$4)</f>
        <v>0</v>
      </c>
      <c r="AP62" s="792">
        <f>($N62*Costos!$I$4)</f>
        <v>0</v>
      </c>
      <c r="AQ62" s="791">
        <f>($N62*Costos!$L$5)</f>
        <v>0</v>
      </c>
      <c r="AR62" s="792">
        <f>($N62*Costos!$I$5)</f>
        <v>0</v>
      </c>
      <c r="AS62" s="791">
        <f>($N62*Costos!$L$6)</f>
        <v>0</v>
      </c>
      <c r="AT62" s="792">
        <f>($N62*Costos!$I$6)</f>
        <v>0</v>
      </c>
      <c r="AU62" s="791">
        <f>($N62*Costos!$L$7)</f>
        <v>0</v>
      </c>
      <c r="AV62" s="792">
        <f>($N62*Costos!$I$7)</f>
        <v>0</v>
      </c>
      <c r="AW62" s="791">
        <f>($N62*Costos!$L$8)</f>
        <v>0</v>
      </c>
      <c r="AX62" s="792">
        <f>($N62*Costos!$I$8)</f>
        <v>0</v>
      </c>
      <c r="AY62" s="793">
        <f t="shared" si="10"/>
        <v>0</v>
      </c>
      <c r="AZ62" s="778">
        <f t="shared" si="11"/>
        <v>0</v>
      </c>
      <c r="BA62" s="586"/>
      <c r="BB62" s="537"/>
    </row>
    <row r="63" spans="1:54" ht="17.399999999999999" thickBot="1" x14ac:dyDescent="0.35">
      <c r="A63" s="689"/>
      <c r="B63" s="576"/>
      <c r="D63" s="531"/>
      <c r="E63" s="546"/>
      <c r="F63" s="546"/>
      <c r="G63" s="546"/>
      <c r="H63" s="546"/>
      <c r="I63" s="546"/>
      <c r="J63" s="460"/>
      <c r="K63" s="460"/>
      <c r="L63" s="566"/>
      <c r="M63" s="566"/>
      <c r="N63" s="567"/>
      <c r="O63" s="487">
        <f>($L63*Costos!$J$4)</f>
        <v>0</v>
      </c>
      <c r="P63" s="488">
        <f>($L63*Costos!$G$4)</f>
        <v>0</v>
      </c>
      <c r="Q63" s="487">
        <f>($L63*Costos!$J$5)</f>
        <v>0</v>
      </c>
      <c r="R63" s="488">
        <f>($L63*Costos!$G$5)</f>
        <v>0</v>
      </c>
      <c r="S63" s="487">
        <f>($L63*Costos!$J$6)</f>
        <v>0</v>
      </c>
      <c r="T63" s="488">
        <f>($L63*Costos!$G$6)</f>
        <v>0</v>
      </c>
      <c r="U63" s="487">
        <f>($L63*Costos!$J$7)</f>
        <v>0</v>
      </c>
      <c r="V63" s="488">
        <f>($L63*Costos!$G$7)</f>
        <v>0</v>
      </c>
      <c r="W63" s="487">
        <f>($L63*Costos!$J$8)</f>
        <v>0</v>
      </c>
      <c r="X63" s="488">
        <f>($L63*Costos!$G$8)</f>
        <v>0</v>
      </c>
      <c r="Y63" s="489">
        <f t="shared" si="6"/>
        <v>0</v>
      </c>
      <c r="Z63" s="778">
        <f t="shared" si="7"/>
        <v>0</v>
      </c>
      <c r="AA63" s="790"/>
      <c r="AB63" s="791">
        <f>($M63*Costos!$K$4)</f>
        <v>0</v>
      </c>
      <c r="AC63" s="792">
        <f>($M63*Costos!$H$4)</f>
        <v>0</v>
      </c>
      <c r="AD63" s="791">
        <f>($M63*Costos!$K$5)</f>
        <v>0</v>
      </c>
      <c r="AE63" s="792">
        <f>($M63*Costos!$H$5)</f>
        <v>0</v>
      </c>
      <c r="AF63" s="791">
        <f>($M63*Costos!$K$6)</f>
        <v>0</v>
      </c>
      <c r="AG63" s="792">
        <f>($M63*Costos!$H$6)</f>
        <v>0</v>
      </c>
      <c r="AH63" s="791">
        <f>($M63*Costos!$K$7)</f>
        <v>0</v>
      </c>
      <c r="AI63" s="792">
        <f>($M63*Costos!$H$7)</f>
        <v>0</v>
      </c>
      <c r="AJ63" s="791">
        <f>($M63*Costos!$K$8)</f>
        <v>0</v>
      </c>
      <c r="AK63" s="792">
        <f>($M63*Costos!$H$8)</f>
        <v>0</v>
      </c>
      <c r="AL63" s="793">
        <f t="shared" si="8"/>
        <v>0</v>
      </c>
      <c r="AM63" s="778">
        <f t="shared" si="9"/>
        <v>0</v>
      </c>
      <c r="AN63" s="790"/>
      <c r="AO63" s="791">
        <f>($N63*Costos!$L$4)</f>
        <v>0</v>
      </c>
      <c r="AP63" s="792">
        <f>($N63*Costos!$I$4)</f>
        <v>0</v>
      </c>
      <c r="AQ63" s="791">
        <f>($N63*Costos!$L$5)</f>
        <v>0</v>
      </c>
      <c r="AR63" s="792">
        <f>($N63*Costos!$I$5)</f>
        <v>0</v>
      </c>
      <c r="AS63" s="791">
        <f>($N63*Costos!$L$6)</f>
        <v>0</v>
      </c>
      <c r="AT63" s="792">
        <f>($N63*Costos!$I$6)</f>
        <v>0</v>
      </c>
      <c r="AU63" s="791">
        <f>($N63*Costos!$L$7)</f>
        <v>0</v>
      </c>
      <c r="AV63" s="792">
        <f>($N63*Costos!$I$7)</f>
        <v>0</v>
      </c>
      <c r="AW63" s="791">
        <f>($N63*Costos!$L$8)</f>
        <v>0</v>
      </c>
      <c r="AX63" s="792">
        <f>($N63*Costos!$I$8)</f>
        <v>0</v>
      </c>
      <c r="AY63" s="793">
        <f t="shared" si="10"/>
        <v>0</v>
      </c>
      <c r="AZ63" s="778">
        <f t="shared" si="11"/>
        <v>0</v>
      </c>
      <c r="BA63" s="586"/>
      <c r="BB63" s="537"/>
    </row>
    <row r="64" spans="1:54" ht="17.399999999999999" thickBot="1" x14ac:dyDescent="0.35">
      <c r="A64" s="689"/>
      <c r="B64" s="576"/>
      <c r="D64" s="529"/>
      <c r="E64" s="546"/>
      <c r="F64" s="546"/>
      <c r="G64" s="546"/>
      <c r="H64" s="546"/>
      <c r="I64" s="546"/>
      <c r="J64" s="460"/>
      <c r="K64" s="460"/>
      <c r="L64" s="566"/>
      <c r="M64" s="566"/>
      <c r="N64" s="567"/>
      <c r="O64" s="487">
        <f>($L64*Costos!$J$4)</f>
        <v>0</v>
      </c>
      <c r="P64" s="488">
        <f>($L64*Costos!$G$4)</f>
        <v>0</v>
      </c>
      <c r="Q64" s="487">
        <f>($L64*Costos!$J$5)</f>
        <v>0</v>
      </c>
      <c r="R64" s="488">
        <f>($L64*Costos!$G$5)</f>
        <v>0</v>
      </c>
      <c r="S64" s="487">
        <f>($L64*Costos!$J$6)</f>
        <v>0</v>
      </c>
      <c r="T64" s="488">
        <f>($L64*Costos!$G$6)</f>
        <v>0</v>
      </c>
      <c r="U64" s="487">
        <f>($L64*Costos!$J$7)</f>
        <v>0</v>
      </c>
      <c r="V64" s="488">
        <f>($L64*Costos!$G$7)</f>
        <v>0</v>
      </c>
      <c r="W64" s="487">
        <f>($L64*Costos!$J$8)</f>
        <v>0</v>
      </c>
      <c r="X64" s="488">
        <f>($L64*Costos!$G$8)</f>
        <v>0</v>
      </c>
      <c r="Y64" s="489">
        <f t="shared" si="6"/>
        <v>0</v>
      </c>
      <c r="Z64" s="778">
        <f t="shared" si="7"/>
        <v>0</v>
      </c>
      <c r="AA64" s="790"/>
      <c r="AB64" s="791">
        <f>($M64*Costos!$K$4)</f>
        <v>0</v>
      </c>
      <c r="AC64" s="792">
        <f>($M64*Costos!$H$4)</f>
        <v>0</v>
      </c>
      <c r="AD64" s="791">
        <f>($M64*Costos!$K$5)</f>
        <v>0</v>
      </c>
      <c r="AE64" s="792">
        <f>($M64*Costos!$H$5)</f>
        <v>0</v>
      </c>
      <c r="AF64" s="791">
        <f>($M64*Costos!$K$6)</f>
        <v>0</v>
      </c>
      <c r="AG64" s="792">
        <f>($M64*Costos!$H$6)</f>
        <v>0</v>
      </c>
      <c r="AH64" s="791">
        <f>($M64*Costos!$K$7)</f>
        <v>0</v>
      </c>
      <c r="AI64" s="792">
        <f>($M64*Costos!$H$7)</f>
        <v>0</v>
      </c>
      <c r="AJ64" s="791">
        <f>($M64*Costos!$K$8)</f>
        <v>0</v>
      </c>
      <c r="AK64" s="792">
        <f>($M64*Costos!$H$8)</f>
        <v>0</v>
      </c>
      <c r="AL64" s="793">
        <f t="shared" si="8"/>
        <v>0</v>
      </c>
      <c r="AM64" s="778">
        <f t="shared" si="9"/>
        <v>0</v>
      </c>
      <c r="AN64" s="790"/>
      <c r="AO64" s="791">
        <f>($N64*Costos!$L$4)</f>
        <v>0</v>
      </c>
      <c r="AP64" s="792">
        <f>($N64*Costos!$I$4)</f>
        <v>0</v>
      </c>
      <c r="AQ64" s="791">
        <f>($N64*Costos!$L$5)</f>
        <v>0</v>
      </c>
      <c r="AR64" s="792">
        <f>($N64*Costos!$I$5)</f>
        <v>0</v>
      </c>
      <c r="AS64" s="791">
        <f>($N64*Costos!$L$6)</f>
        <v>0</v>
      </c>
      <c r="AT64" s="792">
        <f>($N64*Costos!$I$6)</f>
        <v>0</v>
      </c>
      <c r="AU64" s="791">
        <f>($N64*Costos!$L$7)</f>
        <v>0</v>
      </c>
      <c r="AV64" s="792">
        <f>($N64*Costos!$I$7)</f>
        <v>0</v>
      </c>
      <c r="AW64" s="791">
        <f>($N64*Costos!$L$8)</f>
        <v>0</v>
      </c>
      <c r="AX64" s="792">
        <f>($N64*Costos!$I$8)</f>
        <v>0</v>
      </c>
      <c r="AY64" s="793">
        <f t="shared" si="10"/>
        <v>0</v>
      </c>
      <c r="AZ64" s="778">
        <f t="shared" si="11"/>
        <v>0</v>
      </c>
      <c r="BA64" s="586"/>
      <c r="BB64" s="537"/>
    </row>
    <row r="65" spans="1:56" ht="17.399999999999999" thickBot="1" x14ac:dyDescent="0.35">
      <c r="A65" s="689"/>
      <c r="B65" s="576"/>
      <c r="D65" s="529"/>
      <c r="E65" s="546"/>
      <c r="F65" s="546"/>
      <c r="G65" s="546"/>
      <c r="H65" s="546"/>
      <c r="I65" s="546"/>
      <c r="J65" s="460"/>
      <c r="K65" s="460"/>
      <c r="L65" s="566"/>
      <c r="M65" s="566"/>
      <c r="N65" s="567"/>
      <c r="O65" s="487">
        <f>($L65*Costos!$J$4)</f>
        <v>0</v>
      </c>
      <c r="P65" s="488">
        <f>($L65*Costos!$G$4)</f>
        <v>0</v>
      </c>
      <c r="Q65" s="487">
        <f>($L65*Costos!$J$5)</f>
        <v>0</v>
      </c>
      <c r="R65" s="488">
        <f>($L65*Costos!$G$5)</f>
        <v>0</v>
      </c>
      <c r="S65" s="487">
        <f>($L65*Costos!$J$6)</f>
        <v>0</v>
      </c>
      <c r="T65" s="488">
        <f>($L65*Costos!$G$6)</f>
        <v>0</v>
      </c>
      <c r="U65" s="487">
        <f>($L65*Costos!$J$7)</f>
        <v>0</v>
      </c>
      <c r="V65" s="488">
        <f>($L65*Costos!$G$7)</f>
        <v>0</v>
      </c>
      <c r="W65" s="487">
        <f>($L65*Costos!$J$8)</f>
        <v>0</v>
      </c>
      <c r="X65" s="488">
        <f>($L65*Costos!$G$8)</f>
        <v>0</v>
      </c>
      <c r="Y65" s="489">
        <f t="shared" si="6"/>
        <v>0</v>
      </c>
      <c r="Z65" s="778">
        <f t="shared" si="7"/>
        <v>0</v>
      </c>
      <c r="AA65" s="790"/>
      <c r="AB65" s="791">
        <f>($M65*Costos!$K$4)</f>
        <v>0</v>
      </c>
      <c r="AC65" s="792">
        <f>($M65*Costos!$H$4)</f>
        <v>0</v>
      </c>
      <c r="AD65" s="791">
        <f>($M65*Costos!$K$5)</f>
        <v>0</v>
      </c>
      <c r="AE65" s="792">
        <f>($M65*Costos!$H$5)</f>
        <v>0</v>
      </c>
      <c r="AF65" s="791">
        <f>($M65*Costos!$K$6)</f>
        <v>0</v>
      </c>
      <c r="AG65" s="792">
        <f>($M65*Costos!$H$6)</f>
        <v>0</v>
      </c>
      <c r="AH65" s="791">
        <f>($M65*Costos!$K$7)</f>
        <v>0</v>
      </c>
      <c r="AI65" s="792">
        <f>($M65*Costos!$H$7)</f>
        <v>0</v>
      </c>
      <c r="AJ65" s="791">
        <f>($M65*Costos!$K$8)</f>
        <v>0</v>
      </c>
      <c r="AK65" s="792">
        <f>($M65*Costos!$H$8)</f>
        <v>0</v>
      </c>
      <c r="AL65" s="793">
        <f t="shared" si="8"/>
        <v>0</v>
      </c>
      <c r="AM65" s="778">
        <f t="shared" si="9"/>
        <v>0</v>
      </c>
      <c r="AN65" s="790"/>
      <c r="AO65" s="791">
        <f>($N65*Costos!$L$4)</f>
        <v>0</v>
      </c>
      <c r="AP65" s="792">
        <f>($N65*Costos!$I$4)</f>
        <v>0</v>
      </c>
      <c r="AQ65" s="791">
        <f>($N65*Costos!$L$5)</f>
        <v>0</v>
      </c>
      <c r="AR65" s="792">
        <f>($N65*Costos!$I$5)</f>
        <v>0</v>
      </c>
      <c r="AS65" s="791">
        <f>($N65*Costos!$L$6)</f>
        <v>0</v>
      </c>
      <c r="AT65" s="792">
        <f>($N65*Costos!$I$6)</f>
        <v>0</v>
      </c>
      <c r="AU65" s="791">
        <f>($N65*Costos!$L$7)</f>
        <v>0</v>
      </c>
      <c r="AV65" s="792">
        <f>($N65*Costos!$I$7)</f>
        <v>0</v>
      </c>
      <c r="AW65" s="791">
        <f>($N65*Costos!$L$8)</f>
        <v>0</v>
      </c>
      <c r="AX65" s="792">
        <f>($N65*Costos!$I$8)</f>
        <v>0</v>
      </c>
      <c r="AY65" s="793">
        <f t="shared" si="10"/>
        <v>0</v>
      </c>
      <c r="AZ65" s="778">
        <f t="shared" si="11"/>
        <v>0</v>
      </c>
      <c r="BA65" s="586"/>
      <c r="BB65" s="537"/>
    </row>
    <row r="66" spans="1:56" ht="17.399999999999999" thickBot="1" x14ac:dyDescent="0.35">
      <c r="A66" s="689"/>
      <c r="B66" s="576"/>
      <c r="D66" s="529"/>
      <c r="E66" s="546"/>
      <c r="F66" s="546"/>
      <c r="G66" s="546"/>
      <c r="H66" s="546"/>
      <c r="I66" s="546"/>
      <c r="J66" s="460"/>
      <c r="K66" s="460"/>
      <c r="L66" s="566"/>
      <c r="M66" s="566"/>
      <c r="N66" s="567"/>
      <c r="O66" s="487">
        <f>($L66*Costos!$J$4)</f>
        <v>0</v>
      </c>
      <c r="P66" s="488">
        <f>($L66*Costos!$G$4)</f>
        <v>0</v>
      </c>
      <c r="Q66" s="487">
        <f>($L66*Costos!$J$5)</f>
        <v>0</v>
      </c>
      <c r="R66" s="488">
        <f>($L66*Costos!$G$5)</f>
        <v>0</v>
      </c>
      <c r="S66" s="487">
        <f>($L66*Costos!$J$6)</f>
        <v>0</v>
      </c>
      <c r="T66" s="488">
        <f>($L66*Costos!$G$6)</f>
        <v>0</v>
      </c>
      <c r="U66" s="487">
        <f>($L66*Costos!$J$7)</f>
        <v>0</v>
      </c>
      <c r="V66" s="488">
        <f>($L66*Costos!$G$7)</f>
        <v>0</v>
      </c>
      <c r="W66" s="487">
        <f>($L66*Costos!$J$8)</f>
        <v>0</v>
      </c>
      <c r="X66" s="488">
        <f>($L66*Costos!$G$8)</f>
        <v>0</v>
      </c>
      <c r="Y66" s="489">
        <f t="shared" si="6"/>
        <v>0</v>
      </c>
      <c r="Z66" s="778">
        <f t="shared" si="7"/>
        <v>0</v>
      </c>
      <c r="AA66" s="790"/>
      <c r="AB66" s="791">
        <f>($M66*Costos!$K$4)</f>
        <v>0</v>
      </c>
      <c r="AC66" s="792">
        <f>($M66*Costos!$H$4)</f>
        <v>0</v>
      </c>
      <c r="AD66" s="791">
        <f>($M66*Costos!$K$5)</f>
        <v>0</v>
      </c>
      <c r="AE66" s="792">
        <f>($M66*Costos!$H$5)</f>
        <v>0</v>
      </c>
      <c r="AF66" s="791">
        <f>($M66*Costos!$K$6)</f>
        <v>0</v>
      </c>
      <c r="AG66" s="792">
        <f>($M66*Costos!$H$6)</f>
        <v>0</v>
      </c>
      <c r="AH66" s="791">
        <f>($M66*Costos!$K$7)</f>
        <v>0</v>
      </c>
      <c r="AI66" s="792">
        <f>($M66*Costos!$H$7)</f>
        <v>0</v>
      </c>
      <c r="AJ66" s="791">
        <f>($M66*Costos!$K$8)</f>
        <v>0</v>
      </c>
      <c r="AK66" s="792">
        <f>($M66*Costos!$H$8)</f>
        <v>0</v>
      </c>
      <c r="AL66" s="793">
        <f t="shared" si="8"/>
        <v>0</v>
      </c>
      <c r="AM66" s="778">
        <f t="shared" si="9"/>
        <v>0</v>
      </c>
      <c r="AN66" s="790"/>
      <c r="AO66" s="791">
        <f>($N66*Costos!$L$4)</f>
        <v>0</v>
      </c>
      <c r="AP66" s="792">
        <f>($N66*Costos!$I$4)</f>
        <v>0</v>
      </c>
      <c r="AQ66" s="791">
        <f>($N66*Costos!$L$5)</f>
        <v>0</v>
      </c>
      <c r="AR66" s="792">
        <f>($N66*Costos!$I$5)</f>
        <v>0</v>
      </c>
      <c r="AS66" s="791">
        <f>($N66*Costos!$L$6)</f>
        <v>0</v>
      </c>
      <c r="AT66" s="792">
        <f>($N66*Costos!$I$6)</f>
        <v>0</v>
      </c>
      <c r="AU66" s="791">
        <f>($N66*Costos!$L$7)</f>
        <v>0</v>
      </c>
      <c r="AV66" s="792">
        <f>($N66*Costos!$I$7)</f>
        <v>0</v>
      </c>
      <c r="AW66" s="791">
        <f>($N66*Costos!$L$8)</f>
        <v>0</v>
      </c>
      <c r="AX66" s="792">
        <f>($N66*Costos!$I$8)</f>
        <v>0</v>
      </c>
      <c r="AY66" s="793">
        <f t="shared" si="10"/>
        <v>0</v>
      </c>
      <c r="AZ66" s="778">
        <f t="shared" si="11"/>
        <v>0</v>
      </c>
      <c r="BA66" s="586"/>
      <c r="BB66" s="537"/>
    </row>
    <row r="67" spans="1:56" ht="17.399999999999999" thickBot="1" x14ac:dyDescent="0.35">
      <c r="A67" s="689"/>
      <c r="B67" s="576"/>
      <c r="D67" s="529"/>
      <c r="E67" s="546"/>
      <c r="F67" s="546"/>
      <c r="G67" s="546"/>
      <c r="H67" s="546"/>
      <c r="I67" s="546"/>
      <c r="J67" s="460"/>
      <c r="K67" s="460"/>
      <c r="L67" s="566"/>
      <c r="M67" s="566"/>
      <c r="N67" s="567"/>
      <c r="O67" s="487">
        <f>($L67*Costos!$J$4)</f>
        <v>0</v>
      </c>
      <c r="P67" s="488">
        <f>($L67*Costos!$G$4)</f>
        <v>0</v>
      </c>
      <c r="Q67" s="487">
        <f>($L67*Costos!$J$5)</f>
        <v>0</v>
      </c>
      <c r="R67" s="488">
        <f>($L67*Costos!$G$5)</f>
        <v>0</v>
      </c>
      <c r="S67" s="487">
        <f>($L67*Costos!$J$6)</f>
        <v>0</v>
      </c>
      <c r="T67" s="488">
        <f>($L67*Costos!$G$6)</f>
        <v>0</v>
      </c>
      <c r="U67" s="487">
        <f>($L67*Costos!$J$7)</f>
        <v>0</v>
      </c>
      <c r="V67" s="488">
        <f>($L67*Costos!$G$7)</f>
        <v>0</v>
      </c>
      <c r="W67" s="487">
        <f>($L67*Costos!$J$8)</f>
        <v>0</v>
      </c>
      <c r="X67" s="488">
        <f>($L67*Costos!$G$8)</f>
        <v>0</v>
      </c>
      <c r="Y67" s="489">
        <f t="shared" si="6"/>
        <v>0</v>
      </c>
      <c r="Z67" s="778">
        <f t="shared" si="7"/>
        <v>0</v>
      </c>
      <c r="AA67" s="790"/>
      <c r="AB67" s="791">
        <f>($M67*Costos!$K$4)</f>
        <v>0</v>
      </c>
      <c r="AC67" s="792">
        <f>($M67*Costos!$H$4)</f>
        <v>0</v>
      </c>
      <c r="AD67" s="791">
        <f>($M67*Costos!$K$5)</f>
        <v>0</v>
      </c>
      <c r="AE67" s="792">
        <f>($M67*Costos!$H$5)</f>
        <v>0</v>
      </c>
      <c r="AF67" s="791">
        <f>($M67*Costos!$K$6)</f>
        <v>0</v>
      </c>
      <c r="AG67" s="792">
        <f>($M67*Costos!$H$6)</f>
        <v>0</v>
      </c>
      <c r="AH67" s="791">
        <f>($M67*Costos!$K$7)</f>
        <v>0</v>
      </c>
      <c r="AI67" s="792">
        <f>($M67*Costos!$H$7)</f>
        <v>0</v>
      </c>
      <c r="AJ67" s="791">
        <f>($M67*Costos!$K$8)</f>
        <v>0</v>
      </c>
      <c r="AK67" s="792">
        <f>($M67*Costos!$H$8)</f>
        <v>0</v>
      </c>
      <c r="AL67" s="793">
        <f t="shared" si="8"/>
        <v>0</v>
      </c>
      <c r="AM67" s="778">
        <f t="shared" si="9"/>
        <v>0</v>
      </c>
      <c r="AN67" s="790"/>
      <c r="AO67" s="791">
        <f>($N67*Costos!$L$4)</f>
        <v>0</v>
      </c>
      <c r="AP67" s="792">
        <f>($N67*Costos!$I$4)</f>
        <v>0</v>
      </c>
      <c r="AQ67" s="791">
        <f>($N67*Costos!$L$5)</f>
        <v>0</v>
      </c>
      <c r="AR67" s="792">
        <f>($N67*Costos!$I$5)</f>
        <v>0</v>
      </c>
      <c r="AS67" s="791">
        <f>($N67*Costos!$L$6)</f>
        <v>0</v>
      </c>
      <c r="AT67" s="792">
        <f>($N67*Costos!$I$6)</f>
        <v>0</v>
      </c>
      <c r="AU67" s="791">
        <f>($N67*Costos!$L$7)</f>
        <v>0</v>
      </c>
      <c r="AV67" s="792">
        <f>($N67*Costos!$I$7)</f>
        <v>0</v>
      </c>
      <c r="AW67" s="791">
        <f>($N67*Costos!$L$8)</f>
        <v>0</v>
      </c>
      <c r="AX67" s="792">
        <f>($N67*Costos!$I$8)</f>
        <v>0</v>
      </c>
      <c r="AY67" s="793">
        <f t="shared" si="10"/>
        <v>0</v>
      </c>
      <c r="AZ67" s="778">
        <f t="shared" si="11"/>
        <v>0</v>
      </c>
      <c r="BA67" s="586"/>
      <c r="BB67" s="537"/>
    </row>
    <row r="68" spans="1:56" ht="17.399999999999999" thickBot="1" x14ac:dyDescent="0.35">
      <c r="A68" s="689"/>
      <c r="B68" s="576"/>
      <c r="D68" s="529"/>
      <c r="E68" s="546"/>
      <c r="F68" s="546"/>
      <c r="G68" s="546"/>
      <c r="H68" s="546"/>
      <c r="I68" s="546"/>
      <c r="J68" s="460"/>
      <c r="K68" s="460"/>
      <c r="L68" s="566"/>
      <c r="M68" s="566"/>
      <c r="N68" s="567"/>
      <c r="O68" s="487">
        <f>($L68*Costos!$J$4)</f>
        <v>0</v>
      </c>
      <c r="P68" s="488">
        <f>($L68*Costos!$G$4)</f>
        <v>0</v>
      </c>
      <c r="Q68" s="487">
        <f>($L68*Costos!$J$5)</f>
        <v>0</v>
      </c>
      <c r="R68" s="488">
        <f>($L68*Costos!$G$5)</f>
        <v>0</v>
      </c>
      <c r="S68" s="487">
        <f>($L68*Costos!$J$6)</f>
        <v>0</v>
      </c>
      <c r="T68" s="488">
        <f>($L68*Costos!$G$6)</f>
        <v>0</v>
      </c>
      <c r="U68" s="487">
        <f>($L68*Costos!$J$7)</f>
        <v>0</v>
      </c>
      <c r="V68" s="488">
        <f>($L68*Costos!$G$7)</f>
        <v>0</v>
      </c>
      <c r="W68" s="487">
        <f>($L68*Costos!$J$8)</f>
        <v>0</v>
      </c>
      <c r="X68" s="488">
        <f>($L68*Costos!$G$8)</f>
        <v>0</v>
      </c>
      <c r="Y68" s="489">
        <f t="shared" si="6"/>
        <v>0</v>
      </c>
      <c r="Z68" s="778">
        <f t="shared" si="7"/>
        <v>0</v>
      </c>
      <c r="AA68" s="790"/>
      <c r="AB68" s="791">
        <f>($M68*Costos!$K$4)</f>
        <v>0</v>
      </c>
      <c r="AC68" s="792">
        <f>($M68*Costos!$H$4)</f>
        <v>0</v>
      </c>
      <c r="AD68" s="791">
        <f>($M68*Costos!$K$5)</f>
        <v>0</v>
      </c>
      <c r="AE68" s="792">
        <f>($M68*Costos!$H$5)</f>
        <v>0</v>
      </c>
      <c r="AF68" s="791">
        <f>($M68*Costos!$K$6)</f>
        <v>0</v>
      </c>
      <c r="AG68" s="792">
        <f>($M68*Costos!$H$6)</f>
        <v>0</v>
      </c>
      <c r="AH68" s="791">
        <f>($M68*Costos!$K$7)</f>
        <v>0</v>
      </c>
      <c r="AI68" s="792">
        <f>($M68*Costos!$H$7)</f>
        <v>0</v>
      </c>
      <c r="AJ68" s="791">
        <f>($M68*Costos!$K$8)</f>
        <v>0</v>
      </c>
      <c r="AK68" s="792">
        <f>($M68*Costos!$H$8)</f>
        <v>0</v>
      </c>
      <c r="AL68" s="793">
        <f t="shared" si="8"/>
        <v>0</v>
      </c>
      <c r="AM68" s="778">
        <f t="shared" si="9"/>
        <v>0</v>
      </c>
      <c r="AN68" s="790"/>
      <c r="AO68" s="791">
        <f>($N68*Costos!$L$4)</f>
        <v>0</v>
      </c>
      <c r="AP68" s="792">
        <f>($N68*Costos!$I$4)</f>
        <v>0</v>
      </c>
      <c r="AQ68" s="791">
        <f>($N68*Costos!$L$5)</f>
        <v>0</v>
      </c>
      <c r="AR68" s="792">
        <f>($N68*Costos!$I$5)</f>
        <v>0</v>
      </c>
      <c r="AS68" s="791">
        <f>($N68*Costos!$L$6)</f>
        <v>0</v>
      </c>
      <c r="AT68" s="792">
        <f>($N68*Costos!$I$6)</f>
        <v>0</v>
      </c>
      <c r="AU68" s="791">
        <f>($N68*Costos!$L$7)</f>
        <v>0</v>
      </c>
      <c r="AV68" s="792">
        <f>($N68*Costos!$I$7)</f>
        <v>0</v>
      </c>
      <c r="AW68" s="791">
        <f>($N68*Costos!$L$8)</f>
        <v>0</v>
      </c>
      <c r="AX68" s="792">
        <f>($N68*Costos!$I$8)</f>
        <v>0</v>
      </c>
      <c r="AY68" s="793">
        <f t="shared" si="10"/>
        <v>0</v>
      </c>
      <c r="AZ68" s="778">
        <f t="shared" si="11"/>
        <v>0</v>
      </c>
      <c r="BA68" s="586"/>
      <c r="BB68" s="537"/>
    </row>
    <row r="69" spans="1:56" ht="17.399999999999999" thickBot="1" x14ac:dyDescent="0.35">
      <c r="A69" s="689"/>
      <c r="B69" s="576"/>
      <c r="D69" s="529"/>
      <c r="E69" s="546"/>
      <c r="F69" s="546"/>
      <c r="G69" s="546"/>
      <c r="H69" s="546"/>
      <c r="I69" s="546"/>
      <c r="J69" s="460"/>
      <c r="K69" s="460"/>
      <c r="L69" s="566"/>
      <c r="M69" s="566"/>
      <c r="N69" s="567"/>
      <c r="O69" s="487">
        <f>($L69*Costos!$J$4)</f>
        <v>0</v>
      </c>
      <c r="P69" s="488">
        <f>($L69*Costos!$G$4)</f>
        <v>0</v>
      </c>
      <c r="Q69" s="487">
        <f>($L69*Costos!$J$5)</f>
        <v>0</v>
      </c>
      <c r="R69" s="488">
        <f>($L69*Costos!$G$5)</f>
        <v>0</v>
      </c>
      <c r="S69" s="487">
        <f>($L69*Costos!$J$6)</f>
        <v>0</v>
      </c>
      <c r="T69" s="488">
        <f>($L69*Costos!$G$6)</f>
        <v>0</v>
      </c>
      <c r="U69" s="487">
        <f>($L69*Costos!$J$7)</f>
        <v>0</v>
      </c>
      <c r="V69" s="488">
        <f>($L69*Costos!$G$7)</f>
        <v>0</v>
      </c>
      <c r="W69" s="487">
        <f>($L69*Costos!$J$8)</f>
        <v>0</v>
      </c>
      <c r="X69" s="488">
        <f>($L69*Costos!$G$8)</f>
        <v>0</v>
      </c>
      <c r="Y69" s="489">
        <f t="shared" si="6"/>
        <v>0</v>
      </c>
      <c r="Z69" s="778">
        <f t="shared" si="7"/>
        <v>0</v>
      </c>
      <c r="AA69" s="790"/>
      <c r="AB69" s="791">
        <f>($M69*Costos!$K$4)</f>
        <v>0</v>
      </c>
      <c r="AC69" s="792">
        <f>($M69*Costos!$H$4)</f>
        <v>0</v>
      </c>
      <c r="AD69" s="791">
        <f>($M69*Costos!$K$5)</f>
        <v>0</v>
      </c>
      <c r="AE69" s="792">
        <f>($M69*Costos!$H$5)</f>
        <v>0</v>
      </c>
      <c r="AF69" s="791">
        <f>($M69*Costos!$K$6)</f>
        <v>0</v>
      </c>
      <c r="AG69" s="792">
        <f>($M69*Costos!$H$6)</f>
        <v>0</v>
      </c>
      <c r="AH69" s="791">
        <f>($M69*Costos!$K$7)</f>
        <v>0</v>
      </c>
      <c r="AI69" s="792">
        <f>($M69*Costos!$H$7)</f>
        <v>0</v>
      </c>
      <c r="AJ69" s="791">
        <f>($M69*Costos!$K$8)</f>
        <v>0</v>
      </c>
      <c r="AK69" s="792">
        <f>($M69*Costos!$H$8)</f>
        <v>0</v>
      </c>
      <c r="AL69" s="793">
        <f t="shared" si="8"/>
        <v>0</v>
      </c>
      <c r="AM69" s="778">
        <f t="shared" si="9"/>
        <v>0</v>
      </c>
      <c r="AN69" s="790"/>
      <c r="AO69" s="791">
        <f>($N69*Costos!$L$4)</f>
        <v>0</v>
      </c>
      <c r="AP69" s="792">
        <f>($N69*Costos!$I$4)</f>
        <v>0</v>
      </c>
      <c r="AQ69" s="791">
        <f>($N69*Costos!$L$5)</f>
        <v>0</v>
      </c>
      <c r="AR69" s="792">
        <f>($N69*Costos!$I$5)</f>
        <v>0</v>
      </c>
      <c r="AS69" s="791">
        <f>($N69*Costos!$L$6)</f>
        <v>0</v>
      </c>
      <c r="AT69" s="792">
        <f>($N69*Costos!$I$6)</f>
        <v>0</v>
      </c>
      <c r="AU69" s="791">
        <f>($N69*Costos!$L$7)</f>
        <v>0</v>
      </c>
      <c r="AV69" s="792">
        <f>($N69*Costos!$I$7)</f>
        <v>0</v>
      </c>
      <c r="AW69" s="791">
        <f>($N69*Costos!$L$8)</f>
        <v>0</v>
      </c>
      <c r="AX69" s="792">
        <f>($N69*Costos!$I$8)</f>
        <v>0</v>
      </c>
      <c r="AY69" s="793">
        <f t="shared" si="10"/>
        <v>0</v>
      </c>
      <c r="AZ69" s="778">
        <f t="shared" si="11"/>
        <v>0</v>
      </c>
      <c r="BA69" s="586"/>
      <c r="BB69" s="537"/>
    </row>
    <row r="70" spans="1:56" ht="17.399999999999999" thickBot="1" x14ac:dyDescent="0.35">
      <c r="A70" s="689"/>
      <c r="B70" s="576"/>
      <c r="D70" s="529"/>
      <c r="E70" s="546"/>
      <c r="F70" s="546"/>
      <c r="G70" s="546"/>
      <c r="H70" s="546"/>
      <c r="I70" s="546"/>
      <c r="J70" s="460"/>
      <c r="K70" s="460"/>
      <c r="L70" s="566"/>
      <c r="M70" s="566"/>
      <c r="N70" s="567"/>
      <c r="O70" s="487">
        <f>($L70*Costos!$J$4)</f>
        <v>0</v>
      </c>
      <c r="P70" s="488">
        <f>($L70*Costos!$G$4)</f>
        <v>0</v>
      </c>
      <c r="Q70" s="487">
        <f>($L70*Costos!$J$5)</f>
        <v>0</v>
      </c>
      <c r="R70" s="488">
        <f>($L70*Costos!$G$5)</f>
        <v>0</v>
      </c>
      <c r="S70" s="487">
        <f>($L70*Costos!$J$6)</f>
        <v>0</v>
      </c>
      <c r="T70" s="488">
        <f>($L70*Costos!$G$6)</f>
        <v>0</v>
      </c>
      <c r="U70" s="487">
        <f>($L70*Costos!$J$7)</f>
        <v>0</v>
      </c>
      <c r="V70" s="488">
        <f>($L70*Costos!$G$7)</f>
        <v>0</v>
      </c>
      <c r="W70" s="487">
        <f>($L70*Costos!$J$8)</f>
        <v>0</v>
      </c>
      <c r="X70" s="488">
        <f>($L70*Costos!$G$8)</f>
        <v>0</v>
      </c>
      <c r="Y70" s="489">
        <f t="shared" si="6"/>
        <v>0</v>
      </c>
      <c r="Z70" s="778">
        <f t="shared" si="7"/>
        <v>0</v>
      </c>
      <c r="AA70" s="790"/>
      <c r="AB70" s="791">
        <f>($M70*Costos!$K$4)</f>
        <v>0</v>
      </c>
      <c r="AC70" s="792">
        <f>($M70*Costos!$H$4)</f>
        <v>0</v>
      </c>
      <c r="AD70" s="791">
        <f>($M70*Costos!$K$5)</f>
        <v>0</v>
      </c>
      <c r="AE70" s="792">
        <f>($M70*Costos!$H$5)</f>
        <v>0</v>
      </c>
      <c r="AF70" s="791">
        <f>($M70*Costos!$K$6)</f>
        <v>0</v>
      </c>
      <c r="AG70" s="792">
        <f>($M70*Costos!$H$6)</f>
        <v>0</v>
      </c>
      <c r="AH70" s="791">
        <f>($M70*Costos!$K$7)</f>
        <v>0</v>
      </c>
      <c r="AI70" s="792">
        <f>($M70*Costos!$H$7)</f>
        <v>0</v>
      </c>
      <c r="AJ70" s="791">
        <f>($M70*Costos!$K$8)</f>
        <v>0</v>
      </c>
      <c r="AK70" s="792">
        <f>($M70*Costos!$H$8)</f>
        <v>0</v>
      </c>
      <c r="AL70" s="793">
        <f t="shared" si="8"/>
        <v>0</v>
      </c>
      <c r="AM70" s="778">
        <f t="shared" si="9"/>
        <v>0</v>
      </c>
      <c r="AN70" s="790"/>
      <c r="AO70" s="791">
        <f>($N70*Costos!$L$4)</f>
        <v>0</v>
      </c>
      <c r="AP70" s="792">
        <f>($N70*Costos!$I$4)</f>
        <v>0</v>
      </c>
      <c r="AQ70" s="791">
        <f>($N70*Costos!$L$5)</f>
        <v>0</v>
      </c>
      <c r="AR70" s="792">
        <f>($N70*Costos!$I$5)</f>
        <v>0</v>
      </c>
      <c r="AS70" s="791">
        <f>($N70*Costos!$L$6)</f>
        <v>0</v>
      </c>
      <c r="AT70" s="792">
        <f>($N70*Costos!$I$6)</f>
        <v>0</v>
      </c>
      <c r="AU70" s="791">
        <f>($N70*Costos!$L$7)</f>
        <v>0</v>
      </c>
      <c r="AV70" s="792">
        <f>($N70*Costos!$I$7)</f>
        <v>0</v>
      </c>
      <c r="AW70" s="791">
        <f>($N70*Costos!$L$8)</f>
        <v>0</v>
      </c>
      <c r="AX70" s="792">
        <f>($N70*Costos!$I$8)</f>
        <v>0</v>
      </c>
      <c r="AY70" s="793">
        <f t="shared" si="10"/>
        <v>0</v>
      </c>
      <c r="AZ70" s="778">
        <f t="shared" si="11"/>
        <v>0</v>
      </c>
      <c r="BA70" s="586"/>
      <c r="BB70" s="537"/>
    </row>
    <row r="71" spans="1:56" ht="17.399999999999999" thickBot="1" x14ac:dyDescent="0.35">
      <c r="A71" s="689"/>
      <c r="B71" s="576"/>
      <c r="D71" s="529"/>
      <c r="E71" s="546"/>
      <c r="F71" s="546"/>
      <c r="G71" s="546"/>
      <c r="H71" s="546"/>
      <c r="I71" s="546"/>
      <c r="J71" s="460"/>
      <c r="K71" s="460"/>
      <c r="L71" s="566"/>
      <c r="M71" s="566"/>
      <c r="N71" s="567"/>
      <c r="O71" s="487">
        <f>($L71*Costos!$J$4)</f>
        <v>0</v>
      </c>
      <c r="P71" s="488">
        <f>($L71*Costos!$G$4)</f>
        <v>0</v>
      </c>
      <c r="Q71" s="487">
        <f>($L71*Costos!$J$5)</f>
        <v>0</v>
      </c>
      <c r="R71" s="488">
        <f>($L71*Costos!$G$5)</f>
        <v>0</v>
      </c>
      <c r="S71" s="487">
        <f>($L71*Costos!$J$6)</f>
        <v>0</v>
      </c>
      <c r="T71" s="488">
        <f>($L71*Costos!$G$6)</f>
        <v>0</v>
      </c>
      <c r="U71" s="487">
        <f>($L71*Costos!$J$7)</f>
        <v>0</v>
      </c>
      <c r="V71" s="488">
        <f>($L71*Costos!$G$7)</f>
        <v>0</v>
      </c>
      <c r="W71" s="487">
        <f>($L71*Costos!$J$8)</f>
        <v>0</v>
      </c>
      <c r="X71" s="488">
        <f>($L71*Costos!$G$8)</f>
        <v>0</v>
      </c>
      <c r="Y71" s="489">
        <f t="shared" si="6"/>
        <v>0</v>
      </c>
      <c r="Z71" s="778">
        <f t="shared" si="7"/>
        <v>0</v>
      </c>
      <c r="AA71" s="790"/>
      <c r="AB71" s="791">
        <f>($M71*Costos!$K$4)</f>
        <v>0</v>
      </c>
      <c r="AC71" s="792">
        <f>($M71*Costos!$H$4)</f>
        <v>0</v>
      </c>
      <c r="AD71" s="791">
        <f>($M71*Costos!$K$5)</f>
        <v>0</v>
      </c>
      <c r="AE71" s="792">
        <f>($M71*Costos!$H$5)</f>
        <v>0</v>
      </c>
      <c r="AF71" s="791">
        <f>($M71*Costos!$K$6)</f>
        <v>0</v>
      </c>
      <c r="AG71" s="792">
        <f>($M71*Costos!$H$6)</f>
        <v>0</v>
      </c>
      <c r="AH71" s="791">
        <f>($M71*Costos!$K$7)</f>
        <v>0</v>
      </c>
      <c r="AI71" s="792">
        <f>($M71*Costos!$H$7)</f>
        <v>0</v>
      </c>
      <c r="AJ71" s="791">
        <f>($M71*Costos!$K$8)</f>
        <v>0</v>
      </c>
      <c r="AK71" s="792">
        <f>($M71*Costos!$H$8)</f>
        <v>0</v>
      </c>
      <c r="AL71" s="793">
        <f t="shared" si="8"/>
        <v>0</v>
      </c>
      <c r="AM71" s="778">
        <f t="shared" si="9"/>
        <v>0</v>
      </c>
      <c r="AN71" s="790"/>
      <c r="AO71" s="791">
        <f>($N71*Costos!$L$4)</f>
        <v>0</v>
      </c>
      <c r="AP71" s="792">
        <f>($N71*Costos!$I$4)</f>
        <v>0</v>
      </c>
      <c r="AQ71" s="791">
        <f>($N71*Costos!$L$5)</f>
        <v>0</v>
      </c>
      <c r="AR71" s="792">
        <f>($N71*Costos!$I$5)</f>
        <v>0</v>
      </c>
      <c r="AS71" s="791">
        <f>($N71*Costos!$L$6)</f>
        <v>0</v>
      </c>
      <c r="AT71" s="792">
        <f>($N71*Costos!$I$6)</f>
        <v>0</v>
      </c>
      <c r="AU71" s="791">
        <f>($N71*Costos!$L$7)</f>
        <v>0</v>
      </c>
      <c r="AV71" s="792">
        <f>($N71*Costos!$I$7)</f>
        <v>0</v>
      </c>
      <c r="AW71" s="791">
        <f>($N71*Costos!$L$8)</f>
        <v>0</v>
      </c>
      <c r="AX71" s="792">
        <f>($N71*Costos!$I$8)</f>
        <v>0</v>
      </c>
      <c r="AY71" s="793">
        <f t="shared" si="10"/>
        <v>0</v>
      </c>
      <c r="AZ71" s="778">
        <f t="shared" si="11"/>
        <v>0</v>
      </c>
      <c r="BA71" s="586"/>
      <c r="BB71" s="537"/>
    </row>
    <row r="72" spans="1:56" ht="17.399999999999999" thickBot="1" x14ac:dyDescent="0.35">
      <c r="A72" s="689"/>
      <c r="B72" s="576"/>
      <c r="D72" s="529"/>
      <c r="E72" s="546"/>
      <c r="F72" s="546"/>
      <c r="G72" s="546"/>
      <c r="H72" s="546"/>
      <c r="I72" s="546"/>
      <c r="J72" s="460"/>
      <c r="K72" s="460"/>
      <c r="L72" s="566"/>
      <c r="M72" s="566"/>
      <c r="N72" s="567"/>
      <c r="O72" s="487">
        <f>($L72*Costos!$J$4)</f>
        <v>0</v>
      </c>
      <c r="P72" s="488">
        <f>($L72*Costos!$G$4)</f>
        <v>0</v>
      </c>
      <c r="Q72" s="487">
        <f>($L72*Costos!$J$5)</f>
        <v>0</v>
      </c>
      <c r="R72" s="488">
        <f>($L72*Costos!$G$5)</f>
        <v>0</v>
      </c>
      <c r="S72" s="487">
        <f>($L72*Costos!$J$6)</f>
        <v>0</v>
      </c>
      <c r="T72" s="488">
        <f>($L72*Costos!$G$6)</f>
        <v>0</v>
      </c>
      <c r="U72" s="487">
        <f>($L72*Costos!$J$7)</f>
        <v>0</v>
      </c>
      <c r="V72" s="488">
        <f>($L72*Costos!$G$7)</f>
        <v>0</v>
      </c>
      <c r="W72" s="487">
        <f>($L72*Costos!$J$8)</f>
        <v>0</v>
      </c>
      <c r="X72" s="488">
        <f>($L72*Costos!$G$8)</f>
        <v>0</v>
      </c>
      <c r="Y72" s="489">
        <f t="shared" si="6"/>
        <v>0</v>
      </c>
      <c r="Z72" s="778">
        <f t="shared" si="7"/>
        <v>0</v>
      </c>
      <c r="AA72" s="790"/>
      <c r="AB72" s="791">
        <f>($M72*Costos!$K$4)</f>
        <v>0</v>
      </c>
      <c r="AC72" s="792">
        <f>($M72*Costos!$H$4)</f>
        <v>0</v>
      </c>
      <c r="AD72" s="791">
        <f>($M72*Costos!$K$5)</f>
        <v>0</v>
      </c>
      <c r="AE72" s="792">
        <f>($M72*Costos!$H$5)</f>
        <v>0</v>
      </c>
      <c r="AF72" s="791">
        <f>($M72*Costos!$K$6)</f>
        <v>0</v>
      </c>
      <c r="AG72" s="792">
        <f>($M72*Costos!$H$6)</f>
        <v>0</v>
      </c>
      <c r="AH72" s="791">
        <f>($M72*Costos!$K$7)</f>
        <v>0</v>
      </c>
      <c r="AI72" s="792">
        <f>($M72*Costos!$H$7)</f>
        <v>0</v>
      </c>
      <c r="AJ72" s="791">
        <f>($M72*Costos!$K$8)</f>
        <v>0</v>
      </c>
      <c r="AK72" s="792">
        <f>($M72*Costos!$H$8)</f>
        <v>0</v>
      </c>
      <c r="AL72" s="793">
        <f t="shared" si="8"/>
        <v>0</v>
      </c>
      <c r="AM72" s="778">
        <f t="shared" si="9"/>
        <v>0</v>
      </c>
      <c r="AN72" s="790"/>
      <c r="AO72" s="791">
        <f>($N72*Costos!$L$4)</f>
        <v>0</v>
      </c>
      <c r="AP72" s="792">
        <f>($N72*Costos!$I$4)</f>
        <v>0</v>
      </c>
      <c r="AQ72" s="791">
        <f>($N72*Costos!$L$5)</f>
        <v>0</v>
      </c>
      <c r="AR72" s="792">
        <f>($N72*Costos!$I$5)</f>
        <v>0</v>
      </c>
      <c r="AS72" s="791">
        <f>($N72*Costos!$L$6)</f>
        <v>0</v>
      </c>
      <c r="AT72" s="792">
        <f>($N72*Costos!$I$6)</f>
        <v>0</v>
      </c>
      <c r="AU72" s="791">
        <f>($N72*Costos!$L$7)</f>
        <v>0</v>
      </c>
      <c r="AV72" s="792">
        <f>($N72*Costos!$I$7)</f>
        <v>0</v>
      </c>
      <c r="AW72" s="791">
        <f>($N72*Costos!$L$8)</f>
        <v>0</v>
      </c>
      <c r="AX72" s="792">
        <f>($N72*Costos!$I$8)</f>
        <v>0</v>
      </c>
      <c r="AY72" s="793">
        <f t="shared" si="10"/>
        <v>0</v>
      </c>
      <c r="AZ72" s="778">
        <f t="shared" si="11"/>
        <v>0</v>
      </c>
      <c r="BA72" s="586"/>
      <c r="BB72" s="537"/>
    </row>
    <row r="73" spans="1:56" ht="17.399999999999999" thickBot="1" x14ac:dyDescent="0.35">
      <c r="A73" s="689"/>
      <c r="B73" s="576"/>
      <c r="D73" s="532" t="s">
        <v>491</v>
      </c>
      <c r="E73" s="547"/>
      <c r="F73" s="547"/>
      <c r="G73" s="547"/>
      <c r="H73" s="547" t="s">
        <v>67</v>
      </c>
      <c r="I73" s="547"/>
      <c r="J73" s="493"/>
      <c r="K73" s="493"/>
      <c r="L73" s="568"/>
      <c r="M73" s="569">
        <f>L73*0.2</f>
        <v>0</v>
      </c>
      <c r="N73" s="569"/>
      <c r="O73" s="487">
        <f>($L73*Costos!$J$4)</f>
        <v>0</v>
      </c>
      <c r="P73" s="488">
        <f>($L73*Costos!$G$4)</f>
        <v>0</v>
      </c>
      <c r="Q73" s="487">
        <f>($L73*Costos!$J$5)</f>
        <v>0</v>
      </c>
      <c r="R73" s="488">
        <f>($L73*Costos!$G$5)</f>
        <v>0</v>
      </c>
      <c r="S73" s="487">
        <f>($L73*Costos!$J$6)</f>
        <v>0</v>
      </c>
      <c r="T73" s="488">
        <f>($L73*Costos!$G$6)</f>
        <v>0</v>
      </c>
      <c r="U73" s="487">
        <f>($L73*Costos!$J$7)</f>
        <v>0</v>
      </c>
      <c r="V73" s="488">
        <f>($L73*Costos!$G$7)</f>
        <v>0</v>
      </c>
      <c r="W73" s="487">
        <f>($L73*Costos!$J$8)</f>
        <v>0</v>
      </c>
      <c r="X73" s="488">
        <f>($L73*Costos!$G$8)</f>
        <v>0</v>
      </c>
      <c r="Y73" s="489">
        <f t="shared" si="6"/>
        <v>0</v>
      </c>
      <c r="Z73" s="778">
        <f t="shared" si="7"/>
        <v>0</v>
      </c>
      <c r="AA73" s="790"/>
      <c r="AB73" s="791">
        <f>($M73*Costos!$K$4)</f>
        <v>0</v>
      </c>
      <c r="AC73" s="792">
        <f>($M73*Costos!$H$4)</f>
        <v>0</v>
      </c>
      <c r="AD73" s="791">
        <f>($M73*Costos!$K$5)</f>
        <v>0</v>
      </c>
      <c r="AE73" s="792">
        <f>($M73*Costos!$H$5)</f>
        <v>0</v>
      </c>
      <c r="AF73" s="791">
        <f>$M73*Costos!$K$6</f>
        <v>0</v>
      </c>
      <c r="AG73" s="792">
        <f>($M73*Costos!$H$6)</f>
        <v>0</v>
      </c>
      <c r="AH73" s="791">
        <f>($M73*Costos!$K$7)</f>
        <v>0</v>
      </c>
      <c r="AI73" s="792">
        <f>($M73*Costos!$H$7)</f>
        <v>0</v>
      </c>
      <c r="AJ73" s="791">
        <f>($M73*Costos!$K$8)</f>
        <v>0</v>
      </c>
      <c r="AK73" s="792">
        <f>($M73*Costos!$H$8)</f>
        <v>0</v>
      </c>
      <c r="AL73" s="793">
        <f t="shared" si="8"/>
        <v>0</v>
      </c>
      <c r="AM73" s="778">
        <f t="shared" si="9"/>
        <v>0</v>
      </c>
      <c r="AN73" s="790"/>
      <c r="AO73" s="791">
        <f>($N73*Costos!$L$4)</f>
        <v>0</v>
      </c>
      <c r="AP73" s="792">
        <f>($N73*Costos!$I$4)</f>
        <v>0</v>
      </c>
      <c r="AQ73" s="791">
        <f>($N73*Costos!$L$5)</f>
        <v>0</v>
      </c>
      <c r="AR73" s="792">
        <f>($N73*Costos!$I$5)</f>
        <v>0</v>
      </c>
      <c r="AS73" s="791">
        <f>($N73*Costos!$L$6)</f>
        <v>0</v>
      </c>
      <c r="AT73" s="792">
        <f>($N73*Costos!$I$6)</f>
        <v>0</v>
      </c>
      <c r="AU73" s="791">
        <f>($N73*Costos!$L$7)</f>
        <v>0</v>
      </c>
      <c r="AV73" s="792">
        <f>($N73*Costos!$I$7)</f>
        <v>0</v>
      </c>
      <c r="AW73" s="791">
        <f>($N73*Costos!$L$8)</f>
        <v>0</v>
      </c>
      <c r="AX73" s="792">
        <f>($N73*Costos!$I$8)</f>
        <v>0</v>
      </c>
      <c r="AY73" s="793">
        <f t="shared" si="10"/>
        <v>0</v>
      </c>
      <c r="AZ73" s="778">
        <f t="shared" si="11"/>
        <v>0</v>
      </c>
      <c r="BA73" s="586"/>
      <c r="BB73" s="537"/>
    </row>
    <row r="74" spans="1:56" ht="17.399999999999999" thickBot="1" x14ac:dyDescent="0.35">
      <c r="A74" s="689"/>
      <c r="B74" s="576"/>
      <c r="D74" s="533" t="s">
        <v>93</v>
      </c>
      <c r="E74" s="548"/>
      <c r="F74" s="548"/>
      <c r="G74" s="548"/>
      <c r="H74" s="548"/>
      <c r="I74" s="548"/>
      <c r="J74" s="494"/>
      <c r="K74" s="494"/>
      <c r="L74" s="570">
        <f>SUM(L11:L73)*0.1</f>
        <v>4</v>
      </c>
      <c r="M74" s="570">
        <f>SUM(M11:M73)*0.1</f>
        <v>0</v>
      </c>
      <c r="N74" s="570">
        <f>SUM(N11:N73)*0.1</f>
        <v>0</v>
      </c>
      <c r="O74" s="495">
        <f>($L74*Costos!$J$4)</f>
        <v>69.548872180451127</v>
      </c>
      <c r="P74" s="496">
        <f>($L74*Costos!$G$4)</f>
        <v>55.639097744360903</v>
      </c>
      <c r="Q74" s="496">
        <f>($L74*Costos!$J$5)</f>
        <v>115.91478696741854</v>
      </c>
      <c r="R74" s="496">
        <f>($L74*Costos!$G$5)</f>
        <v>92.731829573934832</v>
      </c>
      <c r="S74" s="496">
        <f>($L74*Costos!$J$6)</f>
        <v>139.09774436090225</v>
      </c>
      <c r="T74" s="496">
        <f>($L74*Costos!$G$6)</f>
        <v>111.27819548872181</v>
      </c>
      <c r="U74" s="496">
        <f>($L74*Costos!$J$7)</f>
        <v>350</v>
      </c>
      <c r="V74" s="496">
        <f>($L74*Costos!$G$7)</f>
        <v>280</v>
      </c>
      <c r="W74" s="496">
        <f>($L74*Costos!$J$8)</f>
        <v>500</v>
      </c>
      <c r="X74" s="496">
        <f>($L74*Costos!$G$8)</f>
        <v>400</v>
      </c>
      <c r="Y74" s="497">
        <f>SUM(Y11:Y73)*0.1</f>
        <v>100.15037593984964</v>
      </c>
      <c r="Z74" s="794">
        <f>SUM(Z11:Z73)*0.1</f>
        <v>125.18796992481202</v>
      </c>
      <c r="AA74" s="790"/>
      <c r="AB74" s="795">
        <f>($L74*Costos!$J$4)+($M74*Costos!$K$4)</f>
        <v>69.548872180451127</v>
      </c>
      <c r="AC74" s="796">
        <f>($L74*Costos!$G$4)+($M74*Costos!$H$4)</f>
        <v>55.639097744360903</v>
      </c>
      <c r="AD74" s="796">
        <f>($L74*Costos!$J$5)+($M74*Costos!$K$5)</f>
        <v>115.91478696741854</v>
      </c>
      <c r="AE74" s="796">
        <f>($L74*Costos!$G$5)+($M74*Costos!$H$5)</f>
        <v>92.731829573934832</v>
      </c>
      <c r="AF74" s="796">
        <f>($L74*Costos!$J$6)+($M74*Costos!$K$6)</f>
        <v>139.09774436090225</v>
      </c>
      <c r="AG74" s="796">
        <f>($L74*Costos!$G$6)+($M74*Costos!$H$6)</f>
        <v>111.27819548872181</v>
      </c>
      <c r="AH74" s="796">
        <f>($L74*Costos!$J$7)+($M74*Costos!$K$7)</f>
        <v>350</v>
      </c>
      <c r="AI74" s="796">
        <f>($L74*Costos!$G$7)+($M74*Costos!$H$7)</f>
        <v>280</v>
      </c>
      <c r="AJ74" s="796">
        <f>($L74*Costos!$J$8)+($M74*Costos!$K$8)</f>
        <v>500</v>
      </c>
      <c r="AK74" s="796">
        <f>($L74*Costos!$G$8)+($M74*Costos!$H$8)</f>
        <v>400</v>
      </c>
      <c r="AL74" s="797">
        <f>SUM(AL11:AL73)*0.1</f>
        <v>0</v>
      </c>
      <c r="AM74" s="797">
        <f>SUM(AM11:AM73)*0.1</f>
        <v>0</v>
      </c>
      <c r="AN74" s="790"/>
      <c r="AO74" s="798">
        <f>($L74*Costos!$J$4)+($N74*Costos!$L$4)</f>
        <v>69.548872180451127</v>
      </c>
      <c r="AP74" s="796">
        <f>($L74*Costos!$G$4)+($N74*Costos!$H$4)</f>
        <v>55.639097744360903</v>
      </c>
      <c r="AQ74" s="796">
        <f>($L74*Costos!$J$5)+($N74*Costos!$K$5)</f>
        <v>115.91478696741854</v>
      </c>
      <c r="AR74" s="796">
        <f>($L74*Costos!$G$5)+($N74*Costos!$H$5)</f>
        <v>92.731829573934832</v>
      </c>
      <c r="AS74" s="796">
        <f>($L74*Costos!$J$6)+($N74*Costos!$K$6)</f>
        <v>139.09774436090225</v>
      </c>
      <c r="AT74" s="796">
        <f>($L74*Costos!$G$6)+($N74*Costos!$H$6)</f>
        <v>111.27819548872181</v>
      </c>
      <c r="AU74" s="796">
        <f>($L74*Costos!$J$7)+($N74*Costos!$K$7)</f>
        <v>350</v>
      </c>
      <c r="AV74" s="796">
        <f>($L74*Costos!$G$7)+($N74*Costos!$H$7)</f>
        <v>280</v>
      </c>
      <c r="AW74" s="796">
        <f>($L74*Costos!$J$8)+($N74*Costos!$K$8)</f>
        <v>500</v>
      </c>
      <c r="AX74" s="796">
        <f>($L74*Costos!$G$8)+($N74*Costos!$H$8)</f>
        <v>400</v>
      </c>
      <c r="AY74" s="797">
        <f>SUM(AY11:AY73)*0.1</f>
        <v>0</v>
      </c>
      <c r="AZ74" s="797">
        <f>SUM(AZ11:AZ73)*0.1</f>
        <v>0</v>
      </c>
      <c r="BA74" s="586"/>
      <c r="BB74" s="537"/>
    </row>
    <row r="75" spans="1:56" hidden="1" x14ac:dyDescent="0.3">
      <c r="A75" s="689"/>
      <c r="B75" s="576"/>
      <c r="D75" s="534"/>
      <c r="E75" s="549"/>
      <c r="F75" s="549"/>
      <c r="G75" s="549"/>
      <c r="H75" s="549"/>
      <c r="I75" s="549"/>
      <c r="J75" s="499"/>
      <c r="K75" s="499"/>
      <c r="L75" s="567"/>
      <c r="M75" s="567"/>
      <c r="N75" s="567"/>
      <c r="O75" s="500"/>
      <c r="P75" s="501"/>
      <c r="Q75" s="500"/>
      <c r="R75" s="501"/>
      <c r="S75" s="500"/>
      <c r="T75" s="501"/>
      <c r="U75" s="500"/>
      <c r="V75" s="501"/>
      <c r="W75" s="500"/>
      <c r="X75" s="501"/>
      <c r="Y75" s="502"/>
      <c r="Z75" s="799"/>
      <c r="AA75" s="767"/>
      <c r="AB75" s="800"/>
      <c r="AC75" s="801"/>
      <c r="AD75" s="800"/>
      <c r="AE75" s="801"/>
      <c r="AF75" s="800"/>
      <c r="AG75" s="801"/>
      <c r="AH75" s="800"/>
      <c r="AI75" s="801"/>
      <c r="AJ75" s="800"/>
      <c r="AK75" s="801"/>
      <c r="AL75" s="802"/>
      <c r="AM75" s="799"/>
      <c r="AN75" s="767"/>
      <c r="AO75" s="800"/>
      <c r="AP75" s="801"/>
      <c r="AQ75" s="800"/>
      <c r="AR75" s="801"/>
      <c r="AS75" s="800"/>
      <c r="AT75" s="801"/>
      <c r="AU75" s="800"/>
      <c r="AV75" s="801"/>
      <c r="AW75" s="800"/>
      <c r="AX75" s="801"/>
      <c r="AY75" s="802"/>
      <c r="AZ75" s="799"/>
      <c r="BA75" s="577"/>
      <c r="BB75" s="537"/>
    </row>
    <row r="76" spans="1:56" ht="17.399999999999999" hidden="1" thickBot="1" x14ac:dyDescent="0.35">
      <c r="A76" s="689"/>
      <c r="B76" s="576"/>
      <c r="D76" s="535"/>
      <c r="E76" s="550"/>
      <c r="F76" s="550"/>
      <c r="G76" s="550"/>
      <c r="H76" s="550"/>
      <c r="I76" s="550"/>
      <c r="J76" s="504"/>
      <c r="K76" s="504"/>
      <c r="L76" s="571"/>
      <c r="M76" s="571"/>
      <c r="N76" s="571"/>
      <c r="O76" s="503"/>
      <c r="P76" s="505"/>
      <c r="Q76" s="503"/>
      <c r="R76" s="505"/>
      <c r="S76" s="503"/>
      <c r="T76" s="505"/>
      <c r="U76" s="503"/>
      <c r="V76" s="506"/>
      <c r="W76" s="503"/>
      <c r="X76" s="506"/>
      <c r="Y76" s="506"/>
      <c r="Z76" s="799"/>
      <c r="AA76" s="803"/>
      <c r="AB76" s="804"/>
      <c r="AC76" s="805"/>
      <c r="AD76" s="804"/>
      <c r="AE76" s="805"/>
      <c r="AF76" s="804"/>
      <c r="AG76" s="805"/>
      <c r="AH76" s="804"/>
      <c r="AI76" s="805"/>
      <c r="AJ76" s="804"/>
      <c r="AK76" s="805"/>
      <c r="AL76" s="806"/>
      <c r="AM76" s="807"/>
      <c r="AN76" s="767"/>
      <c r="AO76" s="808"/>
      <c r="AP76" s="805"/>
      <c r="AQ76" s="804"/>
      <c r="AR76" s="805"/>
      <c r="AS76" s="804"/>
      <c r="AT76" s="805"/>
      <c r="AU76" s="804"/>
      <c r="AV76" s="805"/>
      <c r="AW76" s="804"/>
      <c r="AX76" s="805"/>
      <c r="AY76" s="806"/>
      <c r="AZ76" s="807"/>
      <c r="BA76" s="577"/>
      <c r="BB76" s="537"/>
    </row>
    <row r="77" spans="1:56" x14ac:dyDescent="0.3">
      <c r="A77" s="689"/>
      <c r="B77" s="576"/>
      <c r="D77" s="507" t="s">
        <v>95</v>
      </c>
      <c r="E77" s="542"/>
      <c r="F77" s="542" t="s">
        <v>67</v>
      </c>
      <c r="G77" s="542"/>
      <c r="H77" s="542"/>
      <c r="I77" s="542"/>
      <c r="J77" s="492"/>
      <c r="K77" s="460"/>
      <c r="L77" s="560"/>
      <c r="M77" s="560"/>
      <c r="N77" s="560"/>
      <c r="O77" s="464"/>
      <c r="P77" s="465"/>
      <c r="Q77" s="464"/>
      <c r="R77" s="465"/>
      <c r="S77" s="464"/>
      <c r="T77" s="465"/>
      <c r="U77" s="464"/>
      <c r="V77" s="465"/>
      <c r="W77" s="464"/>
      <c r="X77" s="465"/>
      <c r="Y77" s="466">
        <f>((40+70)+10)*J77</f>
        <v>0</v>
      </c>
      <c r="Z77" s="778">
        <f>Y77/(1-E2)</f>
        <v>0</v>
      </c>
      <c r="AA77" s="767"/>
      <c r="AB77" s="809"/>
      <c r="AC77" s="810"/>
      <c r="AD77" s="809"/>
      <c r="AE77" s="810"/>
      <c r="AF77" s="809"/>
      <c r="AG77" s="810"/>
      <c r="AH77" s="809"/>
      <c r="AI77" s="810"/>
      <c r="AJ77" s="809"/>
      <c r="AK77" s="810"/>
      <c r="AL77" s="811">
        <f>((40+70)+10)*W77</f>
        <v>0</v>
      </c>
      <c r="AM77" s="778">
        <f>((40+70)+10)*W77</f>
        <v>0</v>
      </c>
      <c r="AN77" s="767"/>
      <c r="AO77" s="812"/>
      <c r="AP77" s="810"/>
      <c r="AQ77" s="809"/>
      <c r="AR77" s="810"/>
      <c r="AS77" s="809"/>
      <c r="AT77" s="810"/>
      <c r="AU77" s="809"/>
      <c r="AV77" s="810"/>
      <c r="AW77" s="809"/>
      <c r="AX77" s="810"/>
      <c r="AY77" s="811">
        <f>((40+70)+10)*AJ77</f>
        <v>0</v>
      </c>
      <c r="AZ77" s="778">
        <f>((40+70)+10)*AJ77</f>
        <v>0</v>
      </c>
      <c r="BA77" s="577"/>
      <c r="BB77" s="537"/>
    </row>
    <row r="78" spans="1:56" ht="17.399999999999999" thickBot="1" x14ac:dyDescent="0.35">
      <c r="A78" s="689"/>
      <c r="B78" s="576"/>
      <c r="D78" s="508" t="s">
        <v>96</v>
      </c>
      <c r="E78" s="543"/>
      <c r="F78" s="543" t="s">
        <v>67</v>
      </c>
      <c r="G78" s="543"/>
      <c r="H78" s="543"/>
      <c r="I78" s="543"/>
      <c r="J78" s="509">
        <v>0</v>
      </c>
      <c r="K78" s="471"/>
      <c r="L78" s="562"/>
      <c r="M78" s="562"/>
      <c r="N78" s="562"/>
      <c r="O78" s="510"/>
      <c r="P78" s="511"/>
      <c r="Q78" s="510"/>
      <c r="R78" s="511"/>
      <c r="S78" s="510"/>
      <c r="T78" s="511"/>
      <c r="U78" s="510"/>
      <c r="V78" s="511"/>
      <c r="W78" s="510"/>
      <c r="X78" s="511"/>
      <c r="Y78" s="477">
        <f>J78*200</f>
        <v>0</v>
      </c>
      <c r="Z78" s="787">
        <f>Y78/(1-E2)</f>
        <v>0</v>
      </c>
      <c r="AA78" s="790">
        <f>SUM(Y7:Y80)</f>
        <v>1641.7336309523812</v>
      </c>
      <c r="AB78" s="813"/>
      <c r="AC78" s="814"/>
      <c r="AD78" s="813"/>
      <c r="AE78" s="814"/>
      <c r="AF78" s="813"/>
      <c r="AG78" s="814"/>
      <c r="AH78" s="813"/>
      <c r="AI78" s="814"/>
      <c r="AJ78" s="813"/>
      <c r="AK78" s="814"/>
      <c r="AL78" s="815">
        <f>W78*200</f>
        <v>0</v>
      </c>
      <c r="AM78" s="787">
        <f>W78*200</f>
        <v>0</v>
      </c>
      <c r="AN78" s="790">
        <f>SUM(AL11:AL80)</f>
        <v>0</v>
      </c>
      <c r="AO78" s="813"/>
      <c r="AP78" s="814"/>
      <c r="AQ78" s="813"/>
      <c r="AR78" s="814"/>
      <c r="AS78" s="813"/>
      <c r="AT78" s="814"/>
      <c r="AU78" s="813"/>
      <c r="AV78" s="814"/>
      <c r="AW78" s="813"/>
      <c r="AX78" s="814"/>
      <c r="AY78" s="815">
        <f>AJ78*200</f>
        <v>0</v>
      </c>
      <c r="AZ78" s="787">
        <f>AJ78*200</f>
        <v>0</v>
      </c>
      <c r="BA78" s="586">
        <f>SUM(AY11:AY80)</f>
        <v>0</v>
      </c>
      <c r="BB78" s="537"/>
    </row>
    <row r="79" spans="1:56" ht="17.399999999999999" thickBot="1" x14ac:dyDescent="0.35">
      <c r="A79" s="689"/>
      <c r="B79" s="576"/>
      <c r="D79" s="508" t="s">
        <v>149</v>
      </c>
      <c r="E79" s="551"/>
      <c r="F79" s="551"/>
      <c r="G79" s="551"/>
      <c r="H79" s="551"/>
      <c r="I79" s="551"/>
      <c r="J79" s="512"/>
      <c r="K79" s="512"/>
      <c r="L79" s="572"/>
      <c r="M79" s="572"/>
      <c r="N79" s="573"/>
      <c r="O79" s="513"/>
      <c r="P79" s="514"/>
      <c r="Q79" s="513"/>
      <c r="R79" s="514"/>
      <c r="S79" s="513"/>
      <c r="T79" s="514"/>
      <c r="U79" s="513"/>
      <c r="V79" s="514"/>
      <c r="W79" s="513"/>
      <c r="X79" s="514"/>
      <c r="Y79" s="489">
        <f>+Z79</f>
        <v>0</v>
      </c>
      <c r="Z79" s="778">
        <f>L79*M79*6</f>
        <v>0</v>
      </c>
      <c r="AA79" s="816">
        <f>SUM(Z7:Z79)</f>
        <v>2052.1670386904761</v>
      </c>
      <c r="AB79" s="817"/>
      <c r="AC79" s="818"/>
      <c r="AD79" s="817"/>
      <c r="AE79" s="818"/>
      <c r="AF79" s="817"/>
      <c r="AG79" s="818"/>
      <c r="AH79" s="817"/>
      <c r="AI79" s="818"/>
      <c r="AJ79" s="817"/>
      <c r="AK79" s="818"/>
      <c r="AL79" s="793">
        <f>IF($E79="x",AC79,0)+IF($F79="x",AE79,0)+IF($G79="x",AG79,0)+IF($H79="x",AI79,0)+IF($I79="x",AK79,0)</f>
        <v>0</v>
      </c>
      <c r="AM79" s="819"/>
      <c r="AN79" s="816">
        <f>SUM(AM11:AM80)</f>
        <v>0</v>
      </c>
      <c r="AO79" s="817"/>
      <c r="AP79" s="818"/>
      <c r="AQ79" s="817"/>
      <c r="AR79" s="818"/>
      <c r="AS79" s="817"/>
      <c r="AT79" s="818"/>
      <c r="AU79" s="817"/>
      <c r="AV79" s="818"/>
      <c r="AW79" s="817"/>
      <c r="AX79" s="818"/>
      <c r="AY79" s="820"/>
      <c r="AZ79" s="778">
        <f>IF($E79="x",AO79,0)+IF($F79="x",AQ79,0)+IF($G79="x",AS79,0)+IF($H79="x",AU79,0)+IF($I79="x",AW79,0)</f>
        <v>0</v>
      </c>
      <c r="BA79" s="590">
        <f>SUM(AZ11:AZ80)</f>
        <v>0</v>
      </c>
      <c r="BB79" s="694"/>
      <c r="BC79" s="695"/>
    </row>
    <row r="80" spans="1:56" x14ac:dyDescent="0.3">
      <c r="A80" s="689"/>
      <c r="B80" s="576"/>
      <c r="D80" s="536" t="s">
        <v>153</v>
      </c>
      <c r="E80" s="552"/>
      <c r="F80" s="552"/>
      <c r="G80" s="552"/>
      <c r="H80" s="552"/>
      <c r="I80" s="552"/>
      <c r="J80" s="485"/>
      <c r="K80" s="486"/>
      <c r="L80" s="560">
        <f>+J80*30%</f>
        <v>0</v>
      </c>
      <c r="M80" s="560">
        <f>+J80*30%</f>
        <v>0</v>
      </c>
      <c r="N80" s="560">
        <f>+J80*40%</f>
        <v>0</v>
      </c>
      <c r="O80" s="513"/>
      <c r="P80" s="514"/>
      <c r="Q80" s="516">
        <f>+L80/Costos!J5</f>
        <v>0</v>
      </c>
      <c r="R80" s="488">
        <f>+Q80*Costos!G5</f>
        <v>0</v>
      </c>
      <c r="S80" s="513"/>
      <c r="T80" s="514"/>
      <c r="U80" s="513"/>
      <c r="V80" s="514"/>
      <c r="W80" s="513"/>
      <c r="X80" s="514"/>
      <c r="Y80" s="489">
        <f>+R80</f>
        <v>0</v>
      </c>
      <c r="Z80" s="593"/>
      <c r="AA80" s="594"/>
      <c r="AB80" s="591"/>
      <c r="AC80" s="592"/>
      <c r="AD80" s="595">
        <f>+M80/Costos!K5</f>
        <v>0</v>
      </c>
      <c r="AE80" s="588">
        <f>+AD80*Costos!H5</f>
        <v>0</v>
      </c>
      <c r="AF80" s="591"/>
      <c r="AG80" s="592"/>
      <c r="AH80" s="591"/>
      <c r="AI80" s="592"/>
      <c r="AJ80" s="591"/>
      <c r="AK80" s="592"/>
      <c r="AL80" s="589">
        <f>+AE80</f>
        <v>0</v>
      </c>
      <c r="AM80" s="593"/>
      <c r="AN80" s="577"/>
      <c r="AO80" s="591"/>
      <c r="AP80" s="592"/>
      <c r="AQ80" s="587">
        <f>+N80/Costos!L5</f>
        <v>0</v>
      </c>
      <c r="AR80" s="588">
        <f>+AQ80*Costos!I5</f>
        <v>0</v>
      </c>
      <c r="AS80" s="591"/>
      <c r="AT80" s="592"/>
      <c r="AU80" s="591"/>
      <c r="AV80" s="592"/>
      <c r="AW80" s="591"/>
      <c r="AX80" s="592"/>
      <c r="AY80" s="589">
        <f>+AR80</f>
        <v>0</v>
      </c>
      <c r="AZ80" s="593"/>
      <c r="BA80" s="577"/>
      <c r="BB80" s="537"/>
      <c r="BC80" s="537"/>
      <c r="BD80" s="537"/>
    </row>
    <row r="81" spans="1:56" x14ac:dyDescent="0.3">
      <c r="A81" s="537"/>
      <c r="B81" s="691"/>
      <c r="D81" s="537"/>
      <c r="E81" s="537"/>
      <c r="F81" s="537"/>
      <c r="G81" s="537"/>
      <c r="H81" s="537"/>
      <c r="I81" s="537"/>
      <c r="J81" s="422"/>
      <c r="K81" s="422"/>
      <c r="L81" s="537"/>
      <c r="M81" s="537"/>
      <c r="N81" s="537"/>
      <c r="O81" s="422"/>
      <c r="P81" s="422"/>
      <c r="Q81" s="422"/>
      <c r="R81" s="422"/>
      <c r="S81" s="422"/>
      <c r="T81" s="422"/>
      <c r="U81" s="422"/>
      <c r="V81" s="422"/>
      <c r="W81" s="422"/>
      <c r="X81" s="422"/>
      <c r="Y81" s="422"/>
      <c r="Z81" s="537"/>
      <c r="AA81" s="537"/>
      <c r="AB81" s="537"/>
      <c r="AC81" s="537"/>
      <c r="AD81" s="537"/>
      <c r="AE81" s="537"/>
      <c r="AF81" s="537"/>
      <c r="AG81" s="537"/>
      <c r="AH81" s="537"/>
      <c r="AI81" s="537"/>
      <c r="AJ81" s="537"/>
      <c r="AK81" s="537"/>
      <c r="AL81" s="537"/>
      <c r="AM81" s="537"/>
      <c r="AN81" s="537"/>
      <c r="AO81" s="537"/>
      <c r="AP81" s="537"/>
      <c r="AQ81" s="537"/>
      <c r="AR81" s="537"/>
      <c r="AS81" s="537"/>
      <c r="AT81" s="537"/>
      <c r="AU81" s="537"/>
      <c r="AV81" s="537"/>
      <c r="AW81" s="537"/>
      <c r="AX81" s="537"/>
      <c r="AY81" s="537"/>
      <c r="AZ81" s="537"/>
      <c r="BA81" s="537"/>
      <c r="BB81" s="537"/>
      <c r="BC81" s="537"/>
      <c r="BD81" s="537"/>
    </row>
    <row r="82" spans="1:56" x14ac:dyDescent="0.3">
      <c r="D82" s="537"/>
      <c r="E82" s="537"/>
      <c r="F82" s="537"/>
      <c r="G82" s="537"/>
      <c r="H82" s="537"/>
      <c r="I82" s="537"/>
      <c r="J82" s="422"/>
      <c r="K82" s="422"/>
      <c r="L82" s="537"/>
      <c r="M82" s="537"/>
      <c r="N82" s="537"/>
      <c r="O82" s="422"/>
      <c r="P82" s="422"/>
      <c r="Q82" s="422"/>
      <c r="R82" s="422"/>
      <c r="S82" s="422"/>
      <c r="T82" s="422"/>
      <c r="U82" s="422"/>
      <c r="V82" s="422"/>
      <c r="W82" s="422"/>
      <c r="X82" s="422"/>
      <c r="Y82" s="422"/>
      <c r="Z82" s="537"/>
      <c r="AA82" s="537"/>
      <c r="AB82" s="694"/>
      <c r="AC82" s="537"/>
      <c r="AD82" s="537"/>
      <c r="AE82" s="537"/>
      <c r="AF82" s="537"/>
      <c r="AG82" s="537"/>
      <c r="AH82" s="537"/>
      <c r="AI82" s="537"/>
      <c r="AJ82" s="537"/>
      <c r="AK82" s="537"/>
      <c r="AL82" s="537"/>
      <c r="AM82" s="537"/>
      <c r="AN82" s="537"/>
      <c r="AO82" s="537"/>
      <c r="AP82" s="537"/>
      <c r="AQ82" s="537"/>
      <c r="AR82" s="537"/>
      <c r="AS82" s="537"/>
      <c r="AT82" s="537"/>
      <c r="AU82" s="537"/>
      <c r="AV82" s="537"/>
      <c r="AW82" s="537"/>
      <c r="AX82" s="537"/>
      <c r="AY82" s="537"/>
      <c r="AZ82" s="537"/>
      <c r="BA82" s="537"/>
      <c r="BB82" s="537"/>
      <c r="BC82" s="537"/>
      <c r="BD82" s="537"/>
    </row>
    <row r="83" spans="1:56" x14ac:dyDescent="0.3">
      <c r="D83" s="537"/>
      <c r="E83" s="537"/>
      <c r="F83" s="537"/>
      <c r="G83" s="537"/>
      <c r="H83" s="537"/>
      <c r="I83" s="537"/>
      <c r="J83" s="422"/>
      <c r="K83" s="422"/>
      <c r="L83" s="537"/>
      <c r="M83" s="537"/>
      <c r="N83" s="537"/>
      <c r="O83" s="422"/>
      <c r="P83" s="422"/>
      <c r="Q83" s="422"/>
      <c r="R83" s="422"/>
      <c r="S83" s="422"/>
      <c r="T83" s="422"/>
      <c r="U83" s="422"/>
      <c r="V83" s="422"/>
      <c r="W83" s="422"/>
      <c r="X83" s="422"/>
      <c r="Y83" s="422"/>
      <c r="Z83" s="537"/>
      <c r="AA83" s="537"/>
      <c r="AB83" s="694"/>
      <c r="AC83" s="537"/>
      <c r="AD83" s="537"/>
      <c r="AE83" s="537"/>
      <c r="AF83" s="537"/>
      <c r="AG83" s="537"/>
      <c r="AH83" s="537"/>
      <c r="AI83" s="537"/>
      <c r="AJ83" s="537"/>
      <c r="AK83" s="537"/>
      <c r="AL83" s="537"/>
      <c r="AM83" s="537"/>
      <c r="AN83" s="537"/>
      <c r="AO83" s="537"/>
      <c r="AP83" s="537"/>
      <c r="AQ83" s="537"/>
      <c r="AR83" s="537"/>
      <c r="AS83" s="537"/>
      <c r="AT83" s="537"/>
      <c r="AU83" s="537"/>
      <c r="AV83" s="537"/>
      <c r="AW83" s="537"/>
      <c r="AX83" s="537"/>
      <c r="AY83" s="537"/>
      <c r="AZ83" s="537"/>
      <c r="BA83" s="537"/>
      <c r="BB83" s="537"/>
      <c r="BC83" s="537"/>
      <c r="BD83" s="537"/>
    </row>
    <row r="84" spans="1:56" x14ac:dyDescent="0.3">
      <c r="D84" s="537"/>
      <c r="E84" s="537"/>
      <c r="F84" s="537"/>
      <c r="G84" s="537"/>
      <c r="H84" s="537"/>
      <c r="I84" s="537"/>
      <c r="J84" s="422"/>
      <c r="K84" s="422"/>
      <c r="L84" s="537"/>
      <c r="M84" s="537"/>
      <c r="N84" s="537"/>
      <c r="O84" s="422"/>
      <c r="P84" s="422"/>
      <c r="Q84" s="422"/>
      <c r="R84" s="422"/>
      <c r="S84" s="422"/>
      <c r="T84" s="422"/>
      <c r="U84" s="422"/>
      <c r="V84" s="422"/>
      <c r="W84" s="422"/>
      <c r="X84" s="422"/>
      <c r="Y84" s="422"/>
      <c r="Z84" s="537"/>
      <c r="AA84" s="537"/>
      <c r="AB84" s="694"/>
      <c r="AC84" s="537"/>
      <c r="AD84" s="537"/>
      <c r="AE84" s="537"/>
      <c r="AF84" s="537"/>
      <c r="AG84" s="537"/>
      <c r="AH84" s="537"/>
      <c r="AI84" s="537"/>
      <c r="AJ84" s="537"/>
      <c r="AK84" s="537"/>
      <c r="AL84" s="537"/>
      <c r="AM84" s="537"/>
      <c r="AN84" s="537"/>
      <c r="AO84" s="537"/>
      <c r="AP84" s="537"/>
      <c r="AQ84" s="537"/>
      <c r="AR84" s="537"/>
      <c r="AS84" s="537"/>
      <c r="AT84" s="537"/>
      <c r="AU84" s="537"/>
      <c r="AV84" s="537"/>
      <c r="AW84" s="537"/>
      <c r="AX84" s="537"/>
      <c r="AY84" s="537"/>
      <c r="AZ84" s="537"/>
      <c r="BA84" s="537"/>
      <c r="BB84" s="537"/>
      <c r="BC84" s="537"/>
      <c r="BD84" s="537"/>
    </row>
    <row r="85" spans="1:56" ht="27" x14ac:dyDescent="0.3">
      <c r="A85" s="537"/>
      <c r="B85" s="527"/>
      <c r="D85" s="520" t="s">
        <v>419</v>
      </c>
      <c r="E85" s="560" t="s">
        <v>154</v>
      </c>
      <c r="F85" s="520"/>
      <c r="G85" s="520"/>
      <c r="H85" s="520" t="s">
        <v>433</v>
      </c>
      <c r="I85" s="520" t="s">
        <v>158</v>
      </c>
      <c r="J85" s="560" t="s">
        <v>425</v>
      </c>
      <c r="K85" s="461" t="s">
        <v>426</v>
      </c>
      <c r="L85" s="560" t="s">
        <v>136</v>
      </c>
      <c r="M85" s="560" t="s">
        <v>159</v>
      </c>
      <c r="N85" s="560" t="s">
        <v>160</v>
      </c>
      <c r="O85" s="422"/>
      <c r="P85" s="422"/>
      <c r="Q85" s="422"/>
      <c r="R85" s="422"/>
      <c r="S85" s="422"/>
      <c r="T85" s="422"/>
      <c r="U85" s="422"/>
      <c r="V85" s="422"/>
      <c r="W85" s="422"/>
      <c r="X85" s="422"/>
      <c r="Y85" s="422"/>
      <c r="Z85" s="537"/>
      <c r="AA85" s="537"/>
      <c r="AB85" s="694"/>
      <c r="AC85" s="537"/>
      <c r="AD85" s="537"/>
      <c r="AE85" s="537"/>
      <c r="AF85" s="537"/>
      <c r="AG85" s="537"/>
      <c r="AH85" s="537"/>
      <c r="AI85" s="537"/>
      <c r="AJ85" s="537"/>
      <c r="AK85" s="537"/>
      <c r="AL85" s="537"/>
      <c r="AM85" s="537"/>
      <c r="AN85" s="537"/>
      <c r="AO85" s="537"/>
      <c r="AP85" s="537"/>
      <c r="AQ85" s="537"/>
      <c r="AR85" s="537"/>
      <c r="AS85" s="537"/>
      <c r="AT85" s="537"/>
      <c r="AU85" s="537"/>
      <c r="AV85" s="537"/>
      <c r="AW85" s="537"/>
      <c r="AX85" s="537"/>
      <c r="AY85" s="537"/>
      <c r="AZ85" s="537"/>
      <c r="BA85" s="537"/>
      <c r="BB85" s="537"/>
      <c r="BC85" s="537"/>
      <c r="BD85" s="537"/>
    </row>
    <row r="86" spans="1:56" ht="27" x14ac:dyDescent="0.3">
      <c r="A86" s="827" t="s">
        <v>492</v>
      </c>
      <c r="B86" s="527"/>
      <c r="D86" s="520" t="s">
        <v>501</v>
      </c>
      <c r="E86" s="520"/>
      <c r="F86" s="520"/>
      <c r="G86" s="553"/>
      <c r="H86" s="553"/>
      <c r="I86" s="553"/>
      <c r="J86" s="519"/>
      <c r="K86" s="519"/>
      <c r="L86" s="554"/>
      <c r="M86" s="574">
        <f>E2</f>
        <v>0.2</v>
      </c>
      <c r="N86" s="553">
        <f>L86/(1-M86)</f>
        <v>0</v>
      </c>
      <c r="O86" s="422"/>
      <c r="P86" s="422"/>
      <c r="Q86" s="422"/>
      <c r="R86" s="422"/>
      <c r="S86" s="422"/>
      <c r="T86" s="422"/>
      <c r="U86" s="422"/>
      <c r="V86" s="422"/>
      <c r="W86" s="422"/>
      <c r="X86" s="422"/>
      <c r="Y86" s="422"/>
      <c r="Z86" s="537"/>
      <c r="AA86" s="537"/>
      <c r="AB86" s="537"/>
      <c r="AC86" s="537"/>
      <c r="AD86" s="537"/>
      <c r="AE86" s="537"/>
      <c r="AF86" s="537"/>
      <c r="AG86" s="537"/>
      <c r="AH86" s="537"/>
      <c r="AI86" s="537"/>
      <c r="AJ86" s="537"/>
      <c r="AK86" s="537"/>
      <c r="AL86" s="537"/>
      <c r="AM86" s="537"/>
      <c r="AN86" s="537"/>
      <c r="AO86" s="537"/>
      <c r="AP86" s="537"/>
      <c r="AQ86" s="537"/>
      <c r="AR86" s="537"/>
      <c r="AS86" s="537"/>
      <c r="AT86" s="537"/>
      <c r="AU86" s="537"/>
      <c r="AV86" s="537"/>
      <c r="AW86" s="537"/>
      <c r="AX86" s="537"/>
      <c r="AY86" s="537"/>
      <c r="AZ86" s="537"/>
      <c r="BA86" s="537"/>
      <c r="BB86" s="537"/>
      <c r="BC86" s="537"/>
      <c r="BD86" s="537"/>
    </row>
    <row r="87" spans="1:56" x14ac:dyDescent="0.3">
      <c r="D87" s="520" t="s">
        <v>502</v>
      </c>
      <c r="E87" s="520"/>
      <c r="F87" s="520"/>
      <c r="G87" s="520"/>
      <c r="H87" s="520"/>
      <c r="I87" s="520"/>
      <c r="J87" s="519"/>
      <c r="K87" s="519"/>
      <c r="L87" s="706"/>
      <c r="M87" s="574">
        <f>M86</f>
        <v>0.2</v>
      </c>
      <c r="N87" s="553">
        <f>L87/(1-M87)</f>
        <v>0</v>
      </c>
      <c r="O87" s="422"/>
      <c r="P87" s="422"/>
      <c r="Q87" s="422"/>
      <c r="R87" s="422"/>
      <c r="S87" s="422"/>
      <c r="T87" s="422"/>
      <c r="U87" s="422"/>
      <c r="V87" s="422"/>
      <c r="W87" s="422"/>
      <c r="X87" s="422"/>
      <c r="Y87" s="422"/>
      <c r="Z87" s="537"/>
      <c r="AA87" s="537"/>
      <c r="AB87" s="537"/>
      <c r="AC87" s="537"/>
      <c r="AD87" s="537"/>
      <c r="AE87" s="537"/>
      <c r="AF87" s="537"/>
      <c r="AG87" s="537"/>
      <c r="AH87" s="537"/>
      <c r="AI87" s="537"/>
      <c r="AJ87" s="537"/>
      <c r="AK87" s="537"/>
      <c r="AL87" s="537"/>
      <c r="AM87" s="537"/>
      <c r="AN87" s="537"/>
      <c r="AO87" s="537"/>
      <c r="AP87" s="537"/>
      <c r="AQ87" s="537"/>
      <c r="AR87" s="537"/>
      <c r="AS87" s="537"/>
      <c r="AT87" s="537"/>
      <c r="AU87" s="537"/>
      <c r="AV87" s="537"/>
      <c r="AW87" s="537"/>
      <c r="AX87" s="537"/>
      <c r="AY87" s="537"/>
      <c r="AZ87" s="537"/>
      <c r="BA87" s="537"/>
      <c r="BB87" s="537"/>
      <c r="BC87" s="537"/>
      <c r="BD87" s="537"/>
    </row>
    <row r="88" spans="1:56" x14ac:dyDescent="0.3">
      <c r="D88" s="520" t="s">
        <v>503</v>
      </c>
      <c r="E88" s="520"/>
      <c r="F88" s="520"/>
      <c r="G88" s="520"/>
      <c r="H88" s="520"/>
      <c r="I88" s="520"/>
      <c r="J88" s="519"/>
      <c r="K88" s="519"/>
      <c r="L88" s="706"/>
      <c r="M88" s="574">
        <f>M87</f>
        <v>0.2</v>
      </c>
      <c r="N88" s="553">
        <f>L88/(1-M88)</f>
        <v>0</v>
      </c>
      <c r="O88" s="422"/>
      <c r="P88" s="422"/>
      <c r="Q88" s="422"/>
      <c r="R88" s="422"/>
      <c r="S88" s="422"/>
      <c r="T88" s="422"/>
      <c r="U88" s="422"/>
      <c r="V88" s="422"/>
      <c r="W88" s="422"/>
      <c r="X88" s="422"/>
      <c r="Y88" s="422"/>
      <c r="Z88" s="537"/>
      <c r="AA88" s="537"/>
      <c r="AB88" s="537"/>
      <c r="AC88" s="537"/>
      <c r="AD88" s="537"/>
      <c r="AE88" s="537"/>
      <c r="AF88" s="537"/>
      <c r="AG88" s="537"/>
      <c r="AH88" s="537"/>
      <c r="AI88" s="537"/>
      <c r="AJ88" s="537"/>
      <c r="AK88" s="537"/>
      <c r="AL88" s="537"/>
      <c r="AM88" s="537"/>
      <c r="AN88" s="537"/>
      <c r="AO88" s="537"/>
      <c r="AP88" s="537"/>
      <c r="AQ88" s="537"/>
      <c r="AR88" s="537"/>
      <c r="AS88" s="537"/>
      <c r="AT88" s="537"/>
      <c r="AU88" s="537"/>
      <c r="AV88" s="537"/>
      <c r="AW88" s="537"/>
      <c r="AX88" s="537"/>
      <c r="AY88" s="537"/>
      <c r="AZ88" s="537"/>
      <c r="BA88" s="537"/>
      <c r="BB88" s="537"/>
      <c r="BC88" s="537"/>
      <c r="BD88" s="537"/>
    </row>
    <row r="89" spans="1:56" x14ac:dyDescent="0.3">
      <c r="D89" s="520"/>
      <c r="E89" s="520"/>
      <c r="F89" s="520"/>
      <c r="G89" s="520"/>
      <c r="H89" s="520"/>
      <c r="I89" s="520"/>
      <c r="J89" s="519"/>
      <c r="K89" s="519"/>
      <c r="L89" s="706"/>
      <c r="M89" s="574"/>
      <c r="N89" s="553"/>
      <c r="O89" s="422"/>
      <c r="P89" s="422"/>
      <c r="Q89" s="422"/>
      <c r="R89" s="422"/>
      <c r="S89" s="422"/>
      <c r="T89" s="422"/>
      <c r="U89" s="422"/>
      <c r="V89" s="422"/>
      <c r="W89" s="422"/>
      <c r="X89" s="422"/>
      <c r="Y89" s="422"/>
      <c r="Z89" s="537"/>
      <c r="AA89" s="537"/>
      <c r="AB89" s="537"/>
      <c r="AC89" s="537"/>
      <c r="AD89" s="537"/>
      <c r="AE89" s="537"/>
      <c r="AF89" s="537"/>
      <c r="AG89" s="537"/>
      <c r="AH89" s="537"/>
      <c r="AI89" s="537"/>
      <c r="AJ89" s="537"/>
      <c r="AK89" s="537"/>
      <c r="AL89" s="537"/>
      <c r="AM89" s="537"/>
      <c r="AN89" s="537"/>
      <c r="AO89" s="537"/>
      <c r="AP89" s="537"/>
      <c r="AQ89" s="537"/>
      <c r="AR89" s="537"/>
      <c r="AS89" s="537"/>
      <c r="AT89" s="537"/>
      <c r="AU89" s="537"/>
      <c r="AV89" s="537"/>
      <c r="AW89" s="537"/>
      <c r="AX89" s="537"/>
      <c r="AY89" s="537"/>
      <c r="AZ89" s="537"/>
      <c r="BA89" s="537"/>
      <c r="BB89" s="537"/>
      <c r="BC89" s="537"/>
      <c r="BD89" s="537"/>
    </row>
    <row r="90" spans="1:56" x14ac:dyDescent="0.3">
      <c r="D90" s="520"/>
      <c r="E90" s="520"/>
      <c r="F90" s="520"/>
      <c r="G90" s="520"/>
      <c r="H90" s="520"/>
      <c r="I90" s="520"/>
      <c r="J90" s="519"/>
      <c r="K90" s="519"/>
      <c r="L90" s="706"/>
      <c r="M90" s="574"/>
      <c r="N90" s="553"/>
      <c r="O90" s="422"/>
      <c r="P90" s="422"/>
      <c r="Q90" s="422"/>
      <c r="R90" s="422"/>
      <c r="S90" s="422"/>
      <c r="T90" s="422"/>
      <c r="U90" s="422"/>
      <c r="V90" s="422"/>
      <c r="W90" s="422"/>
      <c r="X90" s="422"/>
      <c r="Y90" s="422"/>
      <c r="Z90" s="537"/>
      <c r="AA90" s="537"/>
      <c r="AB90" s="537"/>
      <c r="AC90" s="537"/>
      <c r="AD90" s="537"/>
      <c r="AE90" s="537"/>
      <c r="AF90" s="537"/>
      <c r="AG90" s="537"/>
      <c r="AH90" s="537"/>
      <c r="AI90" s="537"/>
      <c r="AJ90" s="537"/>
      <c r="AK90" s="537"/>
      <c r="AL90" s="537"/>
      <c r="AM90" s="537"/>
      <c r="AN90" s="537"/>
      <c r="AO90" s="537"/>
      <c r="AP90" s="537"/>
      <c r="AQ90" s="537"/>
      <c r="AR90" s="537"/>
      <c r="AS90" s="537"/>
      <c r="AT90" s="537"/>
      <c r="AU90" s="537"/>
      <c r="AV90" s="537"/>
      <c r="AW90" s="537"/>
      <c r="AX90" s="537"/>
      <c r="AY90" s="537"/>
      <c r="AZ90" s="537"/>
      <c r="BA90" s="537"/>
      <c r="BB90" s="537"/>
      <c r="BC90" s="537"/>
      <c r="BD90" s="537"/>
    </row>
    <row r="91" spans="1:56" x14ac:dyDescent="0.3">
      <c r="D91" s="520"/>
      <c r="E91" s="520"/>
      <c r="F91" s="520"/>
      <c r="G91" s="520"/>
      <c r="H91" s="520"/>
      <c r="I91" s="520"/>
      <c r="J91" s="519"/>
      <c r="K91" s="519"/>
      <c r="L91" s="706"/>
      <c r="M91" s="574"/>
      <c r="N91" s="553"/>
      <c r="O91" s="422"/>
      <c r="P91" s="422"/>
      <c r="Q91" s="422"/>
      <c r="R91" s="422"/>
      <c r="S91" s="422"/>
      <c r="T91" s="422"/>
      <c r="U91" s="422"/>
      <c r="V91" s="422"/>
      <c r="W91" s="422"/>
      <c r="X91" s="422"/>
      <c r="Y91" s="422"/>
      <c r="Z91" s="537"/>
      <c r="AA91" s="537"/>
      <c r="AB91" s="537"/>
      <c r="AC91" s="537"/>
      <c r="AD91" s="537"/>
      <c r="AE91" s="537"/>
      <c r="AF91" s="537"/>
      <c r="AG91" s="537"/>
      <c r="AH91" s="537"/>
      <c r="AI91" s="537"/>
      <c r="AJ91" s="537"/>
      <c r="AK91" s="537"/>
      <c r="AL91" s="537"/>
      <c r="AM91" s="537"/>
      <c r="AN91" s="537"/>
      <c r="AO91" s="537"/>
      <c r="AP91" s="537"/>
      <c r="AQ91" s="537"/>
      <c r="AR91" s="537"/>
      <c r="AS91" s="537"/>
      <c r="AT91" s="537"/>
      <c r="AU91" s="537"/>
      <c r="AV91" s="537"/>
      <c r="AW91" s="537"/>
      <c r="AX91" s="537"/>
      <c r="AY91" s="537"/>
      <c r="AZ91" s="537"/>
      <c r="BA91" s="537"/>
      <c r="BB91" s="537"/>
      <c r="BC91" s="537"/>
      <c r="BD91" s="537"/>
    </row>
    <row r="92" spans="1:56" x14ac:dyDescent="0.3">
      <c r="D92" s="865" t="s">
        <v>449</v>
      </c>
      <c r="E92" s="866"/>
      <c r="F92" s="866"/>
      <c r="G92" s="866"/>
      <c r="H92" s="866"/>
      <c r="I92" s="866"/>
      <c r="J92" s="866"/>
      <c r="K92" s="867"/>
      <c r="L92" s="701">
        <f>ROUNDUP((SUM(L86:L91)),0)</f>
        <v>0</v>
      </c>
      <c r="M92" s="699"/>
      <c r="N92" s="701">
        <f>ROUNDUP((SUM(N86:N91)),0)</f>
        <v>0</v>
      </c>
      <c r="O92" s="422"/>
      <c r="P92" s="422"/>
      <c r="Q92" s="422"/>
      <c r="R92" s="422"/>
      <c r="S92" s="422"/>
      <c r="T92" s="422"/>
      <c r="U92" s="422"/>
      <c r="V92" s="422"/>
      <c r="W92" s="422"/>
      <c r="X92" s="422"/>
      <c r="Y92" s="422"/>
      <c r="Z92" s="537"/>
      <c r="AA92" s="537"/>
      <c r="AB92" s="537"/>
      <c r="AC92" s="537"/>
      <c r="AD92" s="537"/>
      <c r="AE92" s="537"/>
      <c r="AF92" s="537"/>
      <c r="AG92" s="537"/>
      <c r="AH92" s="537"/>
      <c r="AI92" s="537"/>
      <c r="AJ92" s="537"/>
      <c r="AK92" s="537"/>
      <c r="AL92" s="537"/>
      <c r="AM92" s="537"/>
      <c r="AN92" s="537"/>
      <c r="AO92" s="537"/>
      <c r="AP92" s="537"/>
      <c r="AQ92" s="537"/>
      <c r="AR92" s="537"/>
      <c r="AS92" s="537"/>
      <c r="AT92" s="537"/>
      <c r="AU92" s="537"/>
      <c r="AV92" s="537"/>
      <c r="AW92" s="537"/>
      <c r="AX92" s="537"/>
      <c r="AY92" s="537"/>
      <c r="AZ92" s="537"/>
      <c r="BA92" s="537"/>
      <c r="BB92" s="537"/>
      <c r="BC92" s="537"/>
      <c r="BD92" s="537"/>
    </row>
    <row r="93" spans="1:56" x14ac:dyDescent="0.3">
      <c r="D93" s="699"/>
      <c r="E93" s="699"/>
      <c r="F93" s="699"/>
      <c r="G93" s="699"/>
      <c r="H93" s="699" t="s">
        <v>476</v>
      </c>
      <c r="I93" s="699"/>
      <c r="J93" s="700" t="s">
        <v>425</v>
      </c>
      <c r="K93" s="700" t="s">
        <v>426</v>
      </c>
      <c r="L93" s="699"/>
      <c r="M93" s="699"/>
      <c r="N93" s="699"/>
      <c r="O93" s="422"/>
      <c r="P93" s="422"/>
      <c r="Q93" s="422"/>
      <c r="R93" s="422"/>
      <c r="S93" s="422"/>
      <c r="T93" s="422"/>
      <c r="U93" s="422"/>
      <c r="V93" s="422"/>
      <c r="W93" s="422"/>
      <c r="X93" s="422"/>
      <c r="Y93" s="422"/>
      <c r="Z93" s="537"/>
      <c r="AA93" s="537"/>
      <c r="AB93" s="537"/>
      <c r="AC93" s="537"/>
      <c r="AD93" s="537"/>
      <c r="AE93" s="537"/>
      <c r="AF93" s="537"/>
      <c r="AG93" s="537"/>
      <c r="AH93" s="537"/>
      <c r="AI93" s="537"/>
      <c r="AJ93" s="537"/>
      <c r="AK93" s="537"/>
      <c r="AL93" s="537"/>
      <c r="AM93" s="537"/>
      <c r="AN93" s="537"/>
      <c r="AO93" s="537"/>
      <c r="AP93" s="537"/>
      <c r="AQ93" s="537"/>
      <c r="AR93" s="537"/>
      <c r="AS93" s="537"/>
      <c r="AT93" s="537"/>
      <c r="AU93" s="537"/>
      <c r="AV93" s="537"/>
      <c r="AW93" s="537"/>
      <c r="AX93" s="537"/>
      <c r="AY93" s="537"/>
      <c r="AZ93" s="537"/>
      <c r="BA93" s="537"/>
      <c r="BB93" s="537"/>
      <c r="BC93" s="537"/>
      <c r="BD93" s="537"/>
    </row>
    <row r="94" spans="1:56" ht="28.2" customHeight="1" x14ac:dyDescent="0.3">
      <c r="A94" s="828" t="s">
        <v>493</v>
      </c>
      <c r="D94" s="520" t="s">
        <v>508</v>
      </c>
      <c r="E94" s="520"/>
      <c r="F94" s="520"/>
      <c r="G94" s="553"/>
      <c r="H94" s="554">
        <f>Costos!H9</f>
        <v>15.648496240601503</v>
      </c>
      <c r="I94" s="553"/>
      <c r="J94" s="519">
        <v>2</v>
      </c>
      <c r="K94" s="519">
        <v>12</v>
      </c>
      <c r="L94" s="553">
        <f>K94*J94*H94</f>
        <v>375.56390977443607</v>
      </c>
      <c r="M94" s="574">
        <f>Costos!J2</f>
        <v>0.2</v>
      </c>
      <c r="N94" s="553">
        <f>L94/(1-M94)</f>
        <v>469.45488721804509</v>
      </c>
      <c r="O94" s="422"/>
      <c r="P94" s="422"/>
      <c r="Q94" s="422"/>
      <c r="R94" s="422"/>
      <c r="S94" s="422"/>
      <c r="T94" s="422"/>
      <c r="U94" s="422"/>
      <c r="V94" s="422"/>
      <c r="W94" s="422"/>
      <c r="X94" s="422"/>
      <c r="Y94" s="422"/>
      <c r="Z94" s="694">
        <f>N94/36</f>
        <v>13.040413533834586</v>
      </c>
      <c r="AA94" s="537"/>
      <c r="AB94" s="537"/>
      <c r="AC94" s="537"/>
      <c r="AD94" s="537"/>
      <c r="AE94" s="537"/>
      <c r="AF94" s="537"/>
      <c r="AG94" s="537"/>
      <c r="AH94" s="537"/>
      <c r="AI94" s="537"/>
      <c r="AJ94" s="537"/>
      <c r="AK94" s="537"/>
      <c r="AL94" s="537"/>
      <c r="AM94" s="537"/>
      <c r="AN94" s="537"/>
      <c r="AO94" s="537"/>
      <c r="AP94" s="537"/>
      <c r="AQ94" s="537"/>
      <c r="AR94" s="537"/>
      <c r="AS94" s="537"/>
      <c r="AT94" s="537"/>
      <c r="AU94" s="537"/>
      <c r="AV94" s="537"/>
      <c r="AW94" s="537"/>
      <c r="AX94" s="537"/>
      <c r="AY94" s="537"/>
      <c r="AZ94" s="537"/>
      <c r="BA94" s="537"/>
      <c r="BB94" s="537"/>
      <c r="BC94" s="537"/>
      <c r="BD94" s="537"/>
    </row>
    <row r="95" spans="1:56" x14ac:dyDescent="0.3">
      <c r="A95" s="826"/>
      <c r="D95" s="520" t="s">
        <v>521</v>
      </c>
      <c r="E95" s="520"/>
      <c r="F95" s="520"/>
      <c r="G95" s="553"/>
      <c r="H95" s="554">
        <f>Costos!G5</f>
        <v>23.182957393483708</v>
      </c>
      <c r="I95" s="553"/>
      <c r="J95" s="519">
        <v>6</v>
      </c>
      <c r="K95" s="519">
        <v>12</v>
      </c>
      <c r="L95" s="553">
        <f>H95*J95*K95</f>
        <v>1669.1729323308271</v>
      </c>
      <c r="M95" s="574">
        <f>E2</f>
        <v>0.2</v>
      </c>
      <c r="N95" s="553">
        <f>L95/(1-M95)</f>
        <v>2086.4661654135339</v>
      </c>
      <c r="O95" s="422"/>
      <c r="P95" s="422"/>
      <c r="Q95" s="422"/>
      <c r="R95" s="422"/>
      <c r="S95" s="422"/>
      <c r="T95" s="422"/>
      <c r="U95" s="422"/>
      <c r="V95" s="422"/>
      <c r="W95" s="422"/>
      <c r="X95" s="422"/>
      <c r="Y95" s="422"/>
      <c r="Z95" s="537"/>
      <c r="AA95" s="537"/>
      <c r="AB95" s="537"/>
      <c r="AC95" s="537"/>
      <c r="AD95" s="537"/>
      <c r="AE95" s="537"/>
      <c r="AF95" s="537"/>
      <c r="AG95" s="537"/>
      <c r="AH95" s="537"/>
      <c r="AI95" s="537"/>
      <c r="AJ95" s="537"/>
      <c r="AK95" s="537"/>
      <c r="AL95" s="537"/>
      <c r="AM95" s="537"/>
      <c r="AN95" s="537"/>
      <c r="AO95" s="537"/>
      <c r="AP95" s="537"/>
      <c r="AQ95" s="537"/>
      <c r="AR95" s="537"/>
      <c r="AS95" s="537"/>
      <c r="AT95" s="537"/>
      <c r="AU95" s="537"/>
      <c r="AV95" s="537"/>
      <c r="AW95" s="537"/>
      <c r="AX95" s="537"/>
      <c r="AY95" s="537"/>
      <c r="AZ95" s="537"/>
      <c r="BA95" s="537"/>
      <c r="BB95" s="537"/>
      <c r="BC95" s="537"/>
      <c r="BD95" s="537"/>
    </row>
    <row r="96" spans="1:56" x14ac:dyDescent="0.3">
      <c r="A96" s="826"/>
      <c r="D96" s="520" t="s">
        <v>176</v>
      </c>
      <c r="E96" s="520"/>
      <c r="F96" s="520"/>
      <c r="G96" s="553"/>
      <c r="H96" s="554"/>
      <c r="I96" s="553"/>
      <c r="J96" s="519"/>
      <c r="K96" s="519"/>
      <c r="L96" s="553"/>
      <c r="M96" s="574">
        <v>0</v>
      </c>
      <c r="N96" s="553">
        <f>L96/(1-M96)</f>
        <v>0</v>
      </c>
      <c r="O96" s="422"/>
      <c r="P96" s="422"/>
      <c r="Q96" s="422"/>
      <c r="R96" s="422"/>
      <c r="S96" s="422"/>
      <c r="T96" s="422"/>
      <c r="U96" s="422"/>
      <c r="V96" s="422"/>
      <c r="W96" s="422"/>
      <c r="X96" s="422"/>
      <c r="Y96" s="422"/>
      <c r="Z96" s="537"/>
      <c r="AA96" s="537"/>
      <c r="AB96" s="537"/>
      <c r="AC96" s="537"/>
      <c r="AD96" s="537"/>
      <c r="AE96" s="537"/>
      <c r="AF96" s="537"/>
      <c r="AG96" s="537"/>
      <c r="AH96" s="537"/>
      <c r="AI96" s="537"/>
      <c r="AJ96" s="537"/>
      <c r="AK96" s="537"/>
      <c r="AL96" s="537"/>
      <c r="AM96" s="537"/>
      <c r="AN96" s="537"/>
      <c r="AO96" s="537"/>
      <c r="AP96" s="537"/>
      <c r="AQ96" s="537"/>
      <c r="AR96" s="537"/>
      <c r="AS96" s="537"/>
      <c r="AT96" s="537"/>
      <c r="AU96" s="537"/>
      <c r="AV96" s="537"/>
      <c r="AW96" s="537"/>
      <c r="AX96" s="537"/>
      <c r="AY96" s="537"/>
      <c r="AZ96" s="537"/>
      <c r="BA96" s="537"/>
      <c r="BB96" s="537"/>
      <c r="BC96" s="537"/>
      <c r="BD96" s="537"/>
    </row>
    <row r="97" spans="1:56" x14ac:dyDescent="0.3">
      <c r="A97" s="826"/>
      <c r="D97" s="520" t="s">
        <v>177</v>
      </c>
      <c r="E97" s="520"/>
      <c r="F97" s="520"/>
      <c r="G97" s="553"/>
      <c r="H97" s="554"/>
      <c r="I97" s="553"/>
      <c r="J97" s="519"/>
      <c r="K97" s="519"/>
      <c r="L97" s="553"/>
      <c r="M97" s="574">
        <v>0</v>
      </c>
      <c r="N97" s="553">
        <f>L97/(1-M97)</f>
        <v>0</v>
      </c>
      <c r="O97" s="422"/>
      <c r="P97" s="422"/>
      <c r="Q97" s="422"/>
      <c r="R97" s="422"/>
      <c r="S97" s="422"/>
      <c r="T97" s="422"/>
      <c r="U97" s="422"/>
      <c r="V97" s="422"/>
      <c r="W97" s="422"/>
      <c r="X97" s="422"/>
      <c r="Y97" s="422"/>
      <c r="Z97" s="537"/>
      <c r="AA97" s="537"/>
      <c r="AB97" s="537"/>
      <c r="AC97" s="537"/>
      <c r="AD97" s="537"/>
      <c r="AE97" s="537"/>
      <c r="AF97" s="537"/>
      <c r="AG97" s="537"/>
      <c r="AH97" s="537"/>
      <c r="AI97" s="537"/>
      <c r="AJ97" s="537"/>
      <c r="AK97" s="537"/>
      <c r="AL97" s="537"/>
      <c r="AM97" s="537"/>
      <c r="AN97" s="537"/>
      <c r="AO97" s="537"/>
      <c r="AP97" s="537"/>
      <c r="AQ97" s="537"/>
      <c r="AR97" s="537"/>
      <c r="AS97" s="537"/>
      <c r="AT97" s="537"/>
      <c r="AU97" s="537"/>
      <c r="AV97" s="537"/>
      <c r="AW97" s="537"/>
      <c r="AX97" s="537"/>
      <c r="AY97" s="537"/>
      <c r="AZ97" s="537"/>
      <c r="BA97" s="537"/>
      <c r="BB97" s="537"/>
      <c r="BC97" s="537"/>
      <c r="BD97" s="537"/>
    </row>
    <row r="98" spans="1:56" x14ac:dyDescent="0.3">
      <c r="A98" s="826"/>
      <c r="D98" s="520" t="s">
        <v>450</v>
      </c>
      <c r="E98" s="520"/>
      <c r="F98" s="520"/>
      <c r="G98" s="520"/>
      <c r="H98" s="520"/>
      <c r="I98" s="520"/>
      <c r="J98" s="519"/>
      <c r="K98" s="519"/>
      <c r="L98" s="520"/>
      <c r="M98" s="574">
        <v>0</v>
      </c>
      <c r="N98" s="553">
        <f>L98/(1-M98)</f>
        <v>0</v>
      </c>
      <c r="O98" s="422"/>
      <c r="P98" s="422"/>
      <c r="Q98" s="422"/>
      <c r="R98" s="422"/>
      <c r="S98" s="422"/>
      <c r="T98" s="422"/>
      <c r="U98" s="422"/>
      <c r="V98" s="422"/>
      <c r="W98" s="422"/>
      <c r="X98" s="422"/>
      <c r="Y98" s="422"/>
      <c r="Z98" s="537"/>
      <c r="AA98" s="537"/>
      <c r="AB98" s="537"/>
      <c r="AC98" s="537"/>
      <c r="AD98" s="537"/>
      <c r="AE98" s="537"/>
      <c r="AF98" s="537"/>
      <c r="AG98" s="537"/>
      <c r="AH98" s="537"/>
      <c r="AI98" s="537"/>
      <c r="AJ98" s="537"/>
      <c r="AK98" s="537"/>
      <c r="AL98" s="537"/>
      <c r="AM98" s="537"/>
      <c r="AN98" s="537"/>
      <c r="AO98" s="537"/>
      <c r="AP98" s="537"/>
      <c r="AQ98" s="537"/>
      <c r="AR98" s="537"/>
      <c r="AS98" s="537"/>
      <c r="AT98" s="537"/>
      <c r="AU98" s="537"/>
      <c r="AV98" s="537"/>
      <c r="AW98" s="537"/>
      <c r="AX98" s="537"/>
      <c r="AY98" s="537"/>
      <c r="AZ98" s="537"/>
      <c r="BA98" s="537"/>
      <c r="BB98" s="537"/>
      <c r="BC98" s="537"/>
      <c r="BD98" s="537"/>
    </row>
    <row r="99" spans="1:56" ht="17.399999999999999" thickBot="1" x14ac:dyDescent="0.35">
      <c r="A99" s="826"/>
      <c r="D99" s="537"/>
      <c r="E99" s="537"/>
      <c r="F99" s="537"/>
      <c r="G99" s="537"/>
      <c r="H99" s="537"/>
      <c r="I99" s="537"/>
      <c r="J99" s="422"/>
      <c r="K99" s="422"/>
      <c r="L99" s="537"/>
      <c r="M99" s="537"/>
      <c r="N99" s="537"/>
      <c r="O99" s="422"/>
      <c r="P99" s="422"/>
      <c r="Q99" s="422"/>
      <c r="R99" s="422"/>
      <c r="S99" s="422"/>
      <c r="T99" s="422"/>
      <c r="U99" s="422"/>
      <c r="V99" s="422"/>
      <c r="W99" s="422"/>
      <c r="X99" s="422"/>
      <c r="Y99" s="422"/>
      <c r="Z99" s="537"/>
      <c r="AA99" s="537"/>
      <c r="AB99" s="537"/>
      <c r="AC99" s="537"/>
      <c r="AD99" s="537"/>
      <c r="AE99" s="537"/>
      <c r="AF99" s="537"/>
      <c r="AG99" s="537"/>
      <c r="AH99" s="537"/>
      <c r="AI99" s="537"/>
      <c r="AJ99" s="537"/>
      <c r="AK99" s="537"/>
      <c r="AL99" s="537"/>
      <c r="AM99" s="537"/>
      <c r="AN99" s="537"/>
      <c r="AO99" s="537"/>
      <c r="AP99" s="537"/>
      <c r="AQ99" s="537"/>
      <c r="AR99" s="537"/>
      <c r="AS99" s="537"/>
      <c r="AT99" s="537"/>
      <c r="AU99" s="537"/>
      <c r="AV99" s="537"/>
      <c r="AW99" s="537"/>
      <c r="AX99" s="537"/>
      <c r="AY99" s="537"/>
      <c r="AZ99" s="537"/>
      <c r="BA99" s="537"/>
      <c r="BB99" s="537"/>
      <c r="BC99" s="537"/>
      <c r="BD99" s="537"/>
    </row>
    <row r="100" spans="1:56" ht="17.399999999999999" thickBot="1" x14ac:dyDescent="0.35">
      <c r="A100" s="826"/>
      <c r="D100" s="862" t="s">
        <v>413</v>
      </c>
      <c r="E100" s="863"/>
      <c r="F100" s="863"/>
      <c r="G100" s="864"/>
      <c r="H100" s="537"/>
      <c r="I100" s="537"/>
      <c r="J100" s="422"/>
      <c r="K100" s="422"/>
      <c r="L100" s="537"/>
      <c r="M100" s="537"/>
      <c r="N100" s="537"/>
      <c r="O100" s="422"/>
      <c r="P100" s="422"/>
      <c r="Q100" s="422"/>
      <c r="R100" s="422"/>
      <c r="S100" s="422"/>
      <c r="T100" s="422"/>
      <c r="U100" s="422"/>
      <c r="V100" s="422"/>
      <c r="W100" s="422"/>
      <c r="X100" s="422"/>
      <c r="Y100" s="422"/>
      <c r="Z100" s="537"/>
      <c r="AA100" s="537"/>
      <c r="AB100" s="537"/>
      <c r="AC100" s="537"/>
      <c r="AD100" s="537"/>
      <c r="AE100" s="537"/>
      <c r="AF100" s="537"/>
      <c r="AG100" s="537"/>
      <c r="AH100" s="537"/>
      <c r="AI100" s="537"/>
      <c r="AJ100" s="537"/>
      <c r="AK100" s="537"/>
      <c r="AL100" s="537"/>
      <c r="AM100" s="537"/>
      <c r="AN100" s="537"/>
      <c r="AO100" s="537"/>
      <c r="AP100" s="537"/>
      <c r="AQ100" s="537"/>
      <c r="AR100" s="537"/>
      <c r="AS100" s="537"/>
      <c r="AT100" s="537"/>
      <c r="AU100" s="537"/>
      <c r="AV100" s="537"/>
      <c r="AW100" s="537"/>
      <c r="AX100" s="537"/>
      <c r="AY100" s="537"/>
      <c r="AZ100" s="537"/>
      <c r="BA100" s="537"/>
      <c r="BB100" s="537"/>
      <c r="BC100" s="537"/>
      <c r="BD100" s="537"/>
    </row>
    <row r="101" spans="1:56" ht="17.399999999999999" thickBot="1" x14ac:dyDescent="0.35">
      <c r="A101" s="826"/>
      <c r="D101" s="538" t="s">
        <v>54</v>
      </c>
      <c r="E101" s="555" t="s">
        <v>414</v>
      </c>
      <c r="F101" s="555" t="s">
        <v>167</v>
      </c>
      <c r="G101" s="556" t="s">
        <v>168</v>
      </c>
      <c r="H101" s="537"/>
      <c r="K101" s="422"/>
      <c r="L101" s="575"/>
      <c r="M101" s="537"/>
      <c r="N101" s="576"/>
      <c r="O101" s="422"/>
      <c r="P101" s="422"/>
      <c r="Q101" s="422"/>
      <c r="R101" s="422"/>
      <c r="S101" s="422"/>
      <c r="T101" s="422"/>
      <c r="U101" s="422"/>
      <c r="V101" s="422"/>
      <c r="W101" s="422"/>
      <c r="X101" s="422"/>
      <c r="Y101" s="422"/>
      <c r="Z101" s="537"/>
      <c r="AA101" s="537"/>
      <c r="AB101" s="537"/>
      <c r="AC101" s="537"/>
      <c r="AD101" s="537"/>
      <c r="AE101" s="537"/>
      <c r="AF101" s="537"/>
      <c r="AG101" s="537"/>
      <c r="AH101" s="537"/>
      <c r="AI101" s="537"/>
      <c r="AJ101" s="537"/>
      <c r="AK101" s="537"/>
      <c r="AL101" s="537"/>
      <c r="AM101" s="537"/>
      <c r="AN101" s="537"/>
      <c r="AO101" s="537"/>
      <c r="AP101" s="537"/>
      <c r="AQ101" s="537"/>
      <c r="AR101" s="537"/>
      <c r="AS101" s="537"/>
      <c r="AT101" s="537"/>
      <c r="AU101" s="537"/>
      <c r="AV101" s="537"/>
      <c r="AW101" s="537"/>
      <c r="AX101" s="537"/>
      <c r="AY101" s="537"/>
      <c r="AZ101" s="537"/>
      <c r="BA101" s="537"/>
      <c r="BB101" s="537"/>
      <c r="BC101" s="537"/>
      <c r="BD101" s="537"/>
    </row>
    <row r="102" spans="1:56" x14ac:dyDescent="0.3">
      <c r="A102" s="828" t="s">
        <v>494</v>
      </c>
      <c r="D102" s="539" t="s">
        <v>415</v>
      </c>
      <c r="E102" s="596">
        <v>1</v>
      </c>
      <c r="F102" s="557">
        <f>L94*E102</f>
        <v>375.56390977443607</v>
      </c>
      <c r="G102" s="558">
        <f>Implementacion!$N$94*E102</f>
        <v>469.45488721804509</v>
      </c>
      <c r="H102" s="537"/>
      <c r="K102" s="422"/>
      <c r="L102" s="537"/>
      <c r="M102" s="537"/>
      <c r="N102" s="537"/>
      <c r="O102" s="422"/>
      <c r="P102" s="422"/>
      <c r="Q102" s="422"/>
      <c r="R102" s="422"/>
      <c r="S102" s="422"/>
      <c r="T102" s="422"/>
      <c r="U102" s="422"/>
      <c r="V102" s="422"/>
      <c r="W102" s="422"/>
      <c r="X102" s="422"/>
      <c r="Y102" s="422"/>
      <c r="Z102" s="537"/>
      <c r="AA102" s="537"/>
      <c r="AB102" s="537"/>
      <c r="AC102" s="537"/>
      <c r="AD102" s="537"/>
      <c r="AE102" s="537"/>
      <c r="AF102" s="537"/>
      <c r="AG102" s="537"/>
      <c r="AH102" s="537"/>
      <c r="AI102" s="537"/>
      <c r="AJ102" s="537"/>
      <c r="AK102" s="537"/>
      <c r="AL102" s="537"/>
      <c r="AM102" s="537"/>
      <c r="AN102" s="537"/>
      <c r="AO102" s="537"/>
      <c r="AP102" s="537"/>
      <c r="AQ102" s="537"/>
      <c r="AR102" s="537"/>
      <c r="AS102" s="537"/>
      <c r="AT102" s="537"/>
      <c r="AU102" s="537"/>
      <c r="AV102" s="537"/>
      <c r="AW102" s="537"/>
      <c r="AX102" s="537"/>
      <c r="AY102" s="537"/>
      <c r="AZ102" s="537"/>
      <c r="BA102" s="537"/>
      <c r="BB102" s="537"/>
      <c r="BC102" s="537"/>
      <c r="BD102" s="537"/>
    </row>
    <row r="103" spans="1:56" x14ac:dyDescent="0.3">
      <c r="A103" s="828" t="s">
        <v>495</v>
      </c>
      <c r="D103" s="537"/>
      <c r="E103" s="537"/>
      <c r="F103" s="537"/>
      <c r="G103" s="537"/>
      <c r="H103" s="537"/>
      <c r="I103" s="537"/>
      <c r="J103" s="422"/>
      <c r="K103" s="422"/>
      <c r="L103" s="537"/>
      <c r="M103" s="537"/>
      <c r="N103" s="537"/>
      <c r="O103" s="422"/>
      <c r="P103" s="422"/>
      <c r="Q103" s="422"/>
      <c r="R103" s="422"/>
      <c r="S103" s="422"/>
      <c r="T103" s="422"/>
      <c r="U103" s="422"/>
      <c r="V103" s="422"/>
      <c r="W103" s="422"/>
      <c r="X103" s="422"/>
      <c r="Y103" s="422"/>
      <c r="Z103" s="537"/>
      <c r="AA103" s="537"/>
      <c r="AB103" s="537"/>
      <c r="AC103" s="537"/>
      <c r="AD103" s="537"/>
      <c r="AE103" s="537"/>
      <c r="AF103" s="537"/>
      <c r="AG103" s="537"/>
      <c r="AH103" s="537"/>
      <c r="AI103" s="537"/>
      <c r="AJ103" s="537"/>
      <c r="AK103" s="537"/>
      <c r="AL103" s="537"/>
      <c r="AM103" s="537"/>
      <c r="AN103" s="537"/>
      <c r="AO103" s="537"/>
      <c r="AP103" s="537"/>
      <c r="AQ103" s="537"/>
      <c r="AR103" s="537"/>
      <c r="AS103" s="537"/>
      <c r="AT103" s="537"/>
      <c r="AU103" s="537"/>
      <c r="AV103" s="537"/>
      <c r="AW103" s="537"/>
      <c r="AX103" s="537"/>
      <c r="AY103" s="537"/>
      <c r="AZ103" s="537"/>
      <c r="BA103" s="537"/>
      <c r="BB103" s="537"/>
      <c r="BC103" s="537"/>
      <c r="BD103" s="537"/>
    </row>
    <row r="104" spans="1:56" x14ac:dyDescent="0.3">
      <c r="D104" s="520" t="s">
        <v>453</v>
      </c>
      <c r="E104" s="553">
        <v>100</v>
      </c>
      <c r="F104" s="422" t="s">
        <v>456</v>
      </c>
      <c r="G104" s="537"/>
      <c r="H104" s="537"/>
      <c r="I104" s="537"/>
      <c r="J104" s="422"/>
      <c r="K104" s="422"/>
      <c r="L104" s="537"/>
      <c r="M104" s="537"/>
      <c r="N104" s="537"/>
      <c r="O104" s="422"/>
      <c r="P104" s="422"/>
      <c r="Q104" s="422"/>
      <c r="R104" s="422"/>
      <c r="S104" s="422"/>
      <c r="T104" s="422"/>
      <c r="U104" s="422"/>
      <c r="V104" s="422"/>
      <c r="W104" s="422"/>
      <c r="X104" s="422"/>
      <c r="Y104" s="422"/>
      <c r="Z104" s="537"/>
      <c r="AA104" s="537"/>
      <c r="AB104" s="537"/>
      <c r="AC104" s="537"/>
      <c r="AD104" s="537"/>
      <c r="AE104" s="537"/>
      <c r="AF104" s="537"/>
      <c r="AG104" s="537"/>
      <c r="AH104" s="537"/>
      <c r="AI104" s="537"/>
      <c r="AJ104" s="537"/>
      <c r="AK104" s="537"/>
      <c r="AL104" s="537"/>
      <c r="AM104" s="537"/>
      <c r="AN104" s="537"/>
      <c r="AO104" s="537"/>
      <c r="AP104" s="537"/>
      <c r="AQ104" s="537"/>
      <c r="AR104" s="537"/>
      <c r="AS104" s="537"/>
      <c r="AT104" s="537"/>
      <c r="AU104" s="537"/>
      <c r="AV104" s="537"/>
      <c r="AW104" s="537"/>
      <c r="AX104" s="537"/>
      <c r="AY104" s="537"/>
      <c r="AZ104" s="537"/>
      <c r="BA104" s="537"/>
      <c r="BB104" s="537"/>
      <c r="BC104" s="537"/>
      <c r="BD104" s="537"/>
    </row>
    <row r="105" spans="1:56" x14ac:dyDescent="0.3">
      <c r="D105" s="520" t="s">
        <v>176</v>
      </c>
      <c r="E105" s="553">
        <v>12</v>
      </c>
      <c r="F105" s="422" t="s">
        <v>454</v>
      </c>
      <c r="G105" s="537"/>
      <c r="H105" s="537"/>
      <c r="I105" s="537"/>
      <c r="J105" s="422"/>
      <c r="K105" s="422"/>
      <c r="L105" s="537"/>
      <c r="M105" s="537"/>
      <c r="N105" s="537"/>
      <c r="O105" s="422"/>
      <c r="P105" s="422"/>
      <c r="Q105" s="422"/>
      <c r="R105" s="422"/>
      <c r="S105" s="422"/>
      <c r="T105" s="422"/>
      <c r="U105" s="422"/>
      <c r="V105" s="422"/>
      <c r="W105" s="422"/>
      <c r="X105" s="422"/>
      <c r="Y105" s="422"/>
      <c r="Z105" s="537"/>
      <c r="AA105" s="537"/>
      <c r="AB105" s="537"/>
      <c r="AC105" s="537"/>
      <c r="AD105" s="537"/>
      <c r="AE105" s="537"/>
      <c r="AF105" s="537"/>
      <c r="AG105" s="537"/>
      <c r="AH105" s="537"/>
      <c r="AI105" s="537"/>
      <c r="AJ105" s="537"/>
      <c r="AK105" s="537"/>
      <c r="AL105" s="537"/>
      <c r="AM105" s="537"/>
      <c r="AN105" s="537"/>
      <c r="AO105" s="537"/>
      <c r="AP105" s="537"/>
      <c r="AQ105" s="537"/>
      <c r="AR105" s="537"/>
      <c r="AS105" s="537"/>
      <c r="AT105" s="537"/>
      <c r="AU105" s="537"/>
      <c r="AV105" s="537"/>
      <c r="AW105" s="537"/>
      <c r="AX105" s="537"/>
      <c r="AY105" s="537"/>
      <c r="AZ105" s="537"/>
      <c r="BA105" s="537"/>
      <c r="BB105" s="537"/>
      <c r="BC105" s="537"/>
      <c r="BD105" s="537"/>
    </row>
    <row r="106" spans="1:56" x14ac:dyDescent="0.3">
      <c r="D106" s="520" t="s">
        <v>177</v>
      </c>
      <c r="E106" s="553">
        <v>40</v>
      </c>
      <c r="F106" s="537" t="s">
        <v>455</v>
      </c>
      <c r="G106" s="537"/>
      <c r="H106" s="537"/>
      <c r="I106" s="537"/>
      <c r="J106" s="422"/>
      <c r="K106" s="422"/>
      <c r="L106" s="537"/>
      <c r="M106" s="537"/>
      <c r="N106" s="537"/>
      <c r="O106" s="422"/>
      <c r="P106" s="422"/>
      <c r="Q106" s="422"/>
      <c r="R106" s="422"/>
      <c r="S106" s="422"/>
      <c r="T106" s="422"/>
      <c r="U106" s="422"/>
      <c r="V106" s="422"/>
      <c r="W106" s="422"/>
      <c r="X106" s="422"/>
      <c r="Y106" s="422"/>
      <c r="Z106" s="537"/>
      <c r="AA106" s="537"/>
      <c r="AB106" s="537"/>
      <c r="AC106" s="537"/>
      <c r="AD106" s="537"/>
      <c r="AE106" s="537"/>
      <c r="AF106" s="537"/>
      <c r="AG106" s="537"/>
      <c r="AH106" s="537"/>
      <c r="AI106" s="537"/>
      <c r="AJ106" s="537"/>
      <c r="AK106" s="537"/>
      <c r="AL106" s="537"/>
      <c r="AM106" s="537"/>
      <c r="AN106" s="537"/>
      <c r="AO106" s="537"/>
      <c r="AP106" s="537"/>
      <c r="AQ106" s="537"/>
      <c r="AR106" s="537"/>
      <c r="AS106" s="537"/>
      <c r="AT106" s="537"/>
      <c r="AU106" s="537"/>
      <c r="AV106" s="537"/>
      <c r="AW106" s="537"/>
      <c r="AX106" s="537"/>
      <c r="AY106" s="537"/>
      <c r="AZ106" s="537"/>
      <c r="BA106" s="537"/>
      <c r="BB106" s="537"/>
      <c r="BC106" s="537"/>
      <c r="BD106" s="537"/>
    </row>
    <row r="108" spans="1:56" x14ac:dyDescent="0.3">
      <c r="D108" s="868" t="s">
        <v>452</v>
      </c>
      <c r="E108" s="868"/>
      <c r="F108" s="868"/>
      <c r="G108" s="868"/>
      <c r="H108" s="868"/>
      <c r="I108" s="868"/>
    </row>
    <row r="109" spans="1:56" ht="33.6" x14ac:dyDescent="0.3">
      <c r="D109" s="704" t="s">
        <v>54</v>
      </c>
      <c r="E109" s="704" t="s">
        <v>135</v>
      </c>
      <c r="F109" s="704" t="s">
        <v>7</v>
      </c>
      <c r="G109" s="704" t="s">
        <v>448</v>
      </c>
      <c r="H109" s="704" t="s">
        <v>446</v>
      </c>
      <c r="I109" s="704" t="s">
        <v>447</v>
      </c>
    </row>
    <row r="110" spans="1:56" ht="30.6" x14ac:dyDescent="0.3">
      <c r="D110" s="705" t="s">
        <v>445</v>
      </c>
      <c r="E110" s="706">
        <f>$AA$78+$AN$78+$BA$78</f>
        <v>1641.7336309523812</v>
      </c>
      <c r="F110" s="706">
        <f>$AA$79+$AN$79+$BA$79</f>
        <v>2052.1670386904761</v>
      </c>
      <c r="G110" s="706">
        <f>ROUNDUP(F110,0)</f>
        <v>2053</v>
      </c>
      <c r="H110" s="706">
        <f>G110-E110</f>
        <v>411.26636904761881</v>
      </c>
      <c r="I110" s="703">
        <f>H110/G110</f>
        <v>0.20032458307239104</v>
      </c>
    </row>
    <row r="111" spans="1:56" x14ac:dyDescent="0.3">
      <c r="D111" s="705" t="s">
        <v>444</v>
      </c>
      <c r="E111" s="706">
        <f>L92+L95+L96+L97+L98+L94</f>
        <v>2044.7368421052631</v>
      </c>
      <c r="F111" s="706">
        <f>N92+N95+N96+N97+N98+N94</f>
        <v>2555.9210526315792</v>
      </c>
      <c r="G111" s="706">
        <f>ROUNDUP(F111,0)</f>
        <v>2556</v>
      </c>
      <c r="H111" s="706">
        <f>G111-E111</f>
        <v>511.26315789473688</v>
      </c>
      <c r="I111" s="703">
        <f>H111/G111</f>
        <v>0.20002470966147765</v>
      </c>
    </row>
    <row r="112" spans="1:56" x14ac:dyDescent="0.3">
      <c r="D112" s="707" t="s">
        <v>451</v>
      </c>
      <c r="E112" s="709">
        <f>ROUNDUP((SUM(E110:E111)),0)</f>
        <v>3687</v>
      </c>
      <c r="F112" s="702"/>
      <c r="G112" s="708">
        <f>SUM(G110:G111)</f>
        <v>4609</v>
      </c>
      <c r="H112" s="702"/>
      <c r="I112" s="702"/>
    </row>
    <row r="116" spans="1:2" x14ac:dyDescent="0.3">
      <c r="A116" s="356" t="s">
        <v>499</v>
      </c>
      <c r="B116" s="413">
        <v>1</v>
      </c>
    </row>
    <row r="117" spans="1:2" x14ac:dyDescent="0.3">
      <c r="A117" s="356" t="s">
        <v>497</v>
      </c>
      <c r="B117" s="413">
        <v>1</v>
      </c>
    </row>
    <row r="118" spans="1:2" x14ac:dyDescent="0.3">
      <c r="A118" s="356" t="s">
        <v>498</v>
      </c>
      <c r="B118" s="413">
        <f>'Mant Corr'!I18</f>
        <v>6</v>
      </c>
    </row>
    <row r="119" spans="1:2" x14ac:dyDescent="0.3">
      <c r="A119" s="356" t="s">
        <v>500</v>
      </c>
    </row>
  </sheetData>
  <mergeCells count="4">
    <mergeCell ref="D100:G100"/>
    <mergeCell ref="D92:K92"/>
    <mergeCell ref="D108:I108"/>
    <mergeCell ref="E4:L4"/>
  </mergeCells>
  <dataValidations disablePrompts="1" count="3">
    <dataValidation type="list" operator="equal" allowBlank="1" showInputMessage="1" showErrorMessage="1" sqref="A8 D7" xr:uid="{00000000-0002-0000-0500-000000000000}">
      <formula1>PMS</formula1>
      <formula2>0</formula2>
    </dataValidation>
    <dataValidation type="list" operator="equal" allowBlank="1" showInputMessage="1" showErrorMessage="1" sqref="K10" xr:uid="{00000000-0002-0000-0500-000001000000}">
      <formula1>Transp</formula1>
      <formula2>0</formula2>
    </dataValidation>
    <dataValidation type="list" allowBlank="1" showInputMessage="1" showErrorMessage="1" sqref="H85" xr:uid="{E47B7851-5479-4DCF-86F4-79E1ECAC573F}">
      <formula1>Lista</formula1>
    </dataValidation>
  </dataValidations>
  <hyperlinks>
    <hyperlink ref="A1" location="Implementacion!A1" display="IMPLEMENTACIÓN" xr:uid="{E398FB96-676A-48F9-B9A9-9A0388AAA35F}"/>
    <hyperlink ref="A5" location="ResumenP!A1" display="RESUMEN DEL PROYECTO" xr:uid="{A27F56FA-B0EF-41DF-9BEB-FE3F92642FFA}"/>
    <hyperlink ref="A4" location="'Bolsa Horas'!A1" display="BOLSA DE HORAS" xr:uid="{3DF98485-465A-4ABE-A573-E6529265E6BC}"/>
    <hyperlink ref="A3" location="'Mant Corr'!A1" display="MANTENIMIENTO CORRECTIVO" xr:uid="{304D12E2-60B4-4E58-9C44-C4AE04B4A034}"/>
    <hyperlink ref="A2" location="'Mant Prev'!A1" display="MANTENIMIENTO PREVENTIVO" xr:uid="{E1F16E1E-B5D6-4BD4-BAA0-79EA379634FA}"/>
  </hyperlink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&amp;CPágina &amp;P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9">
    <tabColor theme="7" tint="0.59999389629810485"/>
  </sheetPr>
  <dimension ref="A1:BB34"/>
  <sheetViews>
    <sheetView showGridLines="0" tabSelected="1" topLeftCell="B1" zoomScale="77" zoomScaleNormal="77" workbookViewId="0">
      <selection activeCell="E24" sqref="E24"/>
    </sheetView>
  </sheetViews>
  <sheetFormatPr baseColWidth="10" defaultColWidth="11.5546875" defaultRowHeight="13.2" x14ac:dyDescent="0.25"/>
  <cols>
    <col min="1" max="1" width="36.5546875" bestFit="1" customWidth="1"/>
    <col min="2" max="2" width="15.109375" bestFit="1" customWidth="1"/>
    <col min="3" max="3" width="16" customWidth="1"/>
    <col min="4" max="4" width="26.44140625" bestFit="1" customWidth="1"/>
    <col min="5" max="5" width="12.5546875" bestFit="1" customWidth="1"/>
    <col min="6" max="6" width="16" customWidth="1"/>
    <col min="7" max="7" width="8.77734375" bestFit="1" customWidth="1"/>
    <col min="8" max="8" width="13.6640625" customWidth="1"/>
    <col min="9" max="9" width="11.88671875" bestFit="1" customWidth="1"/>
    <col min="10" max="10" width="6.33203125" bestFit="1" customWidth="1"/>
    <col min="11" max="11" width="6.88671875" bestFit="1" customWidth="1"/>
    <col min="12" max="12" width="13.109375" bestFit="1" customWidth="1"/>
    <col min="13" max="14" width="19.88671875" bestFit="1" customWidth="1"/>
    <col min="15" max="16" width="8.44140625" hidden="1" customWidth="1"/>
    <col min="17" max="17" width="11.5546875" hidden="1" customWidth="1"/>
    <col min="18" max="18" width="10.6640625" hidden="1" customWidth="1"/>
    <col min="19" max="24" width="11.5546875" hidden="1" customWidth="1"/>
    <col min="25" max="25" width="11.21875" bestFit="1" customWidth="1"/>
    <col min="26" max="26" width="10.44140625" bestFit="1" customWidth="1"/>
    <col min="27" max="27" width="9.21875" hidden="1" customWidth="1"/>
    <col min="28" max="33" width="8.88671875" hidden="1" customWidth="1"/>
    <col min="34" max="37" width="10.44140625" hidden="1" customWidth="1"/>
    <col min="38" max="38" width="11.21875" hidden="1" customWidth="1"/>
    <col min="39" max="39" width="10.44140625" bestFit="1" customWidth="1"/>
    <col min="40" max="44" width="8.88671875" hidden="1" customWidth="1"/>
    <col min="45" max="45" width="10.44140625" hidden="1" customWidth="1"/>
    <col min="46" max="46" width="8.88671875" hidden="1" customWidth="1"/>
    <col min="47" max="50" width="10.44140625" hidden="1" customWidth="1"/>
    <col min="51" max="51" width="11.21875" hidden="1" customWidth="1"/>
    <col min="52" max="52" width="16.5546875" customWidth="1"/>
    <col min="53" max="53" width="11.5546875" hidden="1" customWidth="1"/>
    <col min="54" max="54" width="11" customWidth="1"/>
    <col min="55" max="55" width="9.5546875" bestFit="1" customWidth="1"/>
  </cols>
  <sheetData>
    <row r="1" spans="1:54" ht="16.5" customHeight="1" x14ac:dyDescent="0.3">
      <c r="A1" s="638" t="s">
        <v>427</v>
      </c>
    </row>
    <row r="2" spans="1:54" ht="16.5" customHeight="1" x14ac:dyDescent="0.3">
      <c r="A2" s="639" t="s">
        <v>429</v>
      </c>
      <c r="D2" s="598" t="s">
        <v>24</v>
      </c>
      <c r="E2" s="629">
        <f>Costos!J2</f>
        <v>0.2</v>
      </c>
    </row>
    <row r="3" spans="1:54" ht="16.5" customHeight="1" x14ac:dyDescent="0.3">
      <c r="A3" s="640" t="s">
        <v>428</v>
      </c>
    </row>
    <row r="4" spans="1:54" ht="16.5" customHeight="1" x14ac:dyDescent="0.3">
      <c r="A4" s="641" t="s">
        <v>430</v>
      </c>
      <c r="D4" s="750" t="s">
        <v>477</v>
      </c>
      <c r="E4" s="875" t="str">
        <f>Implementacion!E4</f>
        <v>UDLA</v>
      </c>
      <c r="F4" s="875"/>
      <c r="G4" s="875"/>
      <c r="H4" s="875"/>
      <c r="I4" s="875"/>
      <c r="J4" s="875"/>
      <c r="K4" s="875"/>
    </row>
    <row r="5" spans="1:54" ht="16.5" customHeight="1" x14ac:dyDescent="0.3">
      <c r="A5" s="642" t="s">
        <v>431</v>
      </c>
      <c r="C5" s="422"/>
      <c r="D5" s="422"/>
      <c r="E5" s="422"/>
      <c r="F5" s="422"/>
      <c r="G5" s="422"/>
      <c r="H5" s="422"/>
      <c r="I5" s="422"/>
      <c r="J5" s="422"/>
      <c r="K5" s="422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2"/>
      <c r="X5" s="422"/>
      <c r="Y5" s="422"/>
      <c r="Z5" s="422"/>
      <c r="AA5" s="422"/>
      <c r="AB5" s="422"/>
      <c r="AC5" s="422"/>
      <c r="AD5" s="422"/>
      <c r="AE5" s="422"/>
      <c r="AF5" s="422"/>
      <c r="AG5" s="422"/>
      <c r="AH5" s="422"/>
      <c r="AI5" s="422"/>
      <c r="AJ5" s="422"/>
      <c r="AK5" s="422"/>
      <c r="AL5" s="422"/>
      <c r="AM5" s="422"/>
      <c r="AN5" s="422"/>
      <c r="AO5" s="422"/>
      <c r="AP5" s="422"/>
      <c r="AQ5" s="422"/>
      <c r="AR5" s="422"/>
      <c r="AS5" s="422"/>
      <c r="AT5" s="422"/>
      <c r="AU5" s="422"/>
      <c r="AV5" s="422"/>
      <c r="AW5" s="422"/>
      <c r="AX5" s="422"/>
      <c r="AY5" s="422"/>
      <c r="AZ5" s="422"/>
      <c r="BA5" s="422"/>
      <c r="BB5" s="422"/>
    </row>
    <row r="6" spans="1:54" ht="30" customHeight="1" x14ac:dyDescent="0.25">
      <c r="C6" s="422"/>
      <c r="D6" s="446"/>
      <c r="E6" s="447"/>
      <c r="F6" s="447"/>
      <c r="G6" s="447"/>
      <c r="H6" s="447"/>
      <c r="I6" s="447"/>
      <c r="J6" s="447"/>
      <c r="K6" s="447"/>
      <c r="L6" s="447"/>
      <c r="M6" s="447"/>
      <c r="N6" s="447"/>
      <c r="O6" s="874" t="s">
        <v>130</v>
      </c>
      <c r="P6" s="874"/>
      <c r="Q6" s="874"/>
      <c r="R6" s="874"/>
      <c r="S6" s="874"/>
      <c r="T6" s="874"/>
      <c r="U6" s="874"/>
      <c r="V6" s="874"/>
      <c r="W6" s="874"/>
      <c r="X6" s="874"/>
      <c r="Y6" s="874"/>
      <c r="Z6" s="874"/>
      <c r="AA6" s="448"/>
      <c r="AB6" s="874" t="s">
        <v>131</v>
      </c>
      <c r="AC6" s="874"/>
      <c r="AD6" s="874"/>
      <c r="AE6" s="874"/>
      <c r="AF6" s="874"/>
      <c r="AG6" s="874"/>
      <c r="AH6" s="874"/>
      <c r="AI6" s="874"/>
      <c r="AJ6" s="874"/>
      <c r="AK6" s="874"/>
      <c r="AL6" s="874"/>
      <c r="AM6" s="874"/>
      <c r="AN6" s="448"/>
      <c r="AO6" s="874" t="s">
        <v>132</v>
      </c>
      <c r="AP6" s="874"/>
      <c r="AQ6" s="874"/>
      <c r="AR6" s="874"/>
      <c r="AS6" s="874"/>
      <c r="AT6" s="874"/>
      <c r="AU6" s="874"/>
      <c r="AV6" s="874"/>
      <c r="AW6" s="874"/>
      <c r="AX6" s="874"/>
      <c r="AY6" s="874"/>
      <c r="AZ6" s="874"/>
      <c r="BA6" s="422"/>
      <c r="BB6" s="422"/>
    </row>
    <row r="7" spans="1:54" ht="36" customHeight="1" thickBot="1" x14ac:dyDescent="0.3">
      <c r="A7" s="830" t="s">
        <v>486</v>
      </c>
      <c r="B7" s="831"/>
      <c r="C7" s="422"/>
      <c r="D7" s="763" t="s">
        <v>54</v>
      </c>
      <c r="E7" s="763" t="s">
        <v>55</v>
      </c>
      <c r="F7" s="763" t="s">
        <v>56</v>
      </c>
      <c r="G7" s="763" t="s">
        <v>57</v>
      </c>
      <c r="H7" s="763" t="s">
        <v>58</v>
      </c>
      <c r="I7" s="763" t="s">
        <v>59</v>
      </c>
      <c r="J7" s="763"/>
      <c r="K7" s="763" t="s">
        <v>60</v>
      </c>
      <c r="L7" s="763" t="s">
        <v>61</v>
      </c>
      <c r="M7" s="763" t="s">
        <v>133</v>
      </c>
      <c r="N7" s="763" t="s">
        <v>134</v>
      </c>
      <c r="O7" s="763"/>
      <c r="P7" s="764" t="s">
        <v>135</v>
      </c>
      <c r="Q7" s="763"/>
      <c r="R7" s="764" t="s">
        <v>135</v>
      </c>
      <c r="S7" s="763"/>
      <c r="T7" s="764" t="s">
        <v>135</v>
      </c>
      <c r="U7" s="763"/>
      <c r="V7" s="764" t="s">
        <v>135</v>
      </c>
      <c r="W7" s="763"/>
      <c r="X7" s="764" t="s">
        <v>135</v>
      </c>
      <c r="Y7" s="764" t="s">
        <v>136</v>
      </c>
      <c r="Z7" s="763" t="s">
        <v>484</v>
      </c>
      <c r="AA7" s="765"/>
      <c r="AB7" s="763"/>
      <c r="AC7" s="764" t="s">
        <v>135</v>
      </c>
      <c r="AD7" s="763"/>
      <c r="AE7" s="764" t="s">
        <v>135</v>
      </c>
      <c r="AF7" s="763"/>
      <c r="AG7" s="764" t="s">
        <v>135</v>
      </c>
      <c r="AH7" s="763"/>
      <c r="AI7" s="764" t="s">
        <v>135</v>
      </c>
      <c r="AJ7" s="763"/>
      <c r="AK7" s="764" t="s">
        <v>135</v>
      </c>
      <c r="AL7" s="764" t="s">
        <v>136</v>
      </c>
      <c r="AM7" s="763" t="s">
        <v>436</v>
      </c>
      <c r="AN7" s="765"/>
      <c r="AO7" s="763"/>
      <c r="AP7" s="764" t="s">
        <v>135</v>
      </c>
      <c r="AQ7" s="763"/>
      <c r="AR7" s="764" t="s">
        <v>135</v>
      </c>
      <c r="AS7" s="763"/>
      <c r="AT7" s="764" t="s">
        <v>135</v>
      </c>
      <c r="AU7" s="763"/>
      <c r="AV7" s="764" t="s">
        <v>135</v>
      </c>
      <c r="AW7" s="763"/>
      <c r="AX7" s="764" t="s">
        <v>135</v>
      </c>
      <c r="AY7" s="764" t="s">
        <v>136</v>
      </c>
      <c r="AZ7" s="763" t="s">
        <v>435</v>
      </c>
      <c r="BA7" s="422"/>
      <c r="BB7" s="422"/>
    </row>
    <row r="8" spans="1:54" ht="24" customHeight="1" thickBot="1" x14ac:dyDescent="0.35">
      <c r="A8" s="832" t="s">
        <v>504</v>
      </c>
      <c r="B8" s="833" t="s">
        <v>505</v>
      </c>
      <c r="C8" s="422" t="s">
        <v>425</v>
      </c>
      <c r="D8" s="459" t="s">
        <v>64</v>
      </c>
      <c r="E8" s="460"/>
      <c r="F8" s="460"/>
      <c r="G8" s="460"/>
      <c r="H8" s="460"/>
      <c r="I8" s="460"/>
      <c r="J8" s="460"/>
      <c r="K8" s="460"/>
      <c r="L8" s="461"/>
      <c r="M8" s="461"/>
      <c r="N8" s="461"/>
      <c r="O8" s="462">
        <f>SUM($L$9,L13/Costos!G5)</f>
        <v>0</v>
      </c>
      <c r="P8" s="463">
        <f>SUM($L$9)</f>
        <v>0</v>
      </c>
      <c r="Q8" s="462">
        <f>SUM($M$9:$N$9,M13/Costos!H5,'Mant Prev'!N13/Costos!I5)</f>
        <v>366</v>
      </c>
      <c r="R8" s="463">
        <f>SUM(M9:N9)</f>
        <v>366</v>
      </c>
      <c r="S8" s="462">
        <f>$O$8/7</f>
        <v>0</v>
      </c>
      <c r="T8" s="463">
        <f>$O$8/7</f>
        <v>0</v>
      </c>
      <c r="U8" s="462">
        <f>$Q$8/6</f>
        <v>61</v>
      </c>
      <c r="V8" s="463">
        <f>$Q$8/6</f>
        <v>61</v>
      </c>
      <c r="W8" s="464"/>
      <c r="X8" s="465"/>
      <c r="Y8" s="466">
        <f>($T$8*15)+($V$8*25)</f>
        <v>1525</v>
      </c>
      <c r="Z8" s="467">
        <f>Y8/(1-E2)</f>
        <v>1906.25</v>
      </c>
      <c r="AA8" s="448"/>
      <c r="AB8" s="468"/>
      <c r="AC8" s="468"/>
      <c r="AD8" s="468"/>
      <c r="AE8" s="468"/>
      <c r="AF8" s="468"/>
      <c r="AG8" s="468"/>
      <c r="AH8" s="468"/>
      <c r="AI8" s="468"/>
      <c r="AJ8" s="469"/>
      <c r="AK8" s="469"/>
      <c r="AL8" s="470"/>
      <c r="AM8" s="416"/>
      <c r="AN8" s="458"/>
      <c r="AO8" s="417"/>
      <c r="AP8" s="418"/>
      <c r="AQ8" s="418"/>
      <c r="AR8" s="418"/>
      <c r="AS8" s="419"/>
      <c r="AT8" s="419"/>
      <c r="AU8" s="419"/>
      <c r="AV8" s="419"/>
      <c r="AW8" s="419"/>
      <c r="AX8" s="419"/>
      <c r="AY8" s="420"/>
      <c r="AZ8" s="421"/>
      <c r="BA8" s="674"/>
      <c r="BB8" s="422"/>
    </row>
    <row r="9" spans="1:54" s="356" customFormat="1" ht="16.8" x14ac:dyDescent="0.3">
      <c r="A9" s="870" t="s">
        <v>506</v>
      </c>
      <c r="B9" s="871"/>
      <c r="C9" s="422"/>
      <c r="D9" s="599" t="s">
        <v>151</v>
      </c>
      <c r="E9" s="600"/>
      <c r="F9" s="486" t="s">
        <v>67</v>
      </c>
      <c r="G9" s="600"/>
      <c r="H9" s="600"/>
      <c r="I9" s="600"/>
      <c r="J9" s="601">
        <v>1</v>
      </c>
      <c r="K9" s="601">
        <v>366</v>
      </c>
      <c r="L9" s="416"/>
      <c r="M9" s="451">
        <f>+$K$9*$J$9*0</f>
        <v>0</v>
      </c>
      <c r="N9" s="451">
        <f>+$K$9*$J$9*1</f>
        <v>366</v>
      </c>
      <c r="O9" s="602"/>
      <c r="P9" s="603"/>
      <c r="Q9" s="602"/>
      <c r="R9" s="603"/>
      <c r="S9" s="602"/>
      <c r="T9" s="603"/>
      <c r="U9" s="602"/>
      <c r="V9" s="603"/>
      <c r="W9" s="602"/>
      <c r="X9" s="603"/>
      <c r="Y9" s="604"/>
      <c r="Z9" s="605"/>
      <c r="AA9" s="518"/>
      <c r="AB9" s="487">
        <f>($M9*Costos!$K$4)</f>
        <v>0</v>
      </c>
      <c r="AC9" s="488">
        <f>($M9*Costos!$H$4)</f>
        <v>0</v>
      </c>
      <c r="AD9" s="487">
        <f>($M9*Costos!$K$5)</f>
        <v>0</v>
      </c>
      <c r="AE9" s="488">
        <f>($M9*Costos!$H$5)</f>
        <v>0</v>
      </c>
      <c r="AF9" s="487">
        <f>($M9*Costos!$K$6)</f>
        <v>0</v>
      </c>
      <c r="AG9" s="488">
        <f>($M9*Costos!$H$6)</f>
        <v>0</v>
      </c>
      <c r="AH9" s="487">
        <f>($M9*Costos!$K$7)</f>
        <v>0</v>
      </c>
      <c r="AI9" s="488">
        <f>($M9*Costos!$H$7)</f>
        <v>0</v>
      </c>
      <c r="AJ9" s="487">
        <f>($M9*Costos!$K$8)</f>
        <v>0</v>
      </c>
      <c r="AK9" s="488">
        <f>($M9*Costos!$H$8)</f>
        <v>0</v>
      </c>
      <c r="AL9" s="489">
        <f>IF($E9="x",AC9,0)+IF($F9="x",AE9,0)+IF($G9="x",AG9,0)+IF($H9="x",AI9,0)+IF($I9="x",AK9,0)</f>
        <v>0</v>
      </c>
      <c r="AM9" s="467">
        <f>IF($E9="x",AB9,0)+IF($F9="x",AD9,0)+IF($G9="x",AF9,0)+IF($H9="x",AH9,0)+IF($I9="x",AJ9,0)</f>
        <v>0</v>
      </c>
      <c r="AN9" s="490"/>
      <c r="AO9" s="606">
        <f>($N9*Costos!$L$4)</f>
        <v>12727.443609022555</v>
      </c>
      <c r="AP9" s="488">
        <f>($N9*Costos!$I$4)</f>
        <v>10181.954887218046</v>
      </c>
      <c r="AQ9" s="487">
        <f>($N9*Costos!$L$5)</f>
        <v>21212.406015037592</v>
      </c>
      <c r="AR9" s="488">
        <f>($N9*Costos!$I$5)</f>
        <v>16969.924812030073</v>
      </c>
      <c r="AS9" s="487">
        <f>($N9*Costos!$L$6)</f>
        <v>25454.887218045111</v>
      </c>
      <c r="AT9" s="488">
        <f>($N9*Costos!$I$6)</f>
        <v>20363.909774436092</v>
      </c>
      <c r="AU9" s="487">
        <f>($N9*Costos!$L$7)</f>
        <v>64050</v>
      </c>
      <c r="AV9" s="488">
        <f>($N9*Costos!$I$7)</f>
        <v>51240</v>
      </c>
      <c r="AW9" s="487">
        <f>($N9*Costos!$L$8)</f>
        <v>91500</v>
      </c>
      <c r="AX9" s="488">
        <f>($N9*Costos!$I$8)</f>
        <v>73200</v>
      </c>
      <c r="AY9" s="489">
        <f>IF($E9="x",AP9,0)+IF($F9="x",AR9,0)+IF($G9="x",AT9,0)+IF($H9="x",AV9,0)+IF($I9="x",AX9,0)</f>
        <v>16969.924812030073</v>
      </c>
      <c r="AZ9" s="467">
        <f>IF($E9="x",AO9,0)+IF($F9="x",AQ9,0)+IF($G9="x",AS9,0)+IF($H9="x",AU9,0)+IF($I9="x",AW9,0)</f>
        <v>21212.406015037592</v>
      </c>
      <c r="BA9" s="422"/>
      <c r="BB9" s="422"/>
    </row>
    <row r="10" spans="1:54" ht="26.4" x14ac:dyDescent="0.25">
      <c r="A10" s="461" t="s">
        <v>522</v>
      </c>
      <c r="B10" s="560">
        <v>267</v>
      </c>
      <c r="C10" s="834"/>
      <c r="D10" s="507" t="s">
        <v>95</v>
      </c>
      <c r="E10" s="460"/>
      <c r="F10" s="460" t="s">
        <v>67</v>
      </c>
      <c r="G10" s="460"/>
      <c r="H10" s="460"/>
      <c r="I10" s="460"/>
      <c r="J10" s="492"/>
      <c r="K10" s="460"/>
      <c r="L10" s="461"/>
      <c r="M10" s="461"/>
      <c r="N10" s="461"/>
      <c r="O10" s="464"/>
      <c r="P10" s="465"/>
      <c r="Q10" s="464"/>
      <c r="R10" s="465"/>
      <c r="S10" s="464"/>
      <c r="T10" s="465"/>
      <c r="U10" s="464"/>
      <c r="V10" s="465"/>
      <c r="W10" s="464"/>
      <c r="X10" s="465"/>
      <c r="Y10" s="466">
        <f>(((40 + 60) + 10) * J10)</f>
        <v>0</v>
      </c>
      <c r="Z10" s="467">
        <f>Y10/(1-E2)</f>
        <v>0</v>
      </c>
      <c r="AA10" s="448"/>
      <c r="AB10" s="464"/>
      <c r="AC10" s="465"/>
      <c r="AD10" s="464"/>
      <c r="AE10" s="465"/>
      <c r="AF10" s="464"/>
      <c r="AG10" s="465"/>
      <c r="AH10" s="464"/>
      <c r="AI10" s="465"/>
      <c r="AJ10" s="464"/>
      <c r="AK10" s="465"/>
      <c r="AL10" s="466">
        <f>((40+70)+10)*W10</f>
        <v>0</v>
      </c>
      <c r="AM10" s="467">
        <f>((40+70)+10)*W10</f>
        <v>0</v>
      </c>
      <c r="AN10" s="448"/>
      <c r="AO10" s="607"/>
      <c r="AP10" s="465"/>
      <c r="AQ10" s="464"/>
      <c r="AR10" s="465"/>
      <c r="AS10" s="464"/>
      <c r="AT10" s="465"/>
      <c r="AU10" s="464"/>
      <c r="AV10" s="465"/>
      <c r="AW10" s="464"/>
      <c r="AX10" s="465"/>
      <c r="AY10" s="466">
        <f>((40+70)+10)*AJ10</f>
        <v>0</v>
      </c>
      <c r="AZ10" s="467">
        <f>((40+70)+10)*AJ10</f>
        <v>0</v>
      </c>
      <c r="BA10" s="422"/>
      <c r="BB10" s="422"/>
    </row>
    <row r="11" spans="1:54" ht="27" thickBot="1" x14ac:dyDescent="0.3">
      <c r="A11" s="461"/>
      <c r="B11" s="560"/>
      <c r="C11" s="834"/>
      <c r="D11" s="508" t="s">
        <v>96</v>
      </c>
      <c r="E11" s="471"/>
      <c r="F11" s="471" t="s">
        <v>67</v>
      </c>
      <c r="G11" s="471"/>
      <c r="H11" s="471"/>
      <c r="I11" s="471"/>
      <c r="J11" s="601"/>
      <c r="K11" s="471"/>
      <c r="L11" s="472"/>
      <c r="M11" s="472"/>
      <c r="N11" s="472"/>
      <c r="O11" s="510"/>
      <c r="P11" s="511"/>
      <c r="Q11" s="510"/>
      <c r="R11" s="511"/>
      <c r="S11" s="510"/>
      <c r="T11" s="511"/>
      <c r="U11" s="510"/>
      <c r="V11" s="511"/>
      <c r="W11" s="510"/>
      <c r="X11" s="511"/>
      <c r="Y11" s="477">
        <f>J11*200</f>
        <v>0</v>
      </c>
      <c r="Z11" s="478">
        <f>Y11/(1-E2)</f>
        <v>0</v>
      </c>
      <c r="AA11" s="448"/>
      <c r="AB11" s="510"/>
      <c r="AC11" s="511"/>
      <c r="AD11" s="510"/>
      <c r="AE11" s="511"/>
      <c r="AF11" s="510"/>
      <c r="AG11" s="511"/>
      <c r="AH11" s="510"/>
      <c r="AI11" s="511"/>
      <c r="AJ11" s="510"/>
      <c r="AK11" s="511"/>
      <c r="AL11" s="477">
        <f>W11*200</f>
        <v>0</v>
      </c>
      <c r="AM11" s="478">
        <f>W11*200</f>
        <v>0</v>
      </c>
      <c r="AN11" s="448"/>
      <c r="AO11" s="608"/>
      <c r="AP11" s="511"/>
      <c r="AQ11" s="510"/>
      <c r="AR11" s="511"/>
      <c r="AS11" s="510"/>
      <c r="AT11" s="511"/>
      <c r="AU11" s="510"/>
      <c r="AV11" s="511"/>
      <c r="AW11" s="510"/>
      <c r="AX11" s="511"/>
      <c r="AY11" s="477">
        <f>AJ11*200</f>
        <v>0</v>
      </c>
      <c r="AZ11" s="478">
        <f>AJ11*200</f>
        <v>0</v>
      </c>
      <c r="BA11" s="422"/>
      <c r="BB11" s="422"/>
    </row>
    <row r="12" spans="1:54" ht="13.8" thickBot="1" x14ac:dyDescent="0.3">
      <c r="A12" s="461"/>
      <c r="B12" s="461"/>
      <c r="C12" s="834"/>
      <c r="D12" s="609" t="s">
        <v>152</v>
      </c>
      <c r="E12" s="493"/>
      <c r="F12" s="493"/>
      <c r="G12" s="493"/>
      <c r="H12" s="493"/>
      <c r="I12" s="493"/>
      <c r="J12" s="610">
        <f>+J9*0.5</f>
        <v>0.5</v>
      </c>
      <c r="K12" s="611"/>
      <c r="L12" s="612"/>
      <c r="M12" s="612"/>
      <c r="N12" s="612"/>
      <c r="O12" s="613">
        <v>20</v>
      </c>
      <c r="P12" s="614">
        <v>20</v>
      </c>
      <c r="Q12" s="615"/>
      <c r="R12" s="616"/>
      <c r="S12" s="615"/>
      <c r="T12" s="616"/>
      <c r="U12" s="615"/>
      <c r="V12" s="616"/>
      <c r="W12" s="615"/>
      <c r="X12" s="616"/>
      <c r="Y12" s="617">
        <f>$J$12*$O$12</f>
        <v>10</v>
      </c>
      <c r="Z12" s="618">
        <f>$J$12*$O$12</f>
        <v>10</v>
      </c>
      <c r="AA12" s="490">
        <f>ABS(SUM(Y8:Y13))</f>
        <v>1535</v>
      </c>
      <c r="AB12" s="619"/>
      <c r="AC12" s="620"/>
      <c r="AD12" s="615"/>
      <c r="AE12" s="616"/>
      <c r="AF12" s="615"/>
      <c r="AG12" s="616"/>
      <c r="AH12" s="615"/>
      <c r="AI12" s="616"/>
      <c r="AJ12" s="615"/>
      <c r="AK12" s="616"/>
      <c r="AL12" s="621"/>
      <c r="AM12" s="618">
        <f>$J$12*$O$12</f>
        <v>10</v>
      </c>
      <c r="AN12" s="490">
        <f>SUM(AL9:AL13)</f>
        <v>0</v>
      </c>
      <c r="AO12" s="622"/>
      <c r="AP12" s="620"/>
      <c r="AQ12" s="615"/>
      <c r="AR12" s="616"/>
      <c r="AS12" s="615"/>
      <c r="AT12" s="616"/>
      <c r="AU12" s="615"/>
      <c r="AV12" s="616"/>
      <c r="AW12" s="615"/>
      <c r="AX12" s="616"/>
      <c r="AY12" s="623"/>
      <c r="AZ12" s="618">
        <f>$J$12*$O$12</f>
        <v>10</v>
      </c>
      <c r="BA12" s="759">
        <f>SUM(AY9:AY13)</f>
        <v>16969.924812030073</v>
      </c>
      <c r="BB12" s="422"/>
    </row>
    <row r="13" spans="1:54" x14ac:dyDescent="0.25">
      <c r="A13" s="461"/>
      <c r="B13" s="461"/>
      <c r="C13" s="834"/>
      <c r="D13" s="515" t="s">
        <v>153</v>
      </c>
      <c r="E13" s="486"/>
      <c r="F13" s="486"/>
      <c r="G13" s="486"/>
      <c r="H13" s="486"/>
      <c r="I13" s="486"/>
      <c r="J13" s="498"/>
      <c r="K13" s="486"/>
      <c r="L13" s="461">
        <f>+J13*30%</f>
        <v>0</v>
      </c>
      <c r="M13" s="461">
        <f>+J13*30%</f>
        <v>0</v>
      </c>
      <c r="N13" s="461">
        <f>+J13*40%</f>
        <v>0</v>
      </c>
      <c r="O13" s="513"/>
      <c r="P13" s="514"/>
      <c r="Q13" s="516">
        <f>+L13/Costos!J5</f>
        <v>0</v>
      </c>
      <c r="R13" s="488">
        <f>+Q13*Costos!G5</f>
        <v>0</v>
      </c>
      <c r="S13" s="513"/>
      <c r="T13" s="514"/>
      <c r="U13" s="513"/>
      <c r="V13" s="514"/>
      <c r="W13" s="513"/>
      <c r="X13" s="514"/>
      <c r="Y13" s="489">
        <f>+R13</f>
        <v>0</v>
      </c>
      <c r="Z13" s="517"/>
      <c r="AA13" s="490">
        <f>SUM(Z8:Z13)</f>
        <v>1916.25</v>
      </c>
      <c r="AB13" s="513"/>
      <c r="AC13" s="514"/>
      <c r="AD13" s="516">
        <f>+M13/Costos!K5</f>
        <v>0</v>
      </c>
      <c r="AE13" s="488">
        <f>+AD13*Costos!H5</f>
        <v>0</v>
      </c>
      <c r="AF13" s="513"/>
      <c r="AG13" s="514"/>
      <c r="AH13" s="513"/>
      <c r="AI13" s="514"/>
      <c r="AJ13" s="513"/>
      <c r="AK13" s="514"/>
      <c r="AL13" s="489">
        <f>+AE13</f>
        <v>0</v>
      </c>
      <c r="AM13" s="517"/>
      <c r="AN13" s="490">
        <f>SUM(AM9:AM13)</f>
        <v>10</v>
      </c>
      <c r="AO13" s="624"/>
      <c r="AP13" s="514"/>
      <c r="AQ13" s="487">
        <f>+N13/Costos!L5</f>
        <v>0</v>
      </c>
      <c r="AR13" s="488">
        <f>+AQ13*Costos!I5</f>
        <v>0</v>
      </c>
      <c r="AS13" s="513"/>
      <c r="AT13" s="514"/>
      <c r="AU13" s="513"/>
      <c r="AV13" s="514"/>
      <c r="AW13" s="513"/>
      <c r="AX13" s="514"/>
      <c r="AY13" s="489">
        <f>+AR13</f>
        <v>0</v>
      </c>
      <c r="AZ13" s="517"/>
      <c r="BA13" s="759">
        <f>SUM(AZ9:AZ13)</f>
        <v>21222.406015037592</v>
      </c>
      <c r="BB13" s="422"/>
    </row>
    <row r="14" spans="1:54" x14ac:dyDescent="0.25">
      <c r="A14" s="461"/>
      <c r="B14" s="461"/>
      <c r="C14" s="834"/>
      <c r="D14" s="422"/>
      <c r="E14" s="422"/>
      <c r="F14" s="422"/>
      <c r="G14" s="422"/>
      <c r="H14" s="422"/>
      <c r="I14" s="422"/>
      <c r="J14" s="422"/>
      <c r="K14" s="422"/>
      <c r="L14" s="422"/>
      <c r="M14" s="422"/>
      <c r="N14" s="422"/>
      <c r="O14" s="422"/>
      <c r="P14" s="422"/>
      <c r="Q14" s="422"/>
      <c r="R14" s="422"/>
      <c r="S14" s="422"/>
      <c r="T14" s="422"/>
      <c r="U14" s="422"/>
      <c r="V14" s="422"/>
      <c r="W14" s="422"/>
      <c r="X14" s="422"/>
      <c r="Y14" s="422"/>
      <c r="Z14" s="422"/>
      <c r="AA14" s="422"/>
      <c r="AB14" s="422"/>
      <c r="AC14" s="422"/>
      <c r="AD14" s="422"/>
      <c r="AE14" s="422"/>
      <c r="AF14" s="422"/>
      <c r="AG14" s="422"/>
      <c r="AH14" s="422"/>
      <c r="AI14" s="422"/>
      <c r="AJ14" s="422"/>
      <c r="AK14" s="422"/>
      <c r="AL14" s="422"/>
      <c r="AM14" s="422"/>
      <c r="AN14" s="422"/>
      <c r="AO14" s="422"/>
      <c r="AP14" s="422"/>
      <c r="AQ14" s="422"/>
      <c r="AR14" s="422"/>
      <c r="AS14" s="422"/>
      <c r="AT14" s="422"/>
      <c r="AU14" s="422"/>
      <c r="AV14" s="422"/>
      <c r="AW14" s="422"/>
      <c r="AX14" s="422"/>
      <c r="AY14" s="422"/>
      <c r="AZ14" s="422"/>
      <c r="BA14" s="422"/>
      <c r="BB14" s="422"/>
    </row>
    <row r="15" spans="1:54" x14ac:dyDescent="0.25">
      <c r="A15" s="872"/>
      <c r="B15" s="873"/>
      <c r="C15" s="834"/>
      <c r="D15" s="422"/>
      <c r="E15" s="422"/>
      <c r="F15" s="422"/>
      <c r="G15" s="422"/>
      <c r="H15" s="422"/>
      <c r="I15" s="422"/>
      <c r="J15" s="422"/>
      <c r="K15" s="422"/>
      <c r="L15" s="422"/>
      <c r="M15" s="422"/>
      <c r="N15" s="422"/>
      <c r="O15" s="422"/>
      <c r="P15" s="422"/>
      <c r="Q15" s="422"/>
      <c r="R15" s="422"/>
      <c r="S15" s="422"/>
      <c r="T15" s="422"/>
      <c r="U15" s="422"/>
      <c r="V15" s="422"/>
      <c r="W15" s="422"/>
      <c r="X15" s="422"/>
      <c r="Y15" s="422"/>
      <c r="Z15" s="422"/>
      <c r="AA15" s="422"/>
      <c r="AB15" s="422"/>
      <c r="AC15" s="422"/>
      <c r="AD15" s="422"/>
      <c r="AE15" s="422"/>
      <c r="AF15" s="422"/>
      <c r="AG15" s="422"/>
      <c r="AH15" s="422"/>
      <c r="AI15" s="422"/>
      <c r="AJ15" s="422"/>
      <c r="AK15" s="422"/>
      <c r="AL15" s="422"/>
      <c r="AM15" s="422"/>
      <c r="AN15" s="422"/>
      <c r="AO15" s="422"/>
      <c r="AP15" s="422"/>
      <c r="AQ15" s="422"/>
      <c r="AR15" s="422"/>
      <c r="AS15" s="422"/>
      <c r="AT15" s="422"/>
      <c r="AU15" s="422"/>
      <c r="AV15" s="422"/>
      <c r="AW15" s="422"/>
      <c r="AX15" s="422"/>
      <c r="AY15" s="422"/>
      <c r="AZ15" s="422"/>
      <c r="BA15" s="422"/>
      <c r="BB15" s="422"/>
    </row>
    <row r="16" spans="1:54" x14ac:dyDescent="0.25">
      <c r="A16" s="461"/>
      <c r="B16" s="461"/>
      <c r="C16" s="834"/>
      <c r="D16" s="422"/>
      <c r="E16" s="422"/>
      <c r="F16" s="422"/>
      <c r="G16" s="422"/>
      <c r="H16" s="422"/>
      <c r="I16" s="422"/>
      <c r="J16" s="422"/>
      <c r="K16" s="422"/>
      <c r="L16" s="422"/>
      <c r="M16" s="422"/>
      <c r="N16" s="422"/>
      <c r="O16" s="422"/>
      <c r="P16" s="422"/>
      <c r="Q16" s="422"/>
      <c r="R16" s="422"/>
      <c r="S16" s="422"/>
      <c r="T16" s="422"/>
      <c r="U16" s="422"/>
      <c r="V16" s="422"/>
      <c r="W16" s="422"/>
      <c r="X16" s="422"/>
      <c r="Y16" s="422"/>
      <c r="Z16" s="422"/>
      <c r="AA16" s="422"/>
      <c r="AB16" s="422"/>
      <c r="AC16" s="422"/>
      <c r="AD16" s="422"/>
      <c r="AE16" s="422"/>
      <c r="AF16" s="422"/>
      <c r="AG16" s="422"/>
      <c r="AH16" s="422"/>
      <c r="AI16" s="422"/>
      <c r="AJ16" s="422"/>
      <c r="AK16" s="422"/>
      <c r="AL16" s="422"/>
      <c r="AM16" s="422"/>
      <c r="AN16" s="422"/>
      <c r="AO16" s="422"/>
      <c r="AP16" s="422"/>
      <c r="AQ16" s="422"/>
      <c r="AR16" s="422"/>
      <c r="AS16" s="422"/>
      <c r="AT16" s="422"/>
      <c r="AU16" s="422"/>
      <c r="AV16" s="422"/>
      <c r="AW16" s="422"/>
      <c r="AX16" s="422"/>
      <c r="AY16" s="422"/>
      <c r="AZ16" s="422"/>
      <c r="BA16" s="422"/>
      <c r="BB16" s="422"/>
    </row>
    <row r="17" spans="1:54" ht="26.4" x14ac:dyDescent="0.25">
      <c r="A17" s="461"/>
      <c r="B17" s="461"/>
      <c r="C17" s="834"/>
      <c r="D17" s="760" t="s">
        <v>419</v>
      </c>
      <c r="E17" s="760" t="s">
        <v>482</v>
      </c>
      <c r="F17" s="760" t="s">
        <v>425</v>
      </c>
      <c r="G17" s="760"/>
      <c r="H17" s="761" t="s">
        <v>35</v>
      </c>
      <c r="I17" s="761" t="s">
        <v>158</v>
      </c>
      <c r="J17" s="760" t="s">
        <v>425</v>
      </c>
      <c r="K17" s="760" t="s">
        <v>426</v>
      </c>
      <c r="L17" s="760" t="s">
        <v>136</v>
      </c>
      <c r="M17" s="760" t="s">
        <v>159</v>
      </c>
      <c r="N17" s="760" t="s">
        <v>160</v>
      </c>
      <c r="O17" s="422"/>
      <c r="P17" s="422"/>
      <c r="Q17" s="422"/>
      <c r="R17" s="422"/>
      <c r="S17" s="422"/>
      <c r="T17" s="422"/>
      <c r="U17" s="422"/>
      <c r="V17" s="422"/>
      <c r="W17" s="422"/>
      <c r="X17" s="422"/>
      <c r="Y17" s="527"/>
      <c r="Z17" s="527"/>
      <c r="AA17" s="422"/>
      <c r="AB17" s="422"/>
      <c r="AC17" s="422"/>
      <c r="AD17" s="422"/>
      <c r="AE17" s="422"/>
      <c r="AF17" s="422"/>
      <c r="AG17" s="422"/>
      <c r="AH17" s="422"/>
      <c r="AI17" s="422"/>
      <c r="AJ17" s="422"/>
      <c r="AK17" s="422"/>
      <c r="AL17" s="422"/>
      <c r="AM17" s="422"/>
      <c r="AN17" s="422"/>
      <c r="AO17" s="422"/>
      <c r="AP17" s="422"/>
      <c r="AQ17" s="422"/>
      <c r="AR17" s="422"/>
      <c r="AS17" s="422"/>
      <c r="AT17" s="422"/>
      <c r="AU17" s="422"/>
      <c r="AV17" s="422"/>
      <c r="AW17" s="422"/>
      <c r="AX17" s="422"/>
      <c r="AY17" s="422"/>
      <c r="AZ17" s="422"/>
      <c r="BA17" s="422"/>
      <c r="BB17" s="422"/>
    </row>
    <row r="18" spans="1:54" ht="26.4" x14ac:dyDescent="0.25">
      <c r="A18" s="872"/>
      <c r="B18" s="873"/>
      <c r="C18" s="834"/>
      <c r="D18" s="520" t="s">
        <v>171</v>
      </c>
      <c r="E18" s="519"/>
      <c r="F18" s="519"/>
      <c r="G18" s="452"/>
      <c r="H18" s="521">
        <f>Costos!H4</f>
        <v>20.86466165413534</v>
      </c>
      <c r="I18" s="452"/>
      <c r="J18" s="519"/>
      <c r="K18" s="519"/>
      <c r="L18" s="452">
        <f>H18*F18*E18</f>
        <v>0</v>
      </c>
      <c r="M18" s="522">
        <f>Costos!J2</f>
        <v>0.2</v>
      </c>
      <c r="N18" s="452">
        <f>L18/(1-M18)</f>
        <v>0</v>
      </c>
      <c r="O18" s="422"/>
      <c r="P18" s="422"/>
      <c r="Q18" s="422"/>
      <c r="R18" s="422"/>
      <c r="S18" s="422"/>
      <c r="T18" s="422"/>
      <c r="U18" s="422"/>
      <c r="V18" s="422"/>
      <c r="W18" s="422"/>
      <c r="X18" s="422"/>
      <c r="Y18" s="422"/>
      <c r="Z18" s="422"/>
      <c r="AA18" s="422"/>
      <c r="AB18" s="422"/>
      <c r="AC18" s="422"/>
      <c r="AD18" s="422"/>
      <c r="AE18" s="422"/>
      <c r="AF18" s="422"/>
      <c r="AG18" s="422"/>
      <c r="AH18" s="422"/>
      <c r="AI18" s="422"/>
      <c r="AJ18" s="422"/>
      <c r="AK18" s="422"/>
      <c r="AL18" s="422"/>
      <c r="AM18" s="422"/>
      <c r="AN18" s="422"/>
      <c r="AO18" s="422"/>
      <c r="AP18" s="422"/>
      <c r="AQ18" s="422"/>
      <c r="AR18" s="422"/>
      <c r="AS18" s="422"/>
      <c r="AT18" s="422"/>
      <c r="AU18" s="422"/>
      <c r="AV18" s="422"/>
      <c r="AW18" s="422"/>
      <c r="AX18" s="422"/>
      <c r="AY18" s="422"/>
      <c r="AZ18" s="422"/>
      <c r="BA18" s="422"/>
      <c r="BB18" s="422"/>
    </row>
    <row r="19" spans="1:54" x14ac:dyDescent="0.25">
      <c r="A19" s="461"/>
      <c r="B19" s="461"/>
      <c r="C19" s="834"/>
      <c r="D19" s="520" t="s">
        <v>490</v>
      </c>
      <c r="E19" s="519">
        <v>0</v>
      </c>
      <c r="F19" s="519">
        <v>0</v>
      </c>
      <c r="G19" s="452"/>
      <c r="H19" s="521"/>
      <c r="I19" s="452"/>
      <c r="J19" s="519"/>
      <c r="K19" s="519"/>
      <c r="L19" s="452">
        <f>H19*F19*E19</f>
        <v>0</v>
      </c>
      <c r="M19" s="522">
        <v>0</v>
      </c>
      <c r="N19" s="452">
        <f>L19/(1-M19)</f>
        <v>0</v>
      </c>
      <c r="O19" s="422"/>
      <c r="P19" s="422"/>
      <c r="Q19" s="422"/>
      <c r="R19" s="422"/>
      <c r="S19" s="422"/>
      <c r="T19" s="422"/>
      <c r="U19" s="422"/>
      <c r="V19" s="422"/>
      <c r="W19" s="422"/>
      <c r="X19" s="422"/>
      <c r="Y19" s="422"/>
      <c r="Z19" s="422"/>
      <c r="AA19" s="422"/>
      <c r="AB19" s="422"/>
      <c r="AC19" s="422"/>
      <c r="AD19" s="422"/>
      <c r="AE19" s="422"/>
      <c r="AF19" s="422"/>
      <c r="AG19" s="422"/>
      <c r="AH19" s="422"/>
      <c r="AI19" s="422"/>
      <c r="AJ19" s="422"/>
      <c r="AK19" s="422"/>
      <c r="AL19" s="422"/>
      <c r="AM19" s="422"/>
      <c r="AN19" s="422"/>
      <c r="AO19" s="422"/>
      <c r="AP19" s="422"/>
      <c r="AQ19" s="422"/>
      <c r="AR19" s="422"/>
      <c r="AS19" s="422"/>
      <c r="AT19" s="422"/>
      <c r="AU19" s="422"/>
      <c r="AV19" s="422"/>
      <c r="AW19" s="422"/>
      <c r="AX19" s="422"/>
      <c r="AY19" s="422"/>
      <c r="AZ19" s="422"/>
      <c r="BA19" s="422"/>
      <c r="BB19" s="422"/>
    </row>
    <row r="20" spans="1:54" ht="13.8" thickBot="1" x14ac:dyDescent="0.3">
      <c r="A20" s="422"/>
      <c r="B20" s="743"/>
      <c r="C20" s="834"/>
      <c r="D20" s="422"/>
      <c r="E20" s="422"/>
      <c r="F20" s="422"/>
      <c r="G20" s="422"/>
      <c r="H20" s="422"/>
      <c r="I20" s="422"/>
      <c r="J20" s="422"/>
      <c r="K20" s="422"/>
      <c r="L20" s="422"/>
      <c r="M20" s="422"/>
      <c r="N20" s="422"/>
      <c r="O20" s="422"/>
      <c r="P20" s="422"/>
      <c r="Q20" s="422"/>
      <c r="R20" s="422"/>
      <c r="S20" s="422"/>
      <c r="T20" s="422"/>
      <c r="U20" s="422"/>
      <c r="V20" s="422"/>
      <c r="W20" s="422"/>
      <c r="X20" s="422"/>
      <c r="Y20" s="422"/>
      <c r="Z20" s="422"/>
      <c r="AA20" s="422"/>
      <c r="AB20" s="422"/>
      <c r="AC20" s="422"/>
      <c r="AD20" s="422"/>
      <c r="AE20" s="422"/>
      <c r="AF20" s="422"/>
      <c r="AG20" s="422"/>
      <c r="AH20" s="422"/>
      <c r="AI20" s="422"/>
      <c r="AJ20" s="422"/>
      <c r="AK20" s="422"/>
      <c r="AL20" s="422"/>
      <c r="AM20" s="422"/>
      <c r="AN20" s="422"/>
      <c r="AO20" s="422"/>
      <c r="AP20" s="422"/>
      <c r="AQ20" s="422"/>
      <c r="AR20" s="422"/>
      <c r="AS20" s="422"/>
      <c r="AT20" s="422"/>
      <c r="AU20" s="422"/>
      <c r="AV20" s="422"/>
      <c r="AW20" s="422"/>
      <c r="AX20" s="422"/>
      <c r="AY20" s="422"/>
      <c r="AZ20" s="422"/>
      <c r="BA20" s="422"/>
      <c r="BB20" s="422"/>
    </row>
    <row r="21" spans="1:54" ht="13.8" thickBot="1" x14ac:dyDescent="0.3">
      <c r="A21" s="422"/>
      <c r="B21" s="743"/>
      <c r="C21" s="422"/>
      <c r="D21" s="862" t="s">
        <v>413</v>
      </c>
      <c r="E21" s="863"/>
      <c r="F21" s="863"/>
      <c r="G21" s="864"/>
      <c r="H21" s="422"/>
      <c r="I21" s="422"/>
      <c r="J21" s="422"/>
      <c r="K21" s="422"/>
      <c r="L21" s="422"/>
      <c r="M21" s="422"/>
      <c r="N21" s="422"/>
      <c r="O21" s="422"/>
      <c r="P21" s="422"/>
      <c r="Q21" s="422"/>
      <c r="R21" s="422"/>
      <c r="S21" s="422"/>
      <c r="T21" s="422"/>
      <c r="U21" s="422"/>
      <c r="V21" s="422"/>
      <c r="W21" s="422"/>
      <c r="X21" s="422"/>
      <c r="Y21" s="422"/>
      <c r="Z21" s="422"/>
      <c r="AA21" s="422"/>
      <c r="AB21" s="422"/>
      <c r="AC21" s="422"/>
      <c r="AD21" s="422"/>
      <c r="AE21" s="422"/>
      <c r="AF21" s="422"/>
      <c r="AG21" s="422"/>
      <c r="AH21" s="422"/>
      <c r="AI21" s="422"/>
      <c r="AJ21" s="422"/>
      <c r="AK21" s="422"/>
      <c r="AL21" s="422"/>
      <c r="AM21" s="422"/>
      <c r="AN21" s="422"/>
      <c r="AO21" s="422"/>
      <c r="AP21" s="422"/>
      <c r="AQ21" s="422"/>
      <c r="AR21" s="422"/>
      <c r="AS21" s="422"/>
      <c r="AT21" s="422"/>
      <c r="AU21" s="422"/>
      <c r="AV21" s="422"/>
      <c r="AW21" s="422"/>
      <c r="AX21" s="422"/>
      <c r="AY21" s="422"/>
      <c r="AZ21" s="422"/>
      <c r="BA21" s="422"/>
      <c r="BB21" s="422"/>
    </row>
    <row r="22" spans="1:54" ht="31.5" customHeight="1" thickBot="1" x14ac:dyDescent="0.3">
      <c r="A22" s="746"/>
      <c r="B22" s="743"/>
      <c r="C22" s="422"/>
      <c r="D22" s="523" t="s">
        <v>54</v>
      </c>
      <c r="E22" s="555" t="s">
        <v>414</v>
      </c>
      <c r="F22" s="524" t="s">
        <v>167</v>
      </c>
      <c r="G22" s="525" t="s">
        <v>168</v>
      </c>
      <c r="H22" s="422"/>
      <c r="I22" s="422"/>
      <c r="J22" s="422"/>
      <c r="K22" s="422"/>
      <c r="L22" s="422"/>
      <c r="M22" s="422"/>
      <c r="N22" s="422"/>
      <c r="O22" s="422"/>
      <c r="P22" s="422"/>
      <c r="Q22" s="422"/>
      <c r="R22" s="422"/>
      <c r="S22" s="422"/>
      <c r="T22" s="422"/>
      <c r="U22" s="422"/>
      <c r="V22" s="422"/>
      <c r="W22" s="422"/>
      <c r="X22" s="422"/>
      <c r="Y22" s="422"/>
      <c r="Z22" s="422"/>
      <c r="AA22" s="422"/>
      <c r="AB22" s="422"/>
      <c r="AC22" s="422"/>
      <c r="AD22" s="422"/>
      <c r="AE22" s="422"/>
      <c r="AF22" s="422"/>
      <c r="AG22" s="422"/>
      <c r="AH22" s="422"/>
      <c r="AI22" s="422"/>
      <c r="AJ22" s="422"/>
      <c r="AK22" s="422"/>
      <c r="AL22" s="422"/>
      <c r="AM22" s="422"/>
      <c r="AN22" s="422"/>
      <c r="AO22" s="422"/>
      <c r="AP22" s="422"/>
      <c r="AQ22" s="422"/>
      <c r="AR22" s="422"/>
      <c r="AS22" s="422"/>
      <c r="AT22" s="422"/>
      <c r="AU22" s="422"/>
      <c r="AV22" s="422"/>
      <c r="AW22" s="422"/>
      <c r="AX22" s="422"/>
      <c r="AY22" s="422"/>
      <c r="AZ22" s="422"/>
      <c r="BA22" s="422"/>
      <c r="BB22" s="422"/>
    </row>
    <row r="23" spans="1:54" x14ac:dyDescent="0.25">
      <c r="C23" s="422"/>
      <c r="D23" s="625" t="s">
        <v>174</v>
      </c>
      <c r="E23" s="626">
        <v>0</v>
      </c>
      <c r="F23" s="627">
        <f>Implementacion!$L$94*E23</f>
        <v>0</v>
      </c>
      <c r="G23" s="628">
        <f>Implementacion!$N$94*E23</f>
        <v>0</v>
      </c>
      <c r="H23" s="422"/>
      <c r="I23" s="422"/>
      <c r="J23" s="422"/>
      <c r="K23" s="422"/>
      <c r="L23" s="422"/>
      <c r="M23" s="422"/>
      <c r="N23" s="422"/>
      <c r="O23" s="422"/>
      <c r="P23" s="422"/>
      <c r="Q23" s="422"/>
      <c r="R23" s="422"/>
      <c r="S23" s="422"/>
      <c r="T23" s="422"/>
      <c r="U23" s="422"/>
      <c r="V23" s="422"/>
      <c r="W23" s="422"/>
      <c r="X23" s="422"/>
      <c r="Y23" s="422"/>
      <c r="Z23" s="422"/>
      <c r="AA23" s="422"/>
      <c r="AB23" s="422"/>
      <c r="AC23" s="422"/>
      <c r="AD23" s="422"/>
      <c r="AE23" s="422"/>
      <c r="AF23" s="422"/>
      <c r="AG23" s="422"/>
      <c r="AH23" s="422"/>
      <c r="AI23" s="422"/>
      <c r="AJ23" s="422"/>
      <c r="AK23" s="422"/>
      <c r="AL23" s="422"/>
      <c r="AM23" s="422"/>
      <c r="AN23" s="422"/>
      <c r="AO23" s="422"/>
      <c r="AP23" s="422"/>
      <c r="AQ23" s="422"/>
      <c r="AR23" s="422"/>
      <c r="AS23" s="422"/>
      <c r="AT23" s="422"/>
      <c r="AU23" s="422"/>
      <c r="AV23" s="422"/>
      <c r="AW23" s="422"/>
      <c r="AX23" s="422"/>
      <c r="AY23" s="422"/>
      <c r="AZ23" s="422"/>
      <c r="BA23" s="422"/>
      <c r="BB23" s="422"/>
    </row>
    <row r="24" spans="1:54" ht="33.9" customHeight="1" x14ac:dyDescent="0.25">
      <c r="A24" s="537"/>
      <c r="B24" s="527"/>
      <c r="C24" s="422"/>
      <c r="D24" s="422"/>
      <c r="E24" s="422"/>
      <c r="F24" s="422"/>
      <c r="G24" s="422"/>
      <c r="H24" s="422"/>
      <c r="I24" s="422"/>
      <c r="J24" s="422"/>
      <c r="K24" s="422"/>
      <c r="L24" s="422"/>
      <c r="M24" s="422"/>
      <c r="N24" s="422"/>
      <c r="O24" s="422"/>
      <c r="P24" s="422"/>
      <c r="Q24" s="422"/>
      <c r="R24" s="422"/>
      <c r="S24" s="422"/>
      <c r="T24" s="422"/>
      <c r="U24" s="422"/>
      <c r="V24" s="422"/>
      <c r="W24" s="422"/>
      <c r="X24" s="422"/>
      <c r="Y24" s="422"/>
      <c r="Z24" s="422"/>
      <c r="AA24" s="422"/>
      <c r="AB24" s="422"/>
      <c r="AC24" s="422"/>
      <c r="AD24" s="422"/>
      <c r="AE24" s="422"/>
      <c r="AF24" s="422"/>
      <c r="AG24" s="422"/>
      <c r="AH24" s="422"/>
      <c r="AI24" s="422"/>
      <c r="AJ24" s="422"/>
      <c r="AK24" s="422"/>
      <c r="AL24" s="422"/>
      <c r="AM24" s="422"/>
      <c r="AN24" s="422"/>
      <c r="AO24" s="422"/>
      <c r="AP24" s="422"/>
      <c r="AQ24" s="422"/>
      <c r="AR24" s="422"/>
      <c r="AS24" s="422"/>
      <c r="AT24" s="422"/>
      <c r="AU24" s="422"/>
      <c r="AV24" s="422"/>
      <c r="AW24" s="422"/>
      <c r="AX24" s="422"/>
      <c r="AY24" s="422"/>
      <c r="AZ24" s="422"/>
      <c r="BA24" s="422"/>
      <c r="BB24" s="422"/>
    </row>
    <row r="25" spans="1:54" ht="15.6" x14ac:dyDescent="0.25">
      <c r="A25" s="537"/>
      <c r="B25" s="527"/>
      <c r="C25" s="422"/>
      <c r="D25" s="841" t="s">
        <v>485</v>
      </c>
      <c r="E25" s="841"/>
      <c r="F25" s="841"/>
      <c r="G25" s="422"/>
      <c r="H25" s="422"/>
      <c r="I25" s="422"/>
      <c r="J25" s="422"/>
      <c r="K25" s="422"/>
      <c r="L25" s="422"/>
      <c r="M25" s="422"/>
      <c r="N25" s="422"/>
      <c r="O25" s="422"/>
      <c r="P25" s="422"/>
      <c r="Q25" s="422"/>
      <c r="R25" s="422"/>
      <c r="S25" s="422"/>
      <c r="T25" s="422"/>
      <c r="U25" s="422"/>
      <c r="V25" s="422"/>
      <c r="W25" s="422"/>
      <c r="X25" s="422"/>
      <c r="Y25" s="422"/>
      <c r="Z25" s="422"/>
      <c r="AA25" s="422"/>
      <c r="AB25" s="422"/>
      <c r="AC25" s="422"/>
      <c r="AD25" s="422"/>
      <c r="AE25" s="422"/>
      <c r="AF25" s="422"/>
      <c r="AG25" s="422"/>
      <c r="AH25" s="422"/>
      <c r="AI25" s="422"/>
      <c r="AJ25" s="422"/>
      <c r="AK25" s="422"/>
      <c r="AL25" s="422"/>
      <c r="AM25" s="422"/>
      <c r="AN25" s="422"/>
      <c r="AO25" s="422"/>
      <c r="AP25" s="422"/>
      <c r="AQ25" s="422"/>
      <c r="AR25" s="422"/>
      <c r="AS25" s="422"/>
      <c r="AT25" s="422"/>
      <c r="AU25" s="422"/>
      <c r="AV25" s="422"/>
      <c r="AW25" s="422"/>
      <c r="AX25" s="422"/>
      <c r="AY25" s="422"/>
      <c r="AZ25" s="422"/>
      <c r="BA25" s="422"/>
      <c r="BB25" s="422"/>
    </row>
    <row r="26" spans="1:54" ht="33.9" customHeight="1" x14ac:dyDescent="0.25">
      <c r="A26" s="422"/>
      <c r="B26" s="422"/>
      <c r="C26" s="422"/>
      <c r="D26" s="762" t="s">
        <v>54</v>
      </c>
      <c r="E26" s="762" t="s">
        <v>135</v>
      </c>
      <c r="F26" s="762" t="s">
        <v>7</v>
      </c>
      <c r="G26" s="422"/>
      <c r="H26" s="422"/>
      <c r="I26" s="422"/>
      <c r="J26" s="422"/>
      <c r="K26" s="422"/>
      <c r="L26" s="422"/>
      <c r="M26" s="422"/>
      <c r="N26" s="422"/>
      <c r="O26" s="422"/>
      <c r="P26" s="422"/>
      <c r="Q26" s="422"/>
      <c r="R26" s="422"/>
      <c r="S26" s="422"/>
      <c r="T26" s="422"/>
      <c r="U26" s="422"/>
      <c r="V26" s="422"/>
      <c r="W26" s="422"/>
      <c r="X26" s="422"/>
      <c r="Y26" s="422"/>
      <c r="Z26" s="422"/>
      <c r="AA26" s="422"/>
      <c r="AB26" s="422"/>
      <c r="AC26" s="422"/>
      <c r="AD26" s="422"/>
      <c r="AE26" s="422"/>
      <c r="AF26" s="422"/>
      <c r="AG26" s="422"/>
      <c r="AH26" s="422"/>
      <c r="AI26" s="422"/>
      <c r="AJ26" s="422"/>
      <c r="AK26" s="422"/>
      <c r="AL26" s="422"/>
      <c r="AM26" s="422"/>
      <c r="AN26" s="422"/>
      <c r="AO26" s="422"/>
      <c r="AP26" s="422"/>
      <c r="AQ26" s="422"/>
      <c r="AR26" s="422"/>
      <c r="AS26" s="422"/>
      <c r="AT26" s="422"/>
      <c r="AU26" s="422"/>
      <c r="AV26" s="422"/>
      <c r="AW26" s="422"/>
      <c r="AX26" s="422"/>
      <c r="AY26" s="422"/>
      <c r="AZ26" s="422"/>
      <c r="BA26" s="422"/>
      <c r="BB26" s="422"/>
    </row>
    <row r="27" spans="1:54" x14ac:dyDescent="0.25">
      <c r="A27" s="422"/>
      <c r="B27" s="422"/>
      <c r="C27" s="422"/>
      <c r="D27" s="520"/>
      <c r="E27" s="520"/>
      <c r="F27" s="520"/>
      <c r="G27" s="422"/>
      <c r="H27" s="422"/>
      <c r="I27" s="422"/>
      <c r="J27" s="422"/>
      <c r="K27" s="422"/>
      <c r="L27" s="422"/>
      <c r="M27" s="422"/>
      <c r="N27" s="422"/>
      <c r="O27" s="422"/>
      <c r="P27" s="422"/>
      <c r="Q27" s="422"/>
      <c r="R27" s="422"/>
      <c r="S27" s="422"/>
      <c r="T27" s="422"/>
      <c r="U27" s="422"/>
      <c r="V27" s="422"/>
      <c r="W27" s="422"/>
      <c r="X27" s="422"/>
      <c r="Y27" s="422"/>
      <c r="Z27" s="422"/>
      <c r="AA27" s="422"/>
      <c r="AB27" s="422"/>
      <c r="AC27" s="422"/>
      <c r="AD27" s="422"/>
      <c r="AE27" s="422"/>
      <c r="AF27" s="422"/>
      <c r="AG27" s="422"/>
      <c r="AH27" s="422"/>
      <c r="AI27" s="422"/>
      <c r="AJ27" s="422"/>
      <c r="AK27" s="422"/>
      <c r="AL27" s="422"/>
      <c r="AM27" s="422"/>
      <c r="AN27" s="422"/>
      <c r="AO27" s="422"/>
      <c r="AP27" s="422"/>
      <c r="AQ27" s="422"/>
      <c r="AR27" s="422"/>
      <c r="AS27" s="422"/>
      <c r="AT27" s="422"/>
      <c r="AU27" s="422"/>
      <c r="AV27" s="422"/>
      <c r="AW27" s="422"/>
      <c r="AX27" s="422"/>
      <c r="AY27" s="422"/>
      <c r="AZ27" s="422"/>
      <c r="BA27" s="422"/>
      <c r="BB27" s="422"/>
    </row>
    <row r="28" spans="1:54" x14ac:dyDescent="0.25">
      <c r="A28" s="422"/>
      <c r="B28" s="422"/>
      <c r="C28" s="422"/>
      <c r="D28" s="520" t="s">
        <v>483</v>
      </c>
      <c r="E28" s="756">
        <f>$AA$12+$AN$12+$BA$12+$L$18+$F$23+L19</f>
        <v>18504.924812030073</v>
      </c>
      <c r="F28" s="756">
        <f>$AA$13+$AN$13+$BA$13+$N$18+$G$23+N19</f>
        <v>23148.656015037592</v>
      </c>
      <c r="G28" s="422"/>
      <c r="H28" s="422"/>
      <c r="I28" s="422"/>
      <c r="J28" s="422"/>
      <c r="K28" s="422"/>
      <c r="L28" s="422"/>
      <c r="M28" s="422"/>
      <c r="N28" s="422"/>
      <c r="O28" s="422"/>
      <c r="P28" s="422"/>
      <c r="Q28" s="422"/>
      <c r="R28" s="422"/>
      <c r="S28" s="422"/>
      <c r="T28" s="422"/>
      <c r="U28" s="422"/>
      <c r="V28" s="422"/>
      <c r="W28" s="422"/>
      <c r="X28" s="422"/>
      <c r="Y28" s="422"/>
      <c r="Z28" s="422"/>
      <c r="AA28" s="422"/>
      <c r="AB28" s="422"/>
      <c r="AC28" s="422"/>
      <c r="AD28" s="422"/>
      <c r="AE28" s="422"/>
      <c r="AF28" s="422"/>
      <c r="AG28" s="422"/>
      <c r="AH28" s="422"/>
      <c r="AI28" s="422"/>
      <c r="AJ28" s="422"/>
      <c r="AK28" s="422"/>
      <c r="AL28" s="422"/>
      <c r="AM28" s="422"/>
      <c r="AN28" s="422"/>
      <c r="AO28" s="422"/>
      <c r="AP28" s="422"/>
      <c r="AQ28" s="422"/>
      <c r="AR28" s="422"/>
      <c r="AS28" s="422"/>
      <c r="AT28" s="422"/>
      <c r="AU28" s="422"/>
      <c r="AV28" s="422"/>
      <c r="AW28" s="422"/>
      <c r="AX28" s="422"/>
      <c r="AY28" s="422"/>
      <c r="AZ28" s="422"/>
      <c r="BA28" s="422"/>
      <c r="BB28" s="422"/>
    </row>
    <row r="29" spans="1:54" x14ac:dyDescent="0.25">
      <c r="A29" s="422"/>
      <c r="B29" s="422"/>
      <c r="C29" s="422"/>
      <c r="D29" s="520"/>
      <c r="E29" s="520"/>
      <c r="F29" s="520"/>
      <c r="G29" s="422"/>
      <c r="H29" s="422"/>
      <c r="I29" s="422"/>
      <c r="J29" s="422"/>
      <c r="K29" s="422"/>
      <c r="L29" s="422"/>
      <c r="M29" s="422"/>
      <c r="N29" s="422"/>
      <c r="O29" s="422"/>
      <c r="P29" s="422"/>
      <c r="Q29" s="422"/>
      <c r="R29" s="422"/>
      <c r="S29" s="422"/>
      <c r="T29" s="422"/>
      <c r="U29" s="422"/>
      <c r="V29" s="422"/>
      <c r="W29" s="422"/>
      <c r="X29" s="422"/>
      <c r="Y29" s="422"/>
      <c r="Z29" s="422"/>
      <c r="AA29" s="422"/>
      <c r="AB29" s="422"/>
      <c r="AC29" s="422"/>
      <c r="AD29" s="422"/>
      <c r="AE29" s="422"/>
      <c r="AF29" s="422"/>
      <c r="AG29" s="422"/>
      <c r="AH29" s="422"/>
      <c r="AI29" s="422"/>
      <c r="AJ29" s="422"/>
      <c r="AK29" s="422"/>
      <c r="AL29" s="422"/>
      <c r="AM29" s="422"/>
      <c r="AN29" s="422"/>
      <c r="AO29" s="422"/>
      <c r="AP29" s="422"/>
      <c r="AQ29" s="422"/>
      <c r="AR29" s="422"/>
      <c r="AS29" s="422"/>
      <c r="AT29" s="422"/>
      <c r="AU29" s="422"/>
      <c r="AV29" s="422"/>
      <c r="AW29" s="422"/>
      <c r="AX29" s="422"/>
      <c r="AY29" s="422"/>
      <c r="AZ29" s="422"/>
      <c r="BA29" s="422"/>
      <c r="BB29" s="422"/>
    </row>
    <row r="30" spans="1:54" x14ac:dyDescent="0.25">
      <c r="A30" s="422"/>
      <c r="B30" s="422"/>
      <c r="C30" s="422"/>
      <c r="D30" s="757" t="s">
        <v>202</v>
      </c>
      <c r="E30" s="758">
        <f>ROUNDUP((SUM(E27:E29)),0)</f>
        <v>18505</v>
      </c>
      <c r="F30" s="758">
        <f>ROUNDUP((SUM(F27:F29)),0)</f>
        <v>23149</v>
      </c>
      <c r="G30" s="422"/>
      <c r="H30" s="422"/>
      <c r="I30" s="422"/>
      <c r="J30" s="422"/>
      <c r="K30" s="422"/>
      <c r="L30" s="422"/>
      <c r="M30" s="422"/>
      <c r="N30" s="422"/>
      <c r="O30" s="422"/>
      <c r="P30" s="422"/>
      <c r="Q30" s="422"/>
      <c r="R30" s="422"/>
      <c r="S30" s="422"/>
      <c r="T30" s="422"/>
      <c r="U30" s="422"/>
      <c r="V30" s="422"/>
      <c r="W30" s="422"/>
      <c r="X30" s="422"/>
      <c r="Y30" s="422"/>
      <c r="Z30" s="422"/>
      <c r="AA30" s="422"/>
      <c r="AB30" s="422"/>
      <c r="AC30" s="422"/>
      <c r="AD30" s="422"/>
      <c r="AE30" s="422"/>
      <c r="AF30" s="422"/>
      <c r="AG30" s="422"/>
      <c r="AH30" s="422"/>
      <c r="AI30" s="422"/>
      <c r="AJ30" s="422"/>
      <c r="AK30" s="422"/>
      <c r="AL30" s="422"/>
      <c r="AM30" s="422"/>
      <c r="AN30" s="422"/>
      <c r="AO30" s="422"/>
      <c r="AP30" s="422"/>
      <c r="AQ30" s="422"/>
      <c r="AR30" s="422"/>
      <c r="AS30" s="422"/>
      <c r="AT30" s="422"/>
      <c r="AU30" s="422"/>
      <c r="AV30" s="422"/>
      <c r="AW30" s="422"/>
      <c r="AX30" s="422"/>
      <c r="AY30" s="422"/>
      <c r="AZ30" s="422"/>
      <c r="BA30" s="422"/>
      <c r="BB30" s="422"/>
    </row>
    <row r="31" spans="1:54" ht="33.9" customHeight="1" x14ac:dyDescent="0.25">
      <c r="A31" s="422"/>
      <c r="B31" s="422"/>
    </row>
    <row r="32" spans="1:54" ht="33.9" customHeight="1" x14ac:dyDescent="0.25">
      <c r="A32" s="422"/>
      <c r="B32" s="422"/>
    </row>
    <row r="33" ht="33.9" customHeight="1" x14ac:dyDescent="0.25"/>
    <row r="34" ht="33.9" customHeight="1" x14ac:dyDescent="0.25"/>
  </sheetData>
  <mergeCells count="9">
    <mergeCell ref="D25:F25"/>
    <mergeCell ref="D21:G21"/>
    <mergeCell ref="O6:Z6"/>
    <mergeCell ref="AB6:AM6"/>
    <mergeCell ref="A9:B9"/>
    <mergeCell ref="A15:B15"/>
    <mergeCell ref="A18:B18"/>
    <mergeCell ref="AO6:AZ6"/>
    <mergeCell ref="E4:K4"/>
  </mergeCells>
  <dataValidations count="1">
    <dataValidation type="list" allowBlank="1" showInputMessage="1" showErrorMessage="1" sqref="H17" xr:uid="{5D6A75CD-AF6F-4058-9AD9-2E8AEA1048EC}">
      <formula1>Lista</formula1>
    </dataValidation>
  </dataValidations>
  <hyperlinks>
    <hyperlink ref="A1" location="Implementacion!A1" display="IMPLEMENTACIÓN" xr:uid="{E6EF3BA6-9F82-4C45-9AF7-344CCDB6F6B4}"/>
    <hyperlink ref="A5" location="ResumenP!A1" display="RESUMEN DEL PROYECTO" xr:uid="{256ED794-50AA-4806-A15C-3F1BA62EBE41}"/>
    <hyperlink ref="A4" location="'Bolsa Horas'!A1" display="BOLSA DE HORAS" xr:uid="{6CFD253E-A0F0-4928-A4D4-5A3548E3020D}"/>
    <hyperlink ref="A3" location="'Mant Corr'!A1" display="MANTENIMIENTO CORRECTIVO" xr:uid="{65EDFEF4-EB0B-4380-95B0-1AB659AC4C2C}"/>
    <hyperlink ref="A2" location="'Mant Prev'!A1" display="MANTENIMIENTO PREVENTIVO" xr:uid="{36C03FF7-EDC7-4531-820B-5DED7C25E54B}"/>
  </hyperlinks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Roman,Normal"&amp;12&amp;A</oddHeader>
    <oddFooter>&amp;C&amp;"Times New Roman,Normal"&amp;12Página &amp;P</oddFooter>
  </headerFooter>
  <legacy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8">
    <tabColor theme="7" tint="0.39997558519241921"/>
  </sheetPr>
  <dimension ref="A1:BC41"/>
  <sheetViews>
    <sheetView showGridLines="0" zoomScale="77" zoomScaleNormal="77" workbookViewId="0">
      <selection activeCell="J31" sqref="J31"/>
    </sheetView>
  </sheetViews>
  <sheetFormatPr baseColWidth="10" defaultColWidth="11.5546875" defaultRowHeight="13.2" x14ac:dyDescent="0.25"/>
  <cols>
    <col min="1" max="1" width="38" style="422" bestFit="1" customWidth="1"/>
    <col min="2" max="2" width="11.33203125" style="422" bestFit="1" customWidth="1"/>
    <col min="3" max="3" width="8.44140625" customWidth="1"/>
    <col min="4" max="4" width="21" style="422" bestFit="1" customWidth="1"/>
    <col min="5" max="5" width="26.44140625" style="422" bestFit="1" customWidth="1"/>
    <col min="6" max="6" width="12.5546875" style="422" bestFit="1" customWidth="1"/>
    <col min="7" max="7" width="18.88671875" style="422" customWidth="1"/>
    <col min="8" max="8" width="16.109375" style="422" customWidth="1"/>
    <col min="9" max="9" width="12.6640625" style="422" bestFit="1" customWidth="1"/>
    <col min="10" max="10" width="10.88671875" style="422" bestFit="1" customWidth="1"/>
    <col min="11" max="11" width="8.77734375" style="422" bestFit="1" customWidth="1"/>
    <col min="12" max="12" width="8.21875" style="422" bestFit="1" customWidth="1"/>
    <col min="13" max="13" width="14.109375" style="422" bestFit="1" customWidth="1"/>
    <col min="14" max="14" width="13.109375" style="422" bestFit="1" customWidth="1"/>
    <col min="15" max="15" width="19.88671875" style="422" bestFit="1" customWidth="1"/>
    <col min="16" max="16" width="19.33203125" style="422" bestFit="1" customWidth="1"/>
    <col min="17" max="17" width="8.88671875" style="422" hidden="1" customWidth="1"/>
    <col min="18" max="18" width="13.77734375" style="422" hidden="1" customWidth="1"/>
    <col min="19" max="24" width="8.88671875" style="422" hidden="1" customWidth="1"/>
    <col min="25" max="26" width="10.44140625" style="422" hidden="1" customWidth="1"/>
    <col min="27" max="27" width="11.21875" style="422" bestFit="1" customWidth="1"/>
    <col min="28" max="28" width="10.44140625" style="422" bestFit="1" customWidth="1"/>
    <col min="29" max="29" width="9.21875" style="422" hidden="1" customWidth="1"/>
    <col min="30" max="30" width="8.88671875" style="422" hidden="1" customWidth="1"/>
    <col min="31" max="31" width="13" style="422" hidden="1" customWidth="1"/>
    <col min="32" max="35" width="8.88671875" style="422" hidden="1" customWidth="1"/>
    <col min="36" max="39" width="10.44140625" style="422" hidden="1" customWidth="1"/>
    <col min="40" max="40" width="11.21875" style="422" hidden="1" customWidth="1"/>
    <col min="41" max="41" width="10.44140625" style="422" bestFit="1" customWidth="1"/>
    <col min="42" max="43" width="8.88671875" style="422" hidden="1" customWidth="1"/>
    <col min="44" max="44" width="12.5546875" style="422" hidden="1" customWidth="1"/>
    <col min="45" max="48" width="8.88671875" style="422" hidden="1" customWidth="1"/>
    <col min="49" max="52" width="10.44140625" style="422" hidden="1" customWidth="1"/>
    <col min="53" max="53" width="8.88671875" style="422" hidden="1" customWidth="1"/>
    <col min="54" max="54" width="12.77734375" style="422" customWidth="1"/>
    <col min="55" max="55" width="8.88671875" style="422" hidden="1" customWidth="1"/>
    <col min="56" max="56" width="24.109375" style="422" customWidth="1"/>
    <col min="57" max="57" width="18.44140625" style="422" customWidth="1"/>
    <col min="58" max="16384" width="11.5546875" style="422"/>
  </cols>
  <sheetData>
    <row r="1" spans="1:55" ht="16.5" customHeight="1" x14ac:dyDescent="0.3">
      <c r="A1" s="638" t="s">
        <v>427</v>
      </c>
    </row>
    <row r="2" spans="1:55" ht="16.8" x14ac:dyDescent="0.3">
      <c r="A2" s="639" t="s">
        <v>429</v>
      </c>
      <c r="C2" s="422"/>
      <c r="D2" s="637" t="s">
        <v>24</v>
      </c>
      <c r="E2" s="680">
        <f>Costos!J2</f>
        <v>0.2</v>
      </c>
    </row>
    <row r="3" spans="1:55" ht="16.8" x14ac:dyDescent="0.3">
      <c r="A3" s="640" t="s">
        <v>428</v>
      </c>
      <c r="C3" s="422"/>
      <c r="E3" s="751"/>
    </row>
    <row r="4" spans="1:55" ht="16.8" x14ac:dyDescent="0.3">
      <c r="A4" s="641" t="s">
        <v>430</v>
      </c>
      <c r="C4" s="422"/>
      <c r="E4" s="751"/>
    </row>
    <row r="5" spans="1:55" ht="16.8" x14ac:dyDescent="0.3">
      <c r="A5" s="642" t="s">
        <v>431</v>
      </c>
      <c r="C5" s="422"/>
      <c r="E5" s="752" t="s">
        <v>478</v>
      </c>
      <c r="F5" s="840" t="str">
        <f>Implementacion!E4</f>
        <v>UDLA</v>
      </c>
      <c r="G5" s="840"/>
      <c r="H5" s="840"/>
      <c r="I5" s="840"/>
      <c r="J5" s="840"/>
    </row>
    <row r="6" spans="1:55" x14ac:dyDescent="0.25">
      <c r="E6" s="839" t="s">
        <v>474</v>
      </c>
      <c r="F6" s="839"/>
      <c r="G6" s="839"/>
      <c r="H6" s="839"/>
      <c r="I6" s="839"/>
      <c r="J6" s="839"/>
      <c r="K6" s="839"/>
      <c r="L6" s="839"/>
      <c r="M6" s="839"/>
      <c r="N6" s="839"/>
      <c r="O6" s="839"/>
      <c r="P6" s="839"/>
      <c r="Q6" s="838" t="s">
        <v>434</v>
      </c>
      <c r="R6" s="838"/>
      <c r="S6" s="838"/>
      <c r="T6" s="838"/>
      <c r="U6" s="838"/>
      <c r="V6" s="838"/>
      <c r="W6" s="838"/>
      <c r="X6" s="838"/>
      <c r="Y6" s="838"/>
      <c r="Z6" s="838"/>
      <c r="AA6" s="838"/>
      <c r="AB6" s="838"/>
      <c r="AC6" s="755"/>
      <c r="AD6" s="838" t="s">
        <v>479</v>
      </c>
      <c r="AE6" s="838"/>
      <c r="AF6" s="838"/>
      <c r="AG6" s="838"/>
      <c r="AH6" s="838"/>
      <c r="AI6" s="838"/>
      <c r="AJ6" s="838"/>
      <c r="AK6" s="838"/>
      <c r="AL6" s="838"/>
      <c r="AM6" s="838"/>
      <c r="AN6" s="838"/>
      <c r="AO6" s="838"/>
      <c r="AP6" s="755"/>
      <c r="AQ6" s="838" t="s">
        <v>480</v>
      </c>
      <c r="AR6" s="838"/>
      <c r="AS6" s="838"/>
      <c r="AT6" s="838"/>
      <c r="AU6" s="838"/>
      <c r="AV6" s="838"/>
      <c r="AW6" s="838"/>
      <c r="AX6" s="838"/>
      <c r="AY6" s="838"/>
      <c r="AZ6" s="838"/>
      <c r="BA6" s="838"/>
      <c r="BB6" s="838"/>
    </row>
    <row r="7" spans="1:55" ht="27" customHeight="1" thickBot="1" x14ac:dyDescent="0.3">
      <c r="E7" s="449" t="s">
        <v>54</v>
      </c>
      <c r="F7" s="449" t="s">
        <v>55</v>
      </c>
      <c r="G7" s="449" t="s">
        <v>56</v>
      </c>
      <c r="H7" s="449" t="s">
        <v>57</v>
      </c>
      <c r="I7" s="449" t="s">
        <v>58</v>
      </c>
      <c r="J7" s="449" t="s">
        <v>59</v>
      </c>
      <c r="K7" s="449"/>
      <c r="L7" s="449"/>
      <c r="M7" s="449" t="s">
        <v>60</v>
      </c>
      <c r="N7" s="449" t="s">
        <v>61</v>
      </c>
      <c r="O7" s="449" t="s">
        <v>133</v>
      </c>
      <c r="P7" s="449" t="s">
        <v>134</v>
      </c>
      <c r="Q7" s="753"/>
      <c r="R7" s="754" t="s">
        <v>135</v>
      </c>
      <c r="S7" s="753"/>
      <c r="T7" s="754" t="s">
        <v>135</v>
      </c>
      <c r="U7" s="753"/>
      <c r="V7" s="754" t="s">
        <v>135</v>
      </c>
      <c r="W7" s="753"/>
      <c r="X7" s="754" t="s">
        <v>135</v>
      </c>
      <c r="Y7" s="753"/>
      <c r="Z7" s="754" t="s">
        <v>135</v>
      </c>
      <c r="AA7" s="754" t="s">
        <v>136</v>
      </c>
      <c r="AB7" s="753" t="s">
        <v>18</v>
      </c>
      <c r="AC7" s="448"/>
      <c r="AD7" s="753"/>
      <c r="AE7" s="754" t="s">
        <v>135</v>
      </c>
      <c r="AF7" s="753"/>
      <c r="AG7" s="754" t="s">
        <v>135</v>
      </c>
      <c r="AH7" s="753"/>
      <c r="AI7" s="754" t="s">
        <v>135</v>
      </c>
      <c r="AJ7" s="753"/>
      <c r="AK7" s="754" t="s">
        <v>135</v>
      </c>
      <c r="AL7" s="753"/>
      <c r="AM7" s="754" t="s">
        <v>135</v>
      </c>
      <c r="AN7" s="754" t="s">
        <v>136</v>
      </c>
      <c r="AO7" s="753" t="s">
        <v>18</v>
      </c>
      <c r="AP7" s="448"/>
      <c r="AQ7" s="753"/>
      <c r="AR7" s="754" t="s">
        <v>135</v>
      </c>
      <c r="AS7" s="753"/>
      <c r="AT7" s="754" t="s">
        <v>135</v>
      </c>
      <c r="AU7" s="753"/>
      <c r="AV7" s="754" t="s">
        <v>135</v>
      </c>
      <c r="AW7" s="753"/>
      <c r="AX7" s="754" t="s">
        <v>135</v>
      </c>
      <c r="AY7" s="753"/>
      <c r="AZ7" s="754" t="s">
        <v>135</v>
      </c>
      <c r="BA7" s="754" t="s">
        <v>136</v>
      </c>
      <c r="BB7" s="753" t="s">
        <v>18</v>
      </c>
    </row>
    <row r="8" spans="1:55" ht="16.5" customHeight="1" thickBot="1" x14ac:dyDescent="0.3">
      <c r="A8" s="733" t="s">
        <v>481</v>
      </c>
      <c r="E8" s="459" t="s">
        <v>64</v>
      </c>
      <c r="F8" s="460"/>
      <c r="G8" s="460"/>
      <c r="H8" s="460"/>
      <c r="I8" s="460"/>
      <c r="J8" s="460"/>
      <c r="K8" s="460"/>
      <c r="L8" s="460"/>
      <c r="M8" s="460"/>
      <c r="N8" s="461"/>
      <c r="O8" s="461"/>
      <c r="P8" s="461"/>
      <c r="Q8" s="462">
        <f>SUM($N$9,$N$12 /Costos!G5)</f>
        <v>18</v>
      </c>
      <c r="R8" s="463">
        <f>SUM($N$9)</f>
        <v>18</v>
      </c>
      <c r="S8" s="462">
        <f>SUM($O$9:$P$9,O12/Costos!H5,'Mant Corr'!P12/Costos!I5)</f>
        <v>42</v>
      </c>
      <c r="T8" s="463">
        <f>SUM($O$9:$P$9)</f>
        <v>42</v>
      </c>
      <c r="U8" s="462">
        <f>$Q$8/7</f>
        <v>2.5714285714285716</v>
      </c>
      <c r="V8" s="463">
        <f>$Q$8/7</f>
        <v>2.5714285714285716</v>
      </c>
      <c r="W8" s="462">
        <f>$S$8/6</f>
        <v>7</v>
      </c>
      <c r="X8" s="463">
        <f>$S$8/6</f>
        <v>7</v>
      </c>
      <c r="Y8" s="464"/>
      <c r="Z8" s="465"/>
      <c r="AA8" s="466">
        <f>($V$8*15)+($X$8*25)</f>
        <v>213.57142857142858</v>
      </c>
      <c r="AB8" s="630">
        <f>AA8/(1-10%)</f>
        <v>237.30158730158732</v>
      </c>
      <c r="AC8" s="448"/>
      <c r="AD8" s="468"/>
      <c r="AE8" s="468"/>
      <c r="AF8" s="468"/>
      <c r="AG8" s="468"/>
      <c r="AH8" s="468"/>
      <c r="AI8" s="468"/>
      <c r="AJ8" s="468"/>
      <c r="AK8" s="468"/>
      <c r="AL8" s="469"/>
      <c r="AM8" s="469"/>
      <c r="AN8" s="470"/>
      <c r="AO8" s="416"/>
      <c r="AP8" s="458"/>
      <c r="AQ8" s="417"/>
      <c r="AR8" s="418"/>
      <c r="AS8" s="418"/>
      <c r="AT8" s="418"/>
      <c r="AU8" s="419"/>
      <c r="AV8" s="419"/>
      <c r="AW8" s="419"/>
      <c r="AX8" s="419"/>
      <c r="AY8" s="419"/>
      <c r="AZ8" s="419"/>
      <c r="BA8" s="420"/>
      <c r="BB8" s="421"/>
    </row>
    <row r="9" spans="1:55" ht="39.6" x14ac:dyDescent="0.25">
      <c r="E9" s="536" t="s">
        <v>98</v>
      </c>
      <c r="F9" s="748"/>
      <c r="G9" s="748" t="s">
        <v>67</v>
      </c>
      <c r="H9" s="748"/>
      <c r="I9" s="748"/>
      <c r="J9" s="748"/>
      <c r="K9" s="748"/>
      <c r="L9" s="485">
        <v>20</v>
      </c>
      <c r="M9" s="485">
        <v>1</v>
      </c>
      <c r="N9" s="453">
        <f>+$M$9*$L$9*3*0.3</f>
        <v>18</v>
      </c>
      <c r="O9" s="453">
        <f>+$M$9*$L$9*3*0.4</f>
        <v>24</v>
      </c>
      <c r="P9" s="453">
        <f>+$M$9*$L$9*3*0.3</f>
        <v>18</v>
      </c>
      <c r="Q9" s="487">
        <f>($N9*Costos!$J$4)</f>
        <v>312.96992481203006</v>
      </c>
      <c r="R9" s="488">
        <f>($N9*Costos!$G$4)</f>
        <v>250.37593984962407</v>
      </c>
      <c r="S9" s="487">
        <f>($N9*Costos!$J$5)</f>
        <v>521.61654135338335</v>
      </c>
      <c r="T9" s="488">
        <f>($N9*Costos!$G$5)</f>
        <v>417.29323308270676</v>
      </c>
      <c r="U9" s="487">
        <f>($N9*Costos!$J$6)</f>
        <v>625.93984962406012</v>
      </c>
      <c r="V9" s="488">
        <f>($N9*Costos!$G$6)</f>
        <v>500.75187969924815</v>
      </c>
      <c r="W9" s="487">
        <f>($N9*Costos!$J$7)</f>
        <v>1575</v>
      </c>
      <c r="X9" s="488">
        <f>($N9*Costos!$G$7)</f>
        <v>1260</v>
      </c>
      <c r="Y9" s="487">
        <f>($N9*Costos!$J$8)</f>
        <v>2250</v>
      </c>
      <c r="Z9" s="488">
        <f>($N9*Costos!$G$8)</f>
        <v>1800</v>
      </c>
      <c r="AA9" s="489">
        <f>IF($F9="x",R9,0)+IF($G9="x",T9,0)+IF($H9="x",V9,0)+IF($I9="x",X9,0)+IF($J9="x",Z9,0)</f>
        <v>417.29323308270676</v>
      </c>
      <c r="AB9" s="467">
        <f>IF($F9="x",Q9,0)+IF($G9="x",S9,0)+IF($H9="x",U9,0)+IF($I9="x",W9,0)+IF($J9="x",Y9,0)</f>
        <v>521.61654135338335</v>
      </c>
      <c r="AC9" s="518"/>
      <c r="AD9" s="487">
        <f>($O9*Costos!$K$4)</f>
        <v>625.93984962406012</v>
      </c>
      <c r="AE9" s="488">
        <f>($O9*Costos!$H$4)</f>
        <v>500.75187969924815</v>
      </c>
      <c r="AF9" s="487">
        <f>($O9*Costos!$K$5)</f>
        <v>1043.2330827067667</v>
      </c>
      <c r="AG9" s="488">
        <f>($O9*Costos!$H$5)</f>
        <v>834.58646616541353</v>
      </c>
      <c r="AH9" s="487">
        <f>($O9*Costos!$K$6)</f>
        <v>1251.8796992481202</v>
      </c>
      <c r="AI9" s="488">
        <f>($O9*Costos!$H$6)</f>
        <v>1001.5037593984963</v>
      </c>
      <c r="AJ9" s="487">
        <f>($O9*Costos!$K$7)</f>
        <v>2100</v>
      </c>
      <c r="AK9" s="488">
        <f>($O9*Costos!$H$7)</f>
        <v>1680</v>
      </c>
      <c r="AL9" s="487">
        <f>($O9*Costos!$K$8)</f>
        <v>3000</v>
      </c>
      <c r="AM9" s="488">
        <f>($O9*Costos!$H$8)</f>
        <v>2400</v>
      </c>
      <c r="AN9" s="489">
        <f>IF($F9="x",AE9,0)+IF($G9="x",AG9,0)+IF($H9="x",AI9,0)+IF($I9="x",AK9,0)+IF($J9="x",AM9,0)</f>
        <v>834.58646616541353</v>
      </c>
      <c r="AO9" s="467">
        <f>IF($F9="x",AD9,0)+IF($G9="x",AF9,0)+IF($H9="x",AH9,0)+IF($I9="x",AJ9,0)+IF($J9="x",AL9,0)</f>
        <v>1043.2330827067667</v>
      </c>
      <c r="AP9" s="448"/>
      <c r="AQ9" s="606">
        <f>($P9*Costos!$L$4)</f>
        <v>625.93984962406012</v>
      </c>
      <c r="AR9" s="488">
        <f>($P9*Costos!$I$4)</f>
        <v>500.75187969924815</v>
      </c>
      <c r="AS9" s="487">
        <f>($P9*Costos!$L$5)</f>
        <v>1043.2330827067667</v>
      </c>
      <c r="AT9" s="488">
        <f>($P9*Costos!$I$5)</f>
        <v>834.58646616541353</v>
      </c>
      <c r="AU9" s="487">
        <f>($P9*Costos!$L$6)</f>
        <v>1251.8796992481202</v>
      </c>
      <c r="AV9" s="488">
        <f>($P9*Costos!$I$6)</f>
        <v>1001.5037593984963</v>
      </c>
      <c r="AW9" s="487">
        <f>($P9*Costos!$L$7)</f>
        <v>3150</v>
      </c>
      <c r="AX9" s="488">
        <f>($P9*Costos!$I$7)</f>
        <v>2520</v>
      </c>
      <c r="AY9" s="487">
        <f>($P9*Costos!$L$8)</f>
        <v>4500</v>
      </c>
      <c r="AZ9" s="488">
        <f>($P9*Costos!$I$8)</f>
        <v>3600</v>
      </c>
      <c r="BA9" s="489">
        <f>IF($F9="x",AR9,0)+IF($G9="x",AT9,0)+IF($H9="x",AV9,0)+IF($I9="x",AX9,0)+IF($J9="x",AZ9,0)</f>
        <v>834.58646616541353</v>
      </c>
      <c r="BB9" s="467">
        <f>IF($F9="x",AQ9,0)+IF($G9="x",AS9,0)+IF($H9="x",AU9,0)+IF($I9="x",AW9,0)+IF($J9="x",AY9,0)</f>
        <v>1043.2330827067667</v>
      </c>
    </row>
    <row r="10" spans="1:55" ht="35.1" customHeight="1" x14ac:dyDescent="0.25">
      <c r="A10" s="745"/>
      <c r="B10" s="745"/>
      <c r="E10" s="507" t="s">
        <v>95</v>
      </c>
      <c r="F10" s="462"/>
      <c r="G10" s="462" t="s">
        <v>67</v>
      </c>
      <c r="H10" s="462"/>
      <c r="I10" s="462"/>
      <c r="J10" s="462"/>
      <c r="K10" s="462"/>
      <c r="L10" s="492">
        <v>0</v>
      </c>
      <c r="M10" s="460"/>
      <c r="N10" s="461"/>
      <c r="O10" s="461"/>
      <c r="P10" s="461"/>
      <c r="Q10" s="464"/>
      <c r="R10" s="465"/>
      <c r="S10" s="464"/>
      <c r="T10" s="465"/>
      <c r="U10" s="464"/>
      <c r="V10" s="465"/>
      <c r="W10" s="464"/>
      <c r="X10" s="465"/>
      <c r="Y10" s="464"/>
      <c r="Z10" s="465"/>
      <c r="AA10" s="466">
        <f>(((40 + 60) + 10) * L10)</f>
        <v>0</v>
      </c>
      <c r="AB10" s="467">
        <f>AA10/(1-E2)</f>
        <v>0</v>
      </c>
      <c r="AC10" s="448"/>
      <c r="AD10" s="464"/>
      <c r="AE10" s="465"/>
      <c r="AF10" s="464"/>
      <c r="AG10" s="465"/>
      <c r="AH10" s="464"/>
      <c r="AI10" s="465"/>
      <c r="AJ10" s="464"/>
      <c r="AK10" s="465"/>
      <c r="AL10" s="464"/>
      <c r="AM10" s="465"/>
      <c r="AN10" s="466">
        <f>((40+70)+10)*Y10</f>
        <v>0</v>
      </c>
      <c r="AO10" s="467">
        <f>((40+70)+10)*Y10</f>
        <v>0</v>
      </c>
      <c r="AP10" s="448"/>
      <c r="AQ10" s="607"/>
      <c r="AR10" s="465"/>
      <c r="AS10" s="464"/>
      <c r="AT10" s="465"/>
      <c r="AU10" s="464"/>
      <c r="AV10" s="465"/>
      <c r="AW10" s="464"/>
      <c r="AX10" s="465"/>
      <c r="AY10" s="464"/>
      <c r="AZ10" s="465"/>
      <c r="BA10" s="466">
        <f>((40+70)+10)*AL10</f>
        <v>0</v>
      </c>
      <c r="BB10" s="467">
        <f>((40+70)+10)*AL10</f>
        <v>0</v>
      </c>
    </row>
    <row r="11" spans="1:55" ht="27" thickBot="1" x14ac:dyDescent="0.3">
      <c r="E11" s="508" t="s">
        <v>96</v>
      </c>
      <c r="F11" s="473"/>
      <c r="G11" s="473" t="s">
        <v>67</v>
      </c>
      <c r="H11" s="473"/>
      <c r="I11" s="473"/>
      <c r="J11" s="473"/>
      <c r="K11" s="473"/>
      <c r="L11" s="509">
        <v>0</v>
      </c>
      <c r="M11" s="471"/>
      <c r="N11" s="472"/>
      <c r="O11" s="472"/>
      <c r="P11" s="472"/>
      <c r="Q11" s="510"/>
      <c r="R11" s="511"/>
      <c r="S11" s="510"/>
      <c r="T11" s="511"/>
      <c r="U11" s="510"/>
      <c r="V11" s="511"/>
      <c r="W11" s="510"/>
      <c r="X11" s="511"/>
      <c r="Y11" s="510"/>
      <c r="Z11" s="511"/>
      <c r="AA11" s="477">
        <f>L11*200</f>
        <v>0</v>
      </c>
      <c r="AB11" s="478">
        <f>AA11/(1-E2)</f>
        <v>0</v>
      </c>
      <c r="AC11" s="490">
        <f>SUM(AA8:AA12)</f>
        <v>630.86466165413538</v>
      </c>
      <c r="AD11" s="510"/>
      <c r="AE11" s="511"/>
      <c r="AF11" s="510"/>
      <c r="AG11" s="511"/>
      <c r="AH11" s="510"/>
      <c r="AI11" s="511"/>
      <c r="AJ11" s="510"/>
      <c r="AK11" s="511"/>
      <c r="AL11" s="510"/>
      <c r="AM11" s="511"/>
      <c r="AN11" s="477">
        <f>Y11*200</f>
        <v>0</v>
      </c>
      <c r="AO11" s="478">
        <f>Y11*200</f>
        <v>0</v>
      </c>
      <c r="AP11" s="490">
        <f>SUM(AN9:AN12)</f>
        <v>834.58646616541353</v>
      </c>
      <c r="AQ11" s="608"/>
      <c r="AR11" s="511"/>
      <c r="AS11" s="510"/>
      <c r="AT11" s="511"/>
      <c r="AU11" s="510"/>
      <c r="AV11" s="511"/>
      <c r="AW11" s="510"/>
      <c r="AX11" s="511"/>
      <c r="AY11" s="510"/>
      <c r="AZ11" s="511"/>
      <c r="BA11" s="477">
        <f>AL11*200</f>
        <v>0</v>
      </c>
      <c r="BB11" s="478">
        <f>AL11*200</f>
        <v>0</v>
      </c>
      <c r="BC11" s="759">
        <f>SUM(BA9:BA12)</f>
        <v>834.58646616541353</v>
      </c>
    </row>
    <row r="12" spans="1:55" x14ac:dyDescent="0.25">
      <c r="A12" s="691"/>
      <c r="B12" s="743"/>
      <c r="E12" s="515" t="s">
        <v>153</v>
      </c>
      <c r="F12" s="486"/>
      <c r="G12" s="486"/>
      <c r="H12" s="486"/>
      <c r="I12" s="486"/>
      <c r="J12" s="486"/>
      <c r="K12" s="486"/>
      <c r="L12" s="485"/>
      <c r="M12" s="486"/>
      <c r="N12" s="461">
        <f>+L12*30%</f>
        <v>0</v>
      </c>
      <c r="O12" s="461">
        <f>+L12*30%</f>
        <v>0</v>
      </c>
      <c r="P12" s="461">
        <f>+L12*40%</f>
        <v>0</v>
      </c>
      <c r="Q12" s="513"/>
      <c r="R12" s="514"/>
      <c r="S12" s="516">
        <f>+N12/Costos!J5</f>
        <v>0</v>
      </c>
      <c r="T12" s="488">
        <f>+S12*Costos!G5</f>
        <v>0</v>
      </c>
      <c r="U12" s="513"/>
      <c r="V12" s="514"/>
      <c r="W12" s="513"/>
      <c r="X12" s="514"/>
      <c r="Y12" s="513"/>
      <c r="Z12" s="514"/>
      <c r="AA12" s="489">
        <f>+T12</f>
        <v>0</v>
      </c>
      <c r="AB12" s="517"/>
      <c r="AC12" s="678">
        <f>SUM(AB8:AB12)</f>
        <v>758.9181286549707</v>
      </c>
      <c r="AD12" s="513"/>
      <c r="AE12" s="514"/>
      <c r="AF12" s="516">
        <f>+O12/Costos!K5</f>
        <v>0</v>
      </c>
      <c r="AG12" s="488">
        <f>+AF12*Costos!H5</f>
        <v>0</v>
      </c>
      <c r="AH12" s="513"/>
      <c r="AI12" s="514"/>
      <c r="AJ12" s="513"/>
      <c r="AK12" s="514"/>
      <c r="AL12" s="513"/>
      <c r="AM12" s="514"/>
      <c r="AN12" s="489">
        <f>+AG12</f>
        <v>0</v>
      </c>
      <c r="AO12" s="517"/>
      <c r="AP12" s="490">
        <f>SUM(AO9:AO12)</f>
        <v>1043.2330827067667</v>
      </c>
      <c r="AQ12" s="624"/>
      <c r="AR12" s="514"/>
      <c r="AS12" s="487">
        <f>+P12/Costos!L5</f>
        <v>0</v>
      </c>
      <c r="AT12" s="488">
        <f>+AS12*Costos!I5</f>
        <v>0</v>
      </c>
      <c r="AU12" s="513"/>
      <c r="AV12" s="514"/>
      <c r="AW12" s="513"/>
      <c r="AX12" s="514"/>
      <c r="AY12" s="513"/>
      <c r="AZ12" s="514"/>
      <c r="BA12" s="489">
        <f>+AT12</f>
        <v>0</v>
      </c>
      <c r="BB12" s="517"/>
      <c r="BC12" s="759">
        <f>SUM(BB9:BB12)</f>
        <v>1043.2330827067667</v>
      </c>
    </row>
    <row r="13" spans="1:55" x14ac:dyDescent="0.25">
      <c r="A13" s="744"/>
      <c r="B13" s="743"/>
    </row>
    <row r="14" spans="1:55" x14ac:dyDescent="0.25">
      <c r="A14" s="744"/>
      <c r="B14" s="743"/>
    </row>
    <row r="15" spans="1:55" x14ac:dyDescent="0.25">
      <c r="A15" s="744"/>
      <c r="B15" s="743"/>
    </row>
    <row r="16" spans="1:55" x14ac:dyDescent="0.25">
      <c r="A16" s="691"/>
      <c r="B16" s="743"/>
      <c r="E16" s="747" t="s">
        <v>475</v>
      </c>
      <c r="F16" s="747"/>
      <c r="G16" s="747"/>
      <c r="H16" s="747"/>
      <c r="I16" s="747"/>
      <c r="J16" s="747"/>
      <c r="K16" s="747"/>
      <c r="L16" s="747"/>
      <c r="M16" s="747"/>
      <c r="N16" s="747"/>
      <c r="O16" s="747"/>
      <c r="P16" s="736"/>
    </row>
    <row r="17" spans="1:48" ht="26.4" x14ac:dyDescent="0.25">
      <c r="A17" s="691"/>
      <c r="B17" s="743"/>
      <c r="E17" s="727" t="s">
        <v>420</v>
      </c>
      <c r="F17" s="727" t="s">
        <v>418</v>
      </c>
      <c r="G17" s="727" t="s">
        <v>419</v>
      </c>
      <c r="H17" s="727" t="s">
        <v>465</v>
      </c>
      <c r="I17" s="727" t="s">
        <v>154</v>
      </c>
      <c r="J17" s="727" t="s">
        <v>37</v>
      </c>
      <c r="K17" s="727" t="s">
        <v>466</v>
      </c>
      <c r="L17" s="727" t="s">
        <v>467</v>
      </c>
      <c r="M17" s="727" t="s">
        <v>136</v>
      </c>
      <c r="N17" s="727" t="s">
        <v>159</v>
      </c>
      <c r="O17" s="727" t="s">
        <v>160</v>
      </c>
    </row>
    <row r="18" spans="1:48" ht="26.4" x14ac:dyDescent="0.25">
      <c r="B18" s="743"/>
      <c r="E18" s="726"/>
      <c r="F18" s="726">
        <v>53</v>
      </c>
      <c r="G18" s="710" t="s">
        <v>161</v>
      </c>
      <c r="H18" s="728">
        <v>0.1</v>
      </c>
      <c r="I18" s="712">
        <f>ROUNDUP(F18*H18,0)</f>
        <v>6</v>
      </c>
      <c r="J18" s="729">
        <f>IF(J17 = Costos!B3, Costos!G2, VLOOKUP(J17, Costos!B4:I8, 8, FALSE))</f>
        <v>46.365914786967416</v>
      </c>
      <c r="K18" s="732">
        <v>1</v>
      </c>
      <c r="L18" s="731">
        <v>4</v>
      </c>
      <c r="M18" s="742">
        <f>K18*J18*I18*L18</f>
        <v>1112.781954887218</v>
      </c>
      <c r="N18" s="730">
        <f>E2</f>
        <v>0.2</v>
      </c>
      <c r="O18" s="741">
        <f>M18/(1-N18)</f>
        <v>1390.9774436090224</v>
      </c>
      <c r="P18" s="674"/>
      <c r="AV18" s="526"/>
    </row>
    <row r="19" spans="1:48" ht="26.4" x14ac:dyDescent="0.25">
      <c r="A19" s="746"/>
      <c r="B19" s="743"/>
      <c r="E19" s="726"/>
      <c r="F19" s="726">
        <v>194</v>
      </c>
      <c r="G19" s="710" t="s">
        <v>464</v>
      </c>
      <c r="H19" s="728">
        <v>0.1</v>
      </c>
      <c r="I19" s="712">
        <f>ROUNDUP(F19*H19,0)</f>
        <v>20</v>
      </c>
      <c r="J19" s="729">
        <f>IF(J17 = Costos!B3, Costos!G2, VLOOKUP(J17, Costos!B4:I8, 7, FALSE))</f>
        <v>34.774436090225564</v>
      </c>
      <c r="K19" s="732">
        <v>1</v>
      </c>
      <c r="L19" s="731">
        <v>4</v>
      </c>
      <c r="M19" s="742">
        <f>K19*J19*I19*L19</f>
        <v>2781.9548872180449</v>
      </c>
      <c r="N19" s="730">
        <f>E2</f>
        <v>0.2</v>
      </c>
      <c r="O19" s="741">
        <f>M19/(1-N19)</f>
        <v>3477.4436090225558</v>
      </c>
    </row>
    <row r="20" spans="1:48" ht="39.6" x14ac:dyDescent="0.25">
      <c r="E20" s="700"/>
      <c r="F20" s="700"/>
      <c r="G20" s="700"/>
      <c r="H20" s="700"/>
      <c r="I20" s="734" t="s">
        <v>470</v>
      </c>
      <c r="J20" s="734"/>
      <c r="K20" s="735" t="s">
        <v>466</v>
      </c>
      <c r="L20" s="734" t="s">
        <v>471</v>
      </c>
      <c r="M20" s="734" t="s">
        <v>472</v>
      </c>
      <c r="N20" s="734" t="s">
        <v>159</v>
      </c>
      <c r="O20" s="734" t="s">
        <v>473</v>
      </c>
    </row>
    <row r="21" spans="1:48" ht="20.399999999999999" customHeight="1" x14ac:dyDescent="0.25">
      <c r="A21" s="537"/>
      <c r="B21" s="527"/>
      <c r="E21" s="710" t="s">
        <v>468</v>
      </c>
      <c r="F21" s="710"/>
      <c r="G21" s="710"/>
      <c r="H21" s="710"/>
      <c r="I21" s="711">
        <f>I18</f>
        <v>6</v>
      </c>
      <c r="J21" s="715"/>
      <c r="K21" s="731">
        <f>K18</f>
        <v>1</v>
      </c>
      <c r="L21" s="738">
        <v>15</v>
      </c>
      <c r="M21" s="737">
        <f>L21*K21*I21</f>
        <v>90</v>
      </c>
      <c r="N21" s="739">
        <v>0</v>
      </c>
      <c r="O21" s="737">
        <f>M21/(1-N21)</f>
        <v>90</v>
      </c>
      <c r="P21" s="724"/>
      <c r="Q21" s="724"/>
      <c r="R21" s="724"/>
      <c r="S21" s="724"/>
      <c r="T21" s="724"/>
      <c r="U21" s="724"/>
      <c r="V21" s="724"/>
      <c r="W21" s="724"/>
      <c r="X21" s="724"/>
      <c r="Y21" s="724"/>
      <c r="Z21" s="724"/>
      <c r="AA21" s="724"/>
      <c r="AB21" s="724"/>
    </row>
    <row r="22" spans="1:48" x14ac:dyDescent="0.25">
      <c r="A22" s="537"/>
      <c r="B22" s="527"/>
      <c r="E22" s="710" t="s">
        <v>469</v>
      </c>
      <c r="F22" s="710"/>
      <c r="G22" s="710"/>
      <c r="H22" s="710"/>
      <c r="I22" s="711">
        <f>I19</f>
        <v>20</v>
      </c>
      <c r="J22" s="711"/>
      <c r="K22" s="731">
        <f>K19</f>
        <v>1</v>
      </c>
      <c r="L22" s="738">
        <v>15</v>
      </c>
      <c r="M22" s="737">
        <f>L22*K22*I22</f>
        <v>300</v>
      </c>
      <c r="N22" s="739">
        <v>0</v>
      </c>
      <c r="O22" s="737">
        <f>M22/(1-N22)</f>
        <v>300</v>
      </c>
      <c r="P22" s="725"/>
      <c r="Q22" s="725"/>
      <c r="R22" s="725"/>
    </row>
    <row r="23" spans="1:48" x14ac:dyDescent="0.25">
      <c r="B23" s="674"/>
      <c r="J23" s="527"/>
      <c r="K23" s="527"/>
      <c r="L23" s="631"/>
      <c r="M23" s="631"/>
      <c r="N23" s="632"/>
      <c r="O23" s="633"/>
      <c r="P23" s="634"/>
    </row>
    <row r="25" spans="1:48" ht="19.5" customHeight="1" x14ac:dyDescent="0.25"/>
    <row r="26" spans="1:48" ht="13.2" hidden="1" customHeight="1" x14ac:dyDescent="0.25">
      <c r="E26" s="422" t="s">
        <v>421</v>
      </c>
    </row>
    <row r="27" spans="1:48" hidden="1" x14ac:dyDescent="0.25">
      <c r="E27" s="422" t="s">
        <v>422</v>
      </c>
    </row>
    <row r="28" spans="1:48" hidden="1" x14ac:dyDescent="0.25">
      <c r="E28" s="422" t="s">
        <v>423</v>
      </c>
    </row>
    <row r="29" spans="1:48" hidden="1" x14ac:dyDescent="0.25">
      <c r="E29" s="422" t="s">
        <v>381</v>
      </c>
    </row>
    <row r="30" spans="1:48" hidden="1" x14ac:dyDescent="0.25">
      <c r="E30" s="422" t="s">
        <v>424</v>
      </c>
    </row>
    <row r="31" spans="1:48" x14ac:dyDescent="0.25">
      <c r="E31" s="842" t="s">
        <v>413</v>
      </c>
      <c r="F31" s="843"/>
      <c r="G31" s="843"/>
      <c r="H31" s="844"/>
    </row>
    <row r="32" spans="1:48" x14ac:dyDescent="0.25">
      <c r="E32" s="635" t="s">
        <v>54</v>
      </c>
      <c r="F32" s="635" t="s">
        <v>414</v>
      </c>
      <c r="G32" s="635" t="s">
        <v>167</v>
      </c>
      <c r="H32" s="635" t="s">
        <v>168</v>
      </c>
    </row>
    <row r="33" spans="4:44" x14ac:dyDescent="0.25">
      <c r="E33" s="625" t="s">
        <v>172</v>
      </c>
      <c r="F33" s="626">
        <v>0</v>
      </c>
      <c r="G33" s="627">
        <f>Implementacion!$L$94*F33</f>
        <v>0</v>
      </c>
      <c r="H33" s="636">
        <f>Implementacion!$N$94*F33</f>
        <v>0</v>
      </c>
    </row>
    <row r="36" spans="4:44" ht="15.6" x14ac:dyDescent="0.25">
      <c r="E36" s="841" t="s">
        <v>487</v>
      </c>
      <c r="F36" s="841"/>
      <c r="G36" s="841"/>
    </row>
    <row r="37" spans="4:44" ht="33.9" customHeight="1" x14ac:dyDescent="0.25">
      <c r="E37" s="762" t="s">
        <v>54</v>
      </c>
      <c r="F37" s="762" t="s">
        <v>135</v>
      </c>
      <c r="G37" s="762" t="s">
        <v>7</v>
      </c>
      <c r="H37" s="724"/>
      <c r="AC37" s="715"/>
      <c r="AD37" s="715"/>
      <c r="AE37" s="715" t="s">
        <v>460</v>
      </c>
      <c r="AF37" s="715"/>
      <c r="AG37" s="715"/>
      <c r="AH37" s="715"/>
      <c r="AI37" s="715"/>
      <c r="AJ37" s="715"/>
      <c r="AK37" s="715"/>
      <c r="AL37" s="715"/>
      <c r="AM37" s="715"/>
      <c r="AN37" s="715"/>
      <c r="AO37" s="715"/>
      <c r="AP37" s="715"/>
      <c r="AQ37" s="715"/>
      <c r="AR37" s="715" t="s">
        <v>461</v>
      </c>
    </row>
    <row r="38" spans="4:44" x14ac:dyDescent="0.25">
      <c r="D38" s="724"/>
      <c r="E38" s="520" t="s">
        <v>488</v>
      </c>
      <c r="F38" s="706">
        <f>ROUNDUP(($AC$11+$AP$11+$BC$11+$G$33),0)</f>
        <v>2301</v>
      </c>
      <c r="G38" s="706">
        <f>ROUNDUP(($AC$12+$AP$12+$BC$12+$H$33),0)</f>
        <v>2846</v>
      </c>
      <c r="H38" s="740"/>
      <c r="AC38" s="519"/>
      <c r="AD38" s="519"/>
      <c r="AE38" s="713">
        <v>100</v>
      </c>
      <c r="AF38" s="519"/>
      <c r="AG38" s="519"/>
      <c r="AH38" s="519"/>
      <c r="AI38" s="519"/>
      <c r="AJ38" s="519"/>
      <c r="AK38" s="519"/>
      <c r="AL38" s="519"/>
      <c r="AM38" s="519"/>
      <c r="AN38" s="519"/>
      <c r="AO38" s="519"/>
      <c r="AP38" s="519"/>
      <c r="AQ38" s="519"/>
      <c r="AR38" s="714" t="e">
        <f>AE38*R22*E38</f>
        <v>#VALUE!</v>
      </c>
    </row>
    <row r="39" spans="4:44" x14ac:dyDescent="0.25">
      <c r="D39" s="724"/>
      <c r="E39" s="520" t="s">
        <v>489</v>
      </c>
      <c r="F39" s="706">
        <f>ROUNDUP(($M$18+$M$19+$M$21+$M$22),0)</f>
        <v>4285</v>
      </c>
      <c r="G39" s="706">
        <f>ROUNDUP(($O$18+$O$19+$O$21+$O$22),0)</f>
        <v>5259</v>
      </c>
      <c r="H39" s="836"/>
      <c r="L39" s="527"/>
    </row>
    <row r="40" spans="4:44" x14ac:dyDescent="0.25">
      <c r="E40" s="520"/>
      <c r="F40" s="706"/>
      <c r="G40" s="706"/>
    </row>
    <row r="41" spans="4:44" x14ac:dyDescent="0.25">
      <c r="E41" s="757" t="s">
        <v>202</v>
      </c>
      <c r="F41" s="758">
        <f>SUM(F38:F40)</f>
        <v>6586</v>
      </c>
      <c r="G41" s="758">
        <f>SUM(G38:G40)</f>
        <v>8105</v>
      </c>
    </row>
  </sheetData>
  <mergeCells count="7">
    <mergeCell ref="AQ6:BB6"/>
    <mergeCell ref="E6:P6"/>
    <mergeCell ref="F5:J5"/>
    <mergeCell ref="E36:G36"/>
    <mergeCell ref="E31:H31"/>
    <mergeCell ref="Q6:AB6"/>
    <mergeCell ref="AD6:AO6"/>
  </mergeCells>
  <dataValidations count="2">
    <dataValidation type="list" allowBlank="1" showInputMessage="1" showErrorMessage="1" sqref="J17" xr:uid="{AAA879C6-30F3-462F-8F3D-B596007D8B95}">
      <formula1>Lista</formula1>
    </dataValidation>
    <dataValidation type="list" showInputMessage="1" showErrorMessage="1" sqref="E18:E19" xr:uid="{6F144FE5-A09E-4D21-8409-377DC861FCAD}">
      <formula1>$E$26:$E$39</formula1>
    </dataValidation>
  </dataValidations>
  <hyperlinks>
    <hyperlink ref="A1" location="Implementacion!A1" display="IMPLEMENTACIÓN" xr:uid="{C5FD6742-1888-4CF5-A795-B83CF9AF360E}"/>
    <hyperlink ref="A5" location="ResumenP!A1" display="RESUMEN DEL PROYECTO" xr:uid="{0E26124D-2C90-459D-BC18-29D229C61123}"/>
    <hyperlink ref="A4" location="'Bolsa Horas'!A1" display="BOLSA DE HORAS" xr:uid="{E0710EB2-97BA-4BEA-AC7B-FB2033B85246}"/>
    <hyperlink ref="A3" location="'Mant Corr'!A1" display="MANTENIMIENTO CORRECTIVO" xr:uid="{07AA3DAE-1CF5-4389-A4D5-2A275ED994EB}"/>
    <hyperlink ref="A2" location="'Mant Prev'!A1" display="MANTENIMIENTO PREVENTIVO" xr:uid="{9E5B6421-52A8-44CC-A87F-6C6BF66F685D}"/>
  </hyperlinks>
  <pageMargins left="0.78749999999999998" right="0.78749999999999998" top="1.05277777777778" bottom="1.05277777777778" header="0.78749999999999998" footer="0.78749999999999998"/>
  <pageSetup paperSize="9" orientation="portrait" horizontalDpi="300" verticalDpi="300"/>
  <headerFooter>
    <oddHeader>&amp;C&amp;"Times New Roman,Normal"&amp;12&amp;A</oddHeader>
    <oddFooter>&amp;C&amp;"Times New Roman,Normal"&amp;12Página &amp;P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10">
    <tabColor theme="3" tint="0.79998168889431442"/>
  </sheetPr>
  <dimension ref="A1:AZ24"/>
  <sheetViews>
    <sheetView showGridLines="0" zoomScale="77" zoomScaleNormal="77" workbookViewId="0">
      <selection activeCell="C20" sqref="C20"/>
    </sheetView>
  </sheetViews>
  <sheetFormatPr baseColWidth="10" defaultColWidth="11.5546875" defaultRowHeight="13.2" x14ac:dyDescent="0.25"/>
  <cols>
    <col min="1" max="1" width="36.5546875" bestFit="1" customWidth="1"/>
    <col min="2" max="2" width="14.6640625" customWidth="1"/>
    <col min="3" max="3" width="33.33203125" customWidth="1"/>
    <col min="4" max="5" width="11.44140625" bestFit="1" customWidth="1"/>
    <col min="6" max="6" width="6.77734375" bestFit="1" customWidth="1"/>
    <col min="7" max="8" width="4.44140625" bestFit="1" customWidth="1"/>
    <col min="9" max="9" width="7.44140625" bestFit="1" customWidth="1"/>
    <col min="10" max="10" width="5" bestFit="1" customWidth="1"/>
    <col min="11" max="11" width="14.109375" customWidth="1"/>
    <col min="12" max="12" width="19.44140625" customWidth="1"/>
    <col min="13" max="13" width="17" bestFit="1" customWidth="1"/>
    <col min="14" max="14" width="6.33203125" hidden="1" customWidth="1"/>
    <col min="15" max="15" width="6.44140625" hidden="1" customWidth="1"/>
    <col min="16" max="16" width="6.33203125" hidden="1" customWidth="1"/>
    <col min="17" max="17" width="6.44140625" hidden="1" customWidth="1"/>
    <col min="18" max="18" width="6.33203125" hidden="1" customWidth="1"/>
    <col min="19" max="19" width="6.44140625" hidden="1" customWidth="1"/>
    <col min="20" max="20" width="6.33203125" hidden="1" customWidth="1"/>
    <col min="21" max="21" width="6.44140625" hidden="1" customWidth="1"/>
    <col min="22" max="22" width="6.33203125" hidden="1" customWidth="1"/>
    <col min="23" max="23" width="6.44140625" hidden="1" customWidth="1"/>
    <col min="24" max="24" width="11.21875" bestFit="1" customWidth="1"/>
    <col min="25" max="25" width="13.33203125" customWidth="1"/>
    <col min="26" max="36" width="8.88671875" hidden="1" customWidth="1"/>
    <col min="37" max="37" width="11.21875" hidden="1" customWidth="1"/>
    <col min="38" max="38" width="18.44140625" customWidth="1"/>
    <col min="39" max="39" width="6.5546875" hidden="1" customWidth="1"/>
    <col min="40" max="40" width="6.33203125" hidden="1" customWidth="1"/>
    <col min="41" max="41" width="6.44140625" hidden="1" customWidth="1"/>
    <col min="42" max="42" width="6.33203125" hidden="1" customWidth="1"/>
    <col min="43" max="43" width="6.44140625" hidden="1" customWidth="1"/>
    <col min="44" max="44" width="6.33203125" hidden="1" customWidth="1"/>
    <col min="45" max="45" width="6.44140625" hidden="1" customWidth="1"/>
    <col min="46" max="46" width="6.33203125" hidden="1" customWidth="1"/>
    <col min="47" max="47" width="6.44140625" hidden="1" customWidth="1"/>
    <col min="48" max="48" width="6.33203125" hidden="1" customWidth="1"/>
    <col min="49" max="49" width="6.44140625" hidden="1" customWidth="1"/>
    <col min="50" max="50" width="11.21875" hidden="1" customWidth="1"/>
    <col min="51" max="51" width="15.44140625" customWidth="1"/>
    <col min="52" max="52" width="6.33203125" hidden="1" customWidth="1"/>
  </cols>
  <sheetData>
    <row r="1" spans="1:52" ht="16.5" customHeight="1" x14ac:dyDescent="0.3">
      <c r="A1" s="638" t="s">
        <v>427</v>
      </c>
    </row>
    <row r="2" spans="1:52" ht="16.5" customHeight="1" x14ac:dyDescent="0.3">
      <c r="A2" s="639" t="s">
        <v>429</v>
      </c>
      <c r="D2" s="637" t="s">
        <v>24</v>
      </c>
      <c r="E2" s="680">
        <f>Costos!J2</f>
        <v>0.2</v>
      </c>
      <c r="G2" s="422"/>
      <c r="H2" s="422"/>
      <c r="I2" s="422"/>
      <c r="J2" s="422"/>
      <c r="K2" s="422"/>
      <c r="L2" s="422"/>
      <c r="M2" s="422"/>
      <c r="N2" s="422"/>
      <c r="O2" s="422"/>
      <c r="P2" s="422"/>
      <c r="Q2" s="422"/>
      <c r="R2" s="422"/>
      <c r="S2" s="422"/>
      <c r="T2" s="422"/>
      <c r="U2" s="422"/>
      <c r="V2" s="422"/>
      <c r="W2" s="422"/>
      <c r="X2" s="422"/>
      <c r="Y2" s="422"/>
      <c r="Z2" s="422"/>
      <c r="AA2" s="422"/>
      <c r="AB2" s="422"/>
      <c r="AC2" s="422"/>
      <c r="AD2" s="422"/>
      <c r="AE2" s="422"/>
      <c r="AF2" s="422"/>
      <c r="AG2" s="422"/>
      <c r="AH2" s="422"/>
      <c r="AI2" s="422"/>
      <c r="AJ2" s="422"/>
      <c r="AK2" s="422"/>
      <c r="AL2" s="422"/>
      <c r="AM2" s="422"/>
      <c r="AN2" s="422"/>
      <c r="AO2" s="422"/>
      <c r="AP2" s="422"/>
      <c r="AQ2" s="422"/>
      <c r="AR2" s="422"/>
      <c r="AS2" s="422"/>
      <c r="AT2" s="422"/>
      <c r="AU2" s="422"/>
      <c r="AV2" s="422"/>
      <c r="AW2" s="422"/>
      <c r="AX2" s="422"/>
      <c r="AY2" s="422"/>
    </row>
    <row r="3" spans="1:52" ht="16.5" customHeight="1" x14ac:dyDescent="0.3">
      <c r="A3" s="639"/>
      <c r="D3" s="422"/>
      <c r="E3" s="751"/>
      <c r="G3" s="422"/>
      <c r="H3" s="422"/>
      <c r="I3" s="422"/>
      <c r="J3" s="422"/>
      <c r="K3" s="422"/>
      <c r="L3" s="422"/>
      <c r="M3" s="422"/>
      <c r="N3" s="422"/>
      <c r="O3" s="422"/>
      <c r="P3" s="422"/>
      <c r="Q3" s="422"/>
      <c r="R3" s="422"/>
      <c r="S3" s="422"/>
      <c r="T3" s="422"/>
      <c r="U3" s="422"/>
      <c r="V3" s="422"/>
      <c r="W3" s="422"/>
      <c r="X3" s="422"/>
      <c r="Y3" s="422"/>
      <c r="Z3" s="422"/>
      <c r="AA3" s="422"/>
      <c r="AB3" s="422"/>
      <c r="AC3" s="422"/>
      <c r="AD3" s="422"/>
      <c r="AE3" s="422"/>
      <c r="AF3" s="422"/>
      <c r="AG3" s="422"/>
      <c r="AH3" s="422"/>
      <c r="AI3" s="422"/>
      <c r="AJ3" s="422"/>
      <c r="AK3" s="422"/>
      <c r="AL3" s="422"/>
      <c r="AM3" s="422"/>
      <c r="AN3" s="422"/>
      <c r="AO3" s="422"/>
      <c r="AP3" s="422"/>
      <c r="AQ3" s="422"/>
      <c r="AR3" s="422"/>
      <c r="AS3" s="422"/>
      <c r="AT3" s="422"/>
      <c r="AU3" s="422"/>
      <c r="AV3" s="422"/>
      <c r="AW3" s="422"/>
      <c r="AX3" s="422"/>
      <c r="AY3" s="422"/>
    </row>
    <row r="4" spans="1:52" ht="16.5" customHeight="1" x14ac:dyDescent="0.3">
      <c r="A4" s="639"/>
      <c r="D4" s="422"/>
      <c r="E4" s="751"/>
      <c r="G4" s="422"/>
      <c r="H4" s="422"/>
      <c r="I4" s="422"/>
      <c r="J4" s="422"/>
      <c r="K4" s="422"/>
      <c r="L4" s="422"/>
      <c r="M4" s="422"/>
      <c r="N4" s="422"/>
      <c r="O4" s="422"/>
      <c r="P4" s="422"/>
      <c r="Q4" s="422"/>
      <c r="R4" s="422"/>
      <c r="S4" s="422"/>
      <c r="T4" s="422"/>
      <c r="U4" s="422"/>
      <c r="V4" s="422"/>
      <c r="W4" s="422"/>
      <c r="X4" s="422"/>
      <c r="Y4" s="422"/>
      <c r="Z4" s="422"/>
      <c r="AA4" s="422"/>
      <c r="AB4" s="422"/>
      <c r="AC4" s="422"/>
      <c r="AD4" s="422"/>
      <c r="AE4" s="422"/>
      <c r="AF4" s="422"/>
      <c r="AG4" s="422"/>
      <c r="AH4" s="422"/>
      <c r="AI4" s="422"/>
      <c r="AJ4" s="422"/>
      <c r="AK4" s="422"/>
      <c r="AL4" s="422"/>
      <c r="AM4" s="422"/>
      <c r="AN4" s="422"/>
      <c r="AO4" s="422"/>
      <c r="AP4" s="422"/>
      <c r="AQ4" s="422"/>
      <c r="AR4" s="422"/>
      <c r="AS4" s="422"/>
      <c r="AT4" s="422"/>
      <c r="AU4" s="422"/>
      <c r="AV4" s="422"/>
      <c r="AW4" s="422"/>
      <c r="AX4" s="422"/>
      <c r="AY4" s="422"/>
    </row>
    <row r="5" spans="1:52" ht="16.5" customHeight="1" x14ac:dyDescent="0.3">
      <c r="A5" s="640" t="s">
        <v>428</v>
      </c>
      <c r="C5" s="750" t="s">
        <v>478</v>
      </c>
      <c r="D5" s="840" t="str">
        <f>Implementacion!E4</f>
        <v>UDLA</v>
      </c>
      <c r="E5" s="840"/>
      <c r="F5" s="840"/>
      <c r="G5" s="840"/>
      <c r="H5" s="840"/>
      <c r="I5" s="840"/>
      <c r="J5" s="840"/>
      <c r="K5" s="840"/>
      <c r="L5" s="422"/>
      <c r="M5" s="422"/>
      <c r="N5" s="422"/>
      <c r="O5" s="422"/>
      <c r="P5" s="422"/>
      <c r="Q5" s="422"/>
      <c r="R5" s="422"/>
      <c r="S5" s="422"/>
      <c r="T5" s="422"/>
      <c r="U5" s="422"/>
      <c r="V5" s="422"/>
      <c r="W5" s="422"/>
      <c r="X5" s="422"/>
      <c r="Y5" s="422"/>
      <c r="Z5" s="422"/>
      <c r="AA5" s="422"/>
      <c r="AB5" s="422"/>
      <c r="AC5" s="422"/>
      <c r="AD5" s="422"/>
      <c r="AE5" s="422"/>
      <c r="AF5" s="422"/>
      <c r="AG5" s="422"/>
      <c r="AH5" s="422"/>
      <c r="AI5" s="422"/>
      <c r="AJ5" s="422"/>
      <c r="AK5" s="422"/>
      <c r="AL5" s="422"/>
      <c r="AM5" s="422"/>
      <c r="AN5" s="422"/>
      <c r="AO5" s="422"/>
      <c r="AP5" s="422"/>
      <c r="AQ5" s="422"/>
      <c r="AR5" s="422"/>
      <c r="AS5" s="422"/>
      <c r="AT5" s="422"/>
      <c r="AU5" s="422"/>
      <c r="AV5" s="422"/>
      <c r="AW5" s="422"/>
      <c r="AX5" s="422"/>
      <c r="AY5" s="422"/>
    </row>
    <row r="6" spans="1:52" ht="40.5" customHeight="1" x14ac:dyDescent="0.3">
      <c r="A6" s="641" t="s">
        <v>430</v>
      </c>
      <c r="C6" s="195"/>
      <c r="D6" s="196"/>
      <c r="E6" s="196"/>
      <c r="F6" s="196"/>
      <c r="G6" s="196"/>
      <c r="H6" s="196"/>
      <c r="I6" s="196"/>
      <c r="J6" s="196"/>
      <c r="K6" s="196"/>
      <c r="L6" s="196"/>
      <c r="M6" s="196"/>
      <c r="N6" s="861" t="s">
        <v>130</v>
      </c>
      <c r="O6" s="861"/>
      <c r="P6" s="861"/>
      <c r="Q6" s="861"/>
      <c r="R6" s="861"/>
      <c r="S6" s="861"/>
      <c r="T6" s="861"/>
      <c r="U6" s="861"/>
      <c r="V6" s="861"/>
      <c r="W6" s="861"/>
      <c r="X6" s="861"/>
      <c r="Y6" s="861"/>
      <c r="Z6" s="448"/>
      <c r="AA6" s="861" t="s">
        <v>131</v>
      </c>
      <c r="AB6" s="861"/>
      <c r="AC6" s="861"/>
      <c r="AD6" s="861"/>
      <c r="AE6" s="861"/>
      <c r="AF6" s="861"/>
      <c r="AG6" s="861"/>
      <c r="AH6" s="861"/>
      <c r="AI6" s="861"/>
      <c r="AJ6" s="861"/>
      <c r="AK6" s="861"/>
      <c r="AL6" s="861"/>
      <c r="AM6" s="448"/>
      <c r="AN6" s="861" t="s">
        <v>132</v>
      </c>
      <c r="AO6" s="861"/>
      <c r="AP6" s="861"/>
      <c r="AQ6" s="861"/>
      <c r="AR6" s="861"/>
      <c r="AS6" s="861"/>
      <c r="AT6" s="861"/>
      <c r="AU6" s="861"/>
      <c r="AV6" s="861"/>
      <c r="AW6" s="861"/>
      <c r="AX6" s="861"/>
      <c r="AY6" s="861"/>
    </row>
    <row r="7" spans="1:52" s="356" customFormat="1" ht="30" customHeight="1" thickBot="1" x14ac:dyDescent="0.35">
      <c r="A7" s="642" t="s">
        <v>431</v>
      </c>
      <c r="C7" s="78" t="s">
        <v>54</v>
      </c>
      <c r="D7" s="78" t="s">
        <v>55</v>
      </c>
      <c r="E7" s="78" t="s">
        <v>56</v>
      </c>
      <c r="F7" s="78" t="s">
        <v>57</v>
      </c>
      <c r="G7" s="78" t="s">
        <v>58</v>
      </c>
      <c r="H7" s="78" t="s">
        <v>59</v>
      </c>
      <c r="I7" s="78"/>
      <c r="J7" s="78" t="s">
        <v>60</v>
      </c>
      <c r="K7" s="78" t="s">
        <v>61</v>
      </c>
      <c r="L7" s="78" t="s">
        <v>133</v>
      </c>
      <c r="M7" s="78" t="s">
        <v>134</v>
      </c>
      <c r="N7" s="78"/>
      <c r="O7" s="198" t="s">
        <v>135</v>
      </c>
      <c r="P7" s="78"/>
      <c r="Q7" s="198" t="s">
        <v>135</v>
      </c>
      <c r="R7" s="78"/>
      <c r="S7" s="198" t="s">
        <v>135</v>
      </c>
      <c r="T7" s="78"/>
      <c r="U7" s="198" t="s">
        <v>135</v>
      </c>
      <c r="V7" s="78"/>
      <c r="W7" s="198" t="s">
        <v>135</v>
      </c>
      <c r="X7" s="198" t="s">
        <v>136</v>
      </c>
      <c r="Y7" s="78" t="s">
        <v>18</v>
      </c>
      <c r="Z7" s="448"/>
      <c r="AA7" s="78"/>
      <c r="AB7" s="198" t="s">
        <v>135</v>
      </c>
      <c r="AC7" s="78"/>
      <c r="AD7" s="198" t="s">
        <v>135</v>
      </c>
      <c r="AE7" s="78"/>
      <c r="AF7" s="198" t="s">
        <v>135</v>
      </c>
      <c r="AG7" s="78"/>
      <c r="AH7" s="198" t="s">
        <v>135</v>
      </c>
      <c r="AI7" s="78"/>
      <c r="AJ7" s="198" t="s">
        <v>135</v>
      </c>
      <c r="AK7" s="198" t="s">
        <v>136</v>
      </c>
      <c r="AL7" s="78" t="s">
        <v>18</v>
      </c>
      <c r="AM7" s="448"/>
      <c r="AN7" s="78"/>
      <c r="AO7" s="198" t="s">
        <v>135</v>
      </c>
      <c r="AP7" s="78"/>
      <c r="AQ7" s="198" t="s">
        <v>135</v>
      </c>
      <c r="AR7" s="78"/>
      <c r="AS7" s="198" t="s">
        <v>135</v>
      </c>
      <c r="AT7" s="78"/>
      <c r="AU7" s="198" t="s">
        <v>135</v>
      </c>
      <c r="AV7" s="78"/>
      <c r="AW7" s="198" t="s">
        <v>135</v>
      </c>
      <c r="AX7" s="198" t="s">
        <v>136</v>
      </c>
      <c r="AY7" s="78" t="s">
        <v>18</v>
      </c>
    </row>
    <row r="8" spans="1:52" ht="13.8" thickBot="1" x14ac:dyDescent="0.3">
      <c r="C8" s="84" t="s">
        <v>64</v>
      </c>
      <c r="D8" s="85"/>
      <c r="E8" s="85"/>
      <c r="F8" s="85"/>
      <c r="G8" s="85"/>
      <c r="H8" s="85"/>
      <c r="I8" s="85"/>
      <c r="J8" s="85"/>
      <c r="K8" s="87"/>
      <c r="L8" s="87"/>
      <c r="M8" s="87"/>
      <c r="N8" s="90">
        <f>SUM($K$9,K10/Costos!G5)</f>
        <v>0</v>
      </c>
      <c r="O8" s="208">
        <f>SUM(K9)</f>
        <v>0</v>
      </c>
      <c r="P8" s="90">
        <f>SUM($L$9:$M$9,L10/Costos!H5,'Bolsa Horas'!M10/Costos!I5)</f>
        <v>0</v>
      </c>
      <c r="Q8" s="208">
        <f>SUM(L9:M9)</f>
        <v>0</v>
      </c>
      <c r="R8" s="90">
        <f>$N$8/7</f>
        <v>0</v>
      </c>
      <c r="S8" s="208">
        <f>$N$8/7</f>
        <v>0</v>
      </c>
      <c r="T8" s="90">
        <f>$P$8/6</f>
        <v>0</v>
      </c>
      <c r="U8" s="208">
        <f>$P$8/6</f>
        <v>0</v>
      </c>
      <c r="V8" s="88"/>
      <c r="W8" s="273"/>
      <c r="X8" s="210">
        <f>($S$8*15)+($U$8*25)</f>
        <v>0</v>
      </c>
      <c r="Y8" s="211">
        <f>X8/(1-E2)</f>
        <v>0</v>
      </c>
      <c r="Z8" s="643"/>
      <c r="AA8" s="212"/>
      <c r="AB8" s="212"/>
      <c r="AC8" s="212"/>
      <c r="AD8" s="212"/>
      <c r="AE8" s="212"/>
      <c r="AF8" s="212"/>
      <c r="AG8" s="212"/>
      <c r="AH8" s="212"/>
      <c r="AI8" s="213"/>
      <c r="AJ8" s="213"/>
      <c r="AK8" s="214"/>
      <c r="AL8" s="416"/>
      <c r="AM8" s="416"/>
      <c r="AN8" s="416"/>
      <c r="AO8" s="416"/>
      <c r="AP8" s="416"/>
      <c r="AQ8" s="416"/>
      <c r="AR8" s="416"/>
      <c r="AS8" s="416"/>
      <c r="AT8" s="416"/>
      <c r="AU8" s="416"/>
      <c r="AV8" s="416"/>
      <c r="AW8" s="416"/>
      <c r="AX8" s="416"/>
      <c r="AY8" s="416"/>
    </row>
    <row r="9" spans="1:52" ht="13.8" thickBot="1" x14ac:dyDescent="0.3">
      <c r="C9" s="644" t="s">
        <v>150</v>
      </c>
      <c r="D9" s="85"/>
      <c r="E9" s="107"/>
      <c r="F9" s="67" t="s">
        <v>67</v>
      </c>
      <c r="G9" s="85"/>
      <c r="H9" s="85"/>
      <c r="I9" s="86"/>
      <c r="J9" s="85"/>
      <c r="K9" s="87">
        <f>+I9*30%</f>
        <v>0</v>
      </c>
      <c r="L9" s="87">
        <f>+I9*30%</f>
        <v>0</v>
      </c>
      <c r="M9" s="87">
        <f>+I9*40%</f>
        <v>0</v>
      </c>
      <c r="N9" s="227">
        <f>($K9*Costos!$J$4)</f>
        <v>0</v>
      </c>
      <c r="O9" s="228">
        <f>($K9*Costos!$G$4)</f>
        <v>0</v>
      </c>
      <c r="P9" s="227">
        <f>($K9*Costos!$J$5)</f>
        <v>0</v>
      </c>
      <c r="Q9" s="228">
        <f>($K9*Costos!$G$5)</f>
        <v>0</v>
      </c>
      <c r="R9" s="227">
        <f>($K9*Costos!$J$6)</f>
        <v>0</v>
      </c>
      <c r="S9" s="228">
        <f>($K9*Costos!$G$6)</f>
        <v>0</v>
      </c>
      <c r="T9" s="227">
        <f>($K9*Costos!$J$7)</f>
        <v>0</v>
      </c>
      <c r="U9" s="228">
        <f>($K9*Costos!$G$7)</f>
        <v>0</v>
      </c>
      <c r="V9" s="227">
        <f>($K9*Costos!$J$8)</f>
        <v>0</v>
      </c>
      <c r="W9" s="228">
        <f>($K9*Costos!$G$8)</f>
        <v>0</v>
      </c>
      <c r="X9" s="229">
        <f>IF($D9="x",O9,0)+IF($E9="x",Q9,0)+IF($F9="x",S9,0)+IF($G9="x",U9,0)+IF($H9="x",W9,0)</f>
        <v>0</v>
      </c>
      <c r="Y9" s="211">
        <f>IF($D9="x",N9,0)+IF($E9="x",P9,0)+IF($F9="x",R9,0)+IF($G9="x",T9,0)+IF($H9="x",V9,0)</f>
        <v>0</v>
      </c>
      <c r="Z9" s="679">
        <f>SUM(X8:X10)</f>
        <v>0</v>
      </c>
      <c r="AA9" s="227">
        <f>($L9*Costos!$K$4)</f>
        <v>0</v>
      </c>
      <c r="AB9" s="228">
        <f>($L9*Costos!$H$4)</f>
        <v>0</v>
      </c>
      <c r="AC9" s="227">
        <f>($L9*Costos!$K$5)</f>
        <v>0</v>
      </c>
      <c r="AD9" s="228">
        <f>($L9*Costos!$H$5)</f>
        <v>0</v>
      </c>
      <c r="AE9" s="227">
        <f>($L9*Costos!$K$6)</f>
        <v>0</v>
      </c>
      <c r="AF9" s="228">
        <f>($L9*Costos!$H$6)</f>
        <v>0</v>
      </c>
      <c r="AG9" s="227">
        <f>($L9*Costos!$K$7)</f>
        <v>0</v>
      </c>
      <c r="AH9" s="228">
        <f>($L9*Costos!$H$7)</f>
        <v>0</v>
      </c>
      <c r="AI9" s="227">
        <f>($L9*Costos!$K$8)</f>
        <v>0</v>
      </c>
      <c r="AJ9" s="228">
        <f>($L9*Costos!$H$8)</f>
        <v>0</v>
      </c>
      <c r="AK9" s="229">
        <f>IF($D9="x",AB9,0)+IF($E9="x",AD9,0)+IF($F9="x",AF9,0)+IF($G9="x",AH9,0)+IF($H9="x",AJ9,0)</f>
        <v>0</v>
      </c>
      <c r="AL9" s="211">
        <f>IF($D9="x",AA9,0)+IF($E9="x",AC9,0)+IF($F9="x",AE9,0)+IF($G9="x",AG9,0)+IF($H9="x",AI9,0)</f>
        <v>0</v>
      </c>
      <c r="AM9" s="679">
        <f>SUM(AK9:AK10)</f>
        <v>0</v>
      </c>
      <c r="AN9" s="230">
        <f>($M9*Costos!$L$4)</f>
        <v>0</v>
      </c>
      <c r="AO9" s="228">
        <f>($M9*Costos!$I$4)</f>
        <v>0</v>
      </c>
      <c r="AP9" s="227">
        <f>($M9*Costos!$L$5)</f>
        <v>0</v>
      </c>
      <c r="AQ9" s="228">
        <f>($M9*Costos!$I$5)</f>
        <v>0</v>
      </c>
      <c r="AR9" s="227">
        <f>($M9*Costos!$L$6)</f>
        <v>0</v>
      </c>
      <c r="AS9" s="228">
        <f>($M9*Costos!$I$6)</f>
        <v>0</v>
      </c>
      <c r="AT9" s="227">
        <f>($M9*Costos!$L$7)</f>
        <v>0</v>
      </c>
      <c r="AU9" s="228">
        <f>($M9*Costos!$I$7)</f>
        <v>0</v>
      </c>
      <c r="AV9" s="227">
        <f>($M9*Costos!$L$8)</f>
        <v>0</v>
      </c>
      <c r="AW9" s="228">
        <f>($M9*Costos!$I$8)</f>
        <v>0</v>
      </c>
      <c r="AX9" s="229">
        <f>IF($D9="x",AO9,0)+IF($E9="x",AQ9,0)+IF($F9="x",AS9,0)+IF($G9="x",AU9,0)+IF($H9="x",AW9,0)</f>
        <v>0</v>
      </c>
      <c r="AY9" s="211">
        <f>IF($D9="x",AN9,0)+IF($E9="x",AP9,0)+IF($F9="x",AR9,0)+IF($G9="x",AT9,0)+IF($H9="x",AV9,0)</f>
        <v>0</v>
      </c>
      <c r="AZ9" s="216">
        <f>SUM(AX9:AX10)</f>
        <v>0</v>
      </c>
    </row>
    <row r="10" spans="1:52" x14ac:dyDescent="0.25">
      <c r="C10" s="136" t="s">
        <v>457</v>
      </c>
      <c r="D10" s="107"/>
      <c r="E10" s="107"/>
      <c r="F10" s="107"/>
      <c r="G10" s="107"/>
      <c r="H10" s="107"/>
      <c r="I10" s="106"/>
      <c r="J10" s="107"/>
      <c r="K10" s="87">
        <f>+I10*30%</f>
        <v>0</v>
      </c>
      <c r="L10" s="87">
        <f>+I10*30%</f>
        <v>0</v>
      </c>
      <c r="M10" s="87">
        <f>+I10*40%</f>
        <v>0</v>
      </c>
      <c r="N10" s="109"/>
      <c r="O10" s="645"/>
      <c r="P10" s="297">
        <f>+K10/Costos!J5</f>
        <v>0</v>
      </c>
      <c r="Q10" s="228">
        <f>+P10*Costos!G5</f>
        <v>0</v>
      </c>
      <c r="R10" s="109"/>
      <c r="S10" s="645"/>
      <c r="T10" s="109"/>
      <c r="U10" s="645"/>
      <c r="V10" s="109"/>
      <c r="W10" s="228"/>
      <c r="X10" s="229">
        <f>+Q10</f>
        <v>0</v>
      </c>
      <c r="Y10" s="110"/>
      <c r="Z10" s="679">
        <f>SUM(Y8:Y10)</f>
        <v>0</v>
      </c>
      <c r="AA10" s="109"/>
      <c r="AB10" s="645"/>
      <c r="AC10" s="646">
        <f>+L10/Costos!K5</f>
        <v>0</v>
      </c>
      <c r="AD10" s="228">
        <f>+AC10*Costos!H5</f>
        <v>0</v>
      </c>
      <c r="AE10" s="109"/>
      <c r="AF10" s="645"/>
      <c r="AG10" s="109"/>
      <c r="AH10" s="645"/>
      <c r="AI10" s="109"/>
      <c r="AJ10" s="645"/>
      <c r="AK10" s="229">
        <f>+AD10</f>
        <v>0</v>
      </c>
      <c r="AL10" s="110"/>
      <c r="AM10" s="490">
        <f>SUM(AL9:AL10)</f>
        <v>0</v>
      </c>
      <c r="AN10" s="647"/>
      <c r="AO10" s="645"/>
      <c r="AP10" s="227">
        <f>+M10/Costos!L5</f>
        <v>0</v>
      </c>
      <c r="AQ10" s="228">
        <f>+AP10*Costos!I5</f>
        <v>0</v>
      </c>
      <c r="AR10" s="109"/>
      <c r="AS10" s="645"/>
      <c r="AT10" s="109"/>
      <c r="AU10" s="645"/>
      <c r="AV10" s="109"/>
      <c r="AW10" s="645"/>
      <c r="AX10" s="229">
        <f>+AQ10</f>
        <v>0</v>
      </c>
      <c r="AY10" s="110"/>
      <c r="AZ10" s="216">
        <f>SUM(AY9:AY10)</f>
        <v>0</v>
      </c>
    </row>
    <row r="11" spans="1:52" x14ac:dyDescent="0.25">
      <c r="C11" s="422"/>
      <c r="D11" s="422"/>
      <c r="E11" s="422"/>
      <c r="F11" s="422"/>
      <c r="G11" s="422"/>
      <c r="H11" s="422"/>
      <c r="I11" s="422"/>
      <c r="J11" s="422"/>
      <c r="K11" s="422"/>
      <c r="L11" s="422"/>
      <c r="M11" s="422"/>
      <c r="N11" s="422"/>
      <c r="O11" s="422"/>
      <c r="P11" s="422"/>
      <c r="Q11" s="422"/>
      <c r="R11" s="422"/>
      <c r="S11" s="422"/>
      <c r="T11" s="422"/>
      <c r="U11" s="422"/>
      <c r="V11" s="422"/>
      <c r="W11" s="422"/>
      <c r="X11" s="422"/>
      <c r="Y11" s="422"/>
      <c r="Z11" s="422"/>
      <c r="AA11" s="422"/>
      <c r="AB11" s="422"/>
      <c r="AC11" s="422"/>
      <c r="AD11" s="422"/>
      <c r="AE11" s="422"/>
      <c r="AF11" s="422"/>
      <c r="AG11" s="422"/>
      <c r="AH11" s="422"/>
      <c r="AI11" s="422"/>
      <c r="AJ11" s="422"/>
      <c r="AK11" s="422"/>
      <c r="AL11" s="422"/>
      <c r="AM11" s="422"/>
      <c r="AN11" s="422"/>
      <c r="AO11" s="422"/>
      <c r="AP11" s="422"/>
      <c r="AQ11" s="422"/>
      <c r="AR11" s="422"/>
      <c r="AS11" s="422"/>
      <c r="AT11" s="422"/>
      <c r="AU11" s="422"/>
      <c r="AV11" s="422"/>
      <c r="AW11" s="422"/>
      <c r="AX11" s="422"/>
      <c r="AY11" s="422"/>
    </row>
    <row r="12" spans="1:52" ht="26.4" x14ac:dyDescent="0.25">
      <c r="C12" s="422"/>
      <c r="D12" s="422"/>
      <c r="E12" s="422"/>
      <c r="F12" s="422"/>
      <c r="G12" s="422"/>
      <c r="H12" s="422"/>
      <c r="I12" s="422"/>
      <c r="J12" s="422"/>
      <c r="K12" s="422"/>
      <c r="L12" s="519"/>
      <c r="M12" s="715" t="s">
        <v>459</v>
      </c>
      <c r="N12" s="715"/>
      <c r="O12" s="715"/>
      <c r="P12" s="715"/>
      <c r="Q12" s="715"/>
      <c r="R12" s="715"/>
      <c r="S12" s="715"/>
      <c r="T12" s="715"/>
      <c r="U12" s="715"/>
      <c r="V12" s="715"/>
      <c r="W12" s="715"/>
      <c r="X12" s="715" t="s">
        <v>425</v>
      </c>
      <c r="Y12" s="715" t="s">
        <v>520</v>
      </c>
      <c r="Z12" s="715"/>
      <c r="AA12" s="715"/>
      <c r="AB12" s="715"/>
      <c r="AC12" s="715"/>
      <c r="AD12" s="715"/>
      <c r="AE12" s="715"/>
      <c r="AF12" s="715"/>
      <c r="AG12" s="715"/>
      <c r="AH12" s="715"/>
      <c r="AI12" s="715"/>
      <c r="AJ12" s="715"/>
      <c r="AK12" s="715"/>
      <c r="AL12" s="715" t="s">
        <v>460</v>
      </c>
      <c r="AM12" s="715"/>
      <c r="AN12" s="715"/>
      <c r="AO12" s="715"/>
      <c r="AP12" s="715"/>
      <c r="AQ12" s="715"/>
      <c r="AR12" s="715"/>
      <c r="AS12" s="715"/>
      <c r="AT12" s="715"/>
      <c r="AU12" s="715"/>
      <c r="AV12" s="715"/>
      <c r="AW12" s="715"/>
      <c r="AX12" s="715"/>
      <c r="AY12" s="715" t="s">
        <v>461</v>
      </c>
    </row>
    <row r="13" spans="1:52" ht="26.4" x14ac:dyDescent="0.25">
      <c r="C13" s="422"/>
      <c r="D13" s="422"/>
      <c r="E13" s="422"/>
      <c r="F13" s="422"/>
      <c r="G13" s="422"/>
      <c r="H13" s="422"/>
      <c r="I13" s="422"/>
      <c r="J13" s="422"/>
      <c r="K13" s="422"/>
      <c r="L13" s="715" t="s">
        <v>458</v>
      </c>
      <c r="M13" s="711">
        <v>0</v>
      </c>
      <c r="N13" s="712"/>
      <c r="O13" s="712"/>
      <c r="P13" s="712"/>
      <c r="Q13" s="712"/>
      <c r="R13" s="712"/>
      <c r="S13" s="712"/>
      <c r="T13" s="712"/>
      <c r="U13" s="712"/>
      <c r="V13" s="712"/>
      <c r="W13" s="712"/>
      <c r="X13" s="712"/>
      <c r="Y13" s="712">
        <v>0</v>
      </c>
      <c r="Z13" s="519"/>
      <c r="AA13" s="519"/>
      <c r="AB13" s="519"/>
      <c r="AC13" s="519"/>
      <c r="AD13" s="519"/>
      <c r="AE13" s="519"/>
      <c r="AF13" s="519"/>
      <c r="AG13" s="519"/>
      <c r="AH13" s="519"/>
      <c r="AI13" s="519"/>
      <c r="AJ13" s="519"/>
      <c r="AK13" s="519"/>
      <c r="AL13" s="713">
        <v>0</v>
      </c>
      <c r="AM13" s="519"/>
      <c r="AN13" s="519"/>
      <c r="AO13" s="519"/>
      <c r="AP13" s="519"/>
      <c r="AQ13" s="519"/>
      <c r="AR13" s="519"/>
      <c r="AS13" s="519"/>
      <c r="AT13" s="519"/>
      <c r="AU13" s="519"/>
      <c r="AV13" s="519"/>
      <c r="AW13" s="519"/>
      <c r="AX13" s="519"/>
      <c r="AY13" s="714">
        <f>AL13*Y13*M13</f>
        <v>0</v>
      </c>
    </row>
    <row r="14" spans="1:52" x14ac:dyDescent="0.25">
      <c r="C14" s="422"/>
      <c r="D14" s="422"/>
      <c r="E14" s="422"/>
      <c r="F14" s="422"/>
      <c r="G14" s="422"/>
      <c r="H14" s="422"/>
      <c r="I14" s="422"/>
      <c r="J14" s="422"/>
      <c r="K14" s="422"/>
      <c r="L14" s="422" t="s">
        <v>519</v>
      </c>
      <c r="M14" s="692">
        <f>Costos!G11</f>
        <v>17.34375</v>
      </c>
      <c r="N14" s="422"/>
      <c r="O14" s="422"/>
      <c r="P14" s="422"/>
      <c r="Q14" s="422"/>
      <c r="R14" s="422"/>
      <c r="S14" s="422"/>
      <c r="T14" s="422"/>
      <c r="U14" s="422"/>
      <c r="V14" s="422"/>
      <c r="W14" s="422"/>
      <c r="X14" s="422">
        <v>2</v>
      </c>
      <c r="Y14" s="422">
        <v>12</v>
      </c>
      <c r="Z14" s="422"/>
      <c r="AA14" s="422"/>
      <c r="AB14" s="422"/>
      <c r="AC14" s="422"/>
      <c r="AD14" s="422"/>
      <c r="AE14" s="422"/>
      <c r="AF14" s="422"/>
      <c r="AG14" s="422"/>
      <c r="AH14" s="422"/>
      <c r="AI14" s="422"/>
      <c r="AJ14" s="422"/>
      <c r="AK14" s="422"/>
      <c r="AL14" s="836">
        <f>M14*X14*Y14</f>
        <v>416.25</v>
      </c>
      <c r="AM14" s="422"/>
      <c r="AN14" s="422"/>
      <c r="AO14" s="422"/>
      <c r="AP14" s="422"/>
      <c r="AQ14" s="422"/>
      <c r="AR14" s="422"/>
      <c r="AS14" s="422"/>
      <c r="AT14" s="422"/>
      <c r="AU14" s="422"/>
      <c r="AV14" s="422"/>
      <c r="AW14" s="422"/>
      <c r="AX14" s="422"/>
      <c r="AY14" s="836">
        <f>AL14/(1-E2)</f>
        <v>520.3125</v>
      </c>
    </row>
    <row r="15" spans="1:52" x14ac:dyDescent="0.25">
      <c r="C15" s="648" t="s">
        <v>14</v>
      </c>
      <c r="D15" s="648" t="s">
        <v>135</v>
      </c>
      <c r="E15" s="648" t="s">
        <v>7</v>
      </c>
      <c r="F15" s="422"/>
      <c r="G15" s="422"/>
      <c r="H15" s="422"/>
      <c r="I15" s="422"/>
      <c r="J15" s="422"/>
      <c r="K15" s="422"/>
      <c r="L15" s="422"/>
      <c r="M15" s="422"/>
      <c r="N15" s="422"/>
      <c r="O15" s="422"/>
      <c r="P15" s="422"/>
      <c r="Q15" s="422"/>
      <c r="R15" s="422"/>
      <c r="S15" s="422"/>
      <c r="T15" s="422"/>
      <c r="U15" s="422"/>
      <c r="V15" s="422"/>
      <c r="W15" s="422"/>
      <c r="X15" s="422"/>
      <c r="Y15" s="422"/>
      <c r="Z15" s="422"/>
      <c r="AA15" s="422"/>
      <c r="AB15" s="422"/>
      <c r="AC15" s="422"/>
      <c r="AD15" s="422"/>
      <c r="AE15" s="422"/>
      <c r="AF15" s="422"/>
      <c r="AG15" s="422"/>
      <c r="AH15" s="422"/>
      <c r="AI15" s="422"/>
      <c r="AJ15" s="422"/>
      <c r="AK15" s="422"/>
      <c r="AL15" s="422"/>
      <c r="AM15" s="422"/>
      <c r="AN15" s="422"/>
      <c r="AO15" s="422"/>
      <c r="AP15" s="422"/>
      <c r="AQ15" s="422"/>
      <c r="AR15" s="422"/>
      <c r="AS15" s="422"/>
      <c r="AT15" s="422"/>
      <c r="AU15" s="422"/>
      <c r="AV15" s="422"/>
      <c r="AW15" s="422"/>
      <c r="AX15" s="422"/>
      <c r="AY15" s="422"/>
    </row>
    <row r="16" spans="1:52" x14ac:dyDescent="0.25">
      <c r="C16" s="519" t="s">
        <v>203</v>
      </c>
      <c r="D16" s="519"/>
      <c r="E16" s="519"/>
      <c r="F16" s="422"/>
      <c r="G16" s="422"/>
      <c r="H16" s="422"/>
      <c r="I16" s="422"/>
      <c r="J16" s="422"/>
      <c r="K16" s="422"/>
      <c r="L16" s="422"/>
      <c r="M16" s="422"/>
      <c r="N16" s="422"/>
      <c r="O16" s="422"/>
      <c r="P16" s="422"/>
      <c r="Q16" s="422"/>
      <c r="R16" s="422"/>
      <c r="S16" s="422"/>
      <c r="T16" s="422"/>
      <c r="U16" s="422"/>
      <c r="V16" s="422"/>
      <c r="W16" s="422"/>
      <c r="X16" s="422"/>
      <c r="Y16" s="527"/>
      <c r="Z16" s="422"/>
      <c r="AA16" s="422"/>
      <c r="AB16" s="422"/>
      <c r="AC16" s="422"/>
      <c r="AD16" s="422"/>
      <c r="AE16" s="422"/>
      <c r="AF16" s="422"/>
      <c r="AG16" s="422"/>
      <c r="AH16" s="422"/>
      <c r="AI16" s="422"/>
      <c r="AJ16" s="422"/>
      <c r="AK16" s="422"/>
      <c r="AL16" s="422"/>
      <c r="AM16" s="422"/>
      <c r="AN16" s="422"/>
      <c r="AO16" s="422"/>
      <c r="AP16" s="422"/>
      <c r="AQ16" s="422"/>
      <c r="AR16" s="422"/>
      <c r="AS16" s="422"/>
      <c r="AT16" s="422"/>
      <c r="AU16" s="422"/>
      <c r="AV16" s="422"/>
      <c r="AW16" s="422"/>
      <c r="AX16" s="422"/>
      <c r="AY16" s="422"/>
    </row>
    <row r="17" spans="3:51" x14ac:dyDescent="0.25">
      <c r="C17" s="519" t="str">
        <f>C9</f>
        <v>Bolsa de Horas de Soporte</v>
      </c>
      <c r="D17" s="649">
        <f>X9+AK9+AX9</f>
        <v>0</v>
      </c>
      <c r="E17" s="649">
        <f>Y9+AL9+AY9</f>
        <v>0</v>
      </c>
      <c r="F17" s="422"/>
      <c r="G17" s="422"/>
      <c r="H17" s="422"/>
      <c r="I17" s="422"/>
      <c r="J17" s="422"/>
      <c r="K17" s="422"/>
      <c r="L17" s="422"/>
      <c r="M17" s="422"/>
      <c r="N17" s="422"/>
      <c r="O17" s="422"/>
      <c r="P17" s="422"/>
      <c r="Q17" s="422"/>
      <c r="R17" s="422"/>
      <c r="S17" s="422"/>
      <c r="T17" s="422"/>
      <c r="U17" s="422"/>
      <c r="V17" s="422"/>
      <c r="W17" s="422"/>
      <c r="X17" s="422"/>
      <c r="Y17" s="422"/>
      <c r="Z17" s="422"/>
      <c r="AA17" s="422"/>
      <c r="AB17" s="422"/>
      <c r="AC17" s="422"/>
      <c r="AD17" s="422"/>
      <c r="AE17" s="422"/>
      <c r="AF17" s="422"/>
      <c r="AG17" s="422"/>
      <c r="AH17" s="422"/>
      <c r="AI17" s="422"/>
      <c r="AJ17" s="422"/>
      <c r="AK17" s="422"/>
      <c r="AL17" s="422"/>
      <c r="AM17" s="422"/>
      <c r="AN17" s="422"/>
      <c r="AO17" s="422"/>
      <c r="AP17" s="422"/>
      <c r="AQ17" s="422"/>
      <c r="AR17" s="422"/>
      <c r="AS17" s="422"/>
      <c r="AT17" s="422"/>
      <c r="AU17" s="422"/>
      <c r="AV17" s="422"/>
      <c r="AW17" s="422"/>
      <c r="AX17" s="422"/>
      <c r="AY17" s="422"/>
    </row>
    <row r="18" spans="3:51" x14ac:dyDescent="0.25">
      <c r="C18" s="519" t="str">
        <f>C8</f>
        <v xml:space="preserve">Movilización </v>
      </c>
      <c r="D18" s="452">
        <f>X8</f>
        <v>0</v>
      </c>
      <c r="E18" s="452">
        <f>Y8</f>
        <v>0</v>
      </c>
      <c r="F18" s="422"/>
      <c r="G18" s="422"/>
      <c r="H18" s="422"/>
      <c r="I18" s="422"/>
      <c r="J18" s="422"/>
      <c r="K18" s="422"/>
      <c r="L18" s="422"/>
      <c r="M18" s="422"/>
      <c r="N18" s="422"/>
      <c r="O18" s="422"/>
      <c r="P18" s="422"/>
      <c r="Q18" s="422"/>
      <c r="R18" s="422"/>
      <c r="S18" s="422"/>
      <c r="T18" s="422"/>
      <c r="U18" s="422"/>
      <c r="V18" s="422"/>
      <c r="W18" s="422"/>
      <c r="X18" s="422"/>
      <c r="Y18" s="422"/>
      <c r="Z18" s="422"/>
      <c r="AA18" s="422"/>
      <c r="AB18" s="422"/>
      <c r="AC18" s="422"/>
      <c r="AD18" s="422"/>
      <c r="AE18" s="422"/>
      <c r="AF18" s="422"/>
      <c r="AG18" s="422"/>
      <c r="AH18" s="422"/>
      <c r="AI18" s="422"/>
      <c r="AJ18" s="422"/>
      <c r="AK18" s="422"/>
      <c r="AL18" s="422"/>
      <c r="AM18" s="422"/>
      <c r="AN18" s="422"/>
      <c r="AO18" s="422"/>
      <c r="AP18" s="422"/>
      <c r="AQ18" s="422"/>
      <c r="AR18" s="422"/>
      <c r="AS18" s="422"/>
      <c r="AT18" s="422"/>
      <c r="AU18" s="422"/>
      <c r="AV18" s="422"/>
      <c r="AW18" s="422"/>
      <c r="AX18" s="422"/>
      <c r="AY18" s="422"/>
    </row>
    <row r="19" spans="3:51" x14ac:dyDescent="0.25">
      <c r="C19" s="519" t="s">
        <v>462</v>
      </c>
      <c r="D19" s="627">
        <f>AY13</f>
        <v>0</v>
      </c>
      <c r="E19" s="627">
        <f>AY13</f>
        <v>0</v>
      </c>
      <c r="F19" s="422"/>
      <c r="G19" s="422"/>
      <c r="H19" s="422"/>
      <c r="I19" s="422"/>
      <c r="J19" s="422"/>
      <c r="K19" s="422"/>
      <c r="L19" s="422"/>
      <c r="M19" s="422"/>
      <c r="N19" s="422"/>
      <c r="O19" s="422"/>
      <c r="P19" s="422"/>
      <c r="Q19" s="422"/>
      <c r="R19" s="422"/>
      <c r="S19" s="422"/>
      <c r="T19" s="422"/>
      <c r="U19" s="422"/>
      <c r="V19" s="422"/>
      <c r="W19" s="422"/>
      <c r="X19" s="422"/>
      <c r="Y19" s="422"/>
      <c r="Z19" s="422"/>
      <c r="AA19" s="422"/>
      <c r="AB19" s="422"/>
      <c r="AC19" s="422"/>
      <c r="AD19" s="422"/>
      <c r="AE19" s="422"/>
      <c r="AF19" s="422"/>
      <c r="AG19" s="422"/>
      <c r="AH19" s="422"/>
      <c r="AI19" s="422"/>
      <c r="AJ19" s="422"/>
      <c r="AK19" s="422"/>
      <c r="AL19" s="422"/>
      <c r="AM19" s="422"/>
      <c r="AN19" s="422"/>
      <c r="AO19" s="422"/>
      <c r="AP19" s="422"/>
      <c r="AQ19" s="422"/>
      <c r="AR19" s="422"/>
      <c r="AS19" s="422"/>
      <c r="AT19" s="422"/>
      <c r="AU19" s="422"/>
      <c r="AV19" s="422"/>
      <c r="AW19" s="422"/>
      <c r="AX19" s="422"/>
      <c r="AY19" s="422"/>
    </row>
    <row r="20" spans="3:51" x14ac:dyDescent="0.25">
      <c r="C20" s="519"/>
      <c r="D20" s="627"/>
      <c r="E20" s="627"/>
      <c r="F20" s="422"/>
      <c r="G20" s="422"/>
      <c r="H20" s="422"/>
      <c r="I20" s="422"/>
      <c r="J20" s="422"/>
      <c r="K20" s="422"/>
      <c r="L20" s="422"/>
      <c r="M20" s="422"/>
      <c r="N20" s="422"/>
      <c r="O20" s="422"/>
      <c r="P20" s="422"/>
      <c r="Q20" s="422"/>
      <c r="R20" s="422"/>
      <c r="S20" s="422"/>
      <c r="T20" s="422"/>
      <c r="U20" s="422"/>
      <c r="V20" s="422"/>
      <c r="W20" s="422"/>
      <c r="X20" s="422"/>
      <c r="Y20" s="422"/>
      <c r="Z20" s="422"/>
      <c r="AA20" s="422"/>
      <c r="AB20" s="422"/>
      <c r="AC20" s="422"/>
      <c r="AD20" s="422"/>
      <c r="AE20" s="422"/>
      <c r="AF20" s="422"/>
      <c r="AG20" s="422"/>
      <c r="AH20" s="422"/>
      <c r="AI20" s="422"/>
      <c r="AJ20" s="422"/>
      <c r="AK20" s="422"/>
      <c r="AL20" s="422"/>
      <c r="AM20" s="422"/>
      <c r="AN20" s="422"/>
      <c r="AO20" s="422"/>
      <c r="AP20" s="422"/>
      <c r="AQ20" s="422"/>
      <c r="AR20" s="422"/>
      <c r="AS20" s="422"/>
      <c r="AT20" s="422"/>
      <c r="AU20" s="422"/>
      <c r="AV20" s="422"/>
      <c r="AW20" s="422"/>
      <c r="AX20" s="422"/>
      <c r="AY20" s="422"/>
    </row>
    <row r="21" spans="3:51" x14ac:dyDescent="0.25">
      <c r="C21" s="716" t="s">
        <v>202</v>
      </c>
      <c r="D21" s="717">
        <f>ROUNDUP((SUM(D16:D20)),0)</f>
        <v>0</v>
      </c>
      <c r="E21" s="717">
        <f>ROUNDUP((SUM(E16:E20)),0)</f>
        <v>0</v>
      </c>
      <c r="F21" s="674"/>
      <c r="G21" s="422"/>
      <c r="H21" s="422"/>
      <c r="I21" s="422"/>
      <c r="J21" s="422"/>
      <c r="K21" s="422"/>
      <c r="L21" s="422"/>
      <c r="M21" s="422"/>
      <c r="N21" s="422"/>
      <c r="O21" s="422"/>
      <c r="P21" s="422"/>
      <c r="Q21" s="422"/>
      <c r="R21" s="422"/>
      <c r="S21" s="422"/>
      <c r="T21" s="422"/>
      <c r="U21" s="422"/>
      <c r="V21" s="422"/>
      <c r="W21" s="422"/>
      <c r="X21" s="422"/>
      <c r="Y21" s="422"/>
      <c r="Z21" s="422"/>
      <c r="AA21" s="422"/>
      <c r="AB21" s="422"/>
      <c r="AC21" s="422"/>
      <c r="AD21" s="422"/>
      <c r="AE21" s="422"/>
      <c r="AF21" s="422"/>
      <c r="AG21" s="422"/>
      <c r="AH21" s="422"/>
      <c r="AI21" s="422"/>
      <c r="AJ21" s="422"/>
      <c r="AK21" s="422"/>
      <c r="AL21" s="422"/>
      <c r="AM21" s="422"/>
      <c r="AN21" s="422"/>
      <c r="AO21" s="422"/>
      <c r="AP21" s="422"/>
      <c r="AQ21" s="422"/>
      <c r="AR21" s="422"/>
      <c r="AS21" s="422"/>
      <c r="AT21" s="422"/>
      <c r="AU21" s="422"/>
      <c r="AV21" s="422"/>
      <c r="AW21" s="422"/>
      <c r="AX21" s="422"/>
      <c r="AY21" s="422"/>
    </row>
    <row r="23" spans="3:51" x14ac:dyDescent="0.25">
      <c r="C23" s="537"/>
      <c r="D23" s="527"/>
    </row>
    <row r="24" spans="3:51" x14ac:dyDescent="0.25">
      <c r="C24" s="537"/>
      <c r="D24" s="527"/>
      <c r="E24" s="682"/>
    </row>
  </sheetData>
  <mergeCells count="4">
    <mergeCell ref="N6:Y6"/>
    <mergeCell ref="AA6:AL6"/>
    <mergeCell ref="AN6:AY6"/>
    <mergeCell ref="D5:K5"/>
  </mergeCells>
  <hyperlinks>
    <hyperlink ref="A1" location="Implementacion!A1" display="IMPLEMENTACIÓN" xr:uid="{50701157-3CF7-45F6-BECA-4218CCDF2D52}"/>
    <hyperlink ref="A5" location="'Mant Corr'!A1" display="MANTENIMIENTO CORRECTIVO" xr:uid="{4053AA2C-973C-4C18-95B9-8C7688358519}"/>
    <hyperlink ref="A2" location="'Mant Prev'!A1" display="MANTENIMIENTO PREVENTIVO" xr:uid="{DC079563-90B7-4629-AAE6-157DF94292CD}"/>
    <hyperlink ref="A7" location="ResumenP!A1" display="RESUMEN DEL PROYECTO" xr:uid="{4407F7B0-DC0D-4EDC-B3A2-806D654EB25B}"/>
    <hyperlink ref="A6" location="'Bolsa Horas'!A1" display="BOLSA DE HORAS" xr:uid="{EC79A9F7-397E-4D39-88DF-57666D16C9E4}"/>
  </hyperlink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&amp;CPágina &amp;P</oddFooter>
  </headerFooter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1">
    <tabColor theme="3" tint="0.59999389629810485"/>
  </sheetPr>
  <dimension ref="A1:Z23"/>
  <sheetViews>
    <sheetView zoomScale="77" zoomScaleNormal="77" workbookViewId="0">
      <selection activeCell="Y3" sqref="Y3"/>
    </sheetView>
  </sheetViews>
  <sheetFormatPr baseColWidth="10" defaultColWidth="11.5546875" defaultRowHeight="13.2" x14ac:dyDescent="0.25"/>
  <cols>
    <col min="1" max="1" width="36.5546875" bestFit="1" customWidth="1"/>
    <col min="2" max="2" width="15.44140625" customWidth="1"/>
    <col min="3" max="3" width="59" customWidth="1"/>
    <col min="4" max="5" width="11.44140625" hidden="1" customWidth="1"/>
    <col min="6" max="6" width="16.109375" hidden="1" customWidth="1"/>
    <col min="7" max="7" width="15" hidden="1" customWidth="1"/>
    <col min="8" max="8" width="12.44140625" hidden="1" customWidth="1"/>
    <col min="9" max="9" width="16.109375" hidden="1" customWidth="1"/>
    <col min="10" max="10" width="12.77734375" hidden="1" customWidth="1"/>
    <col min="11" max="11" width="8.77734375" hidden="1" customWidth="1"/>
    <col min="12" max="12" width="17.33203125" hidden="1" customWidth="1"/>
    <col min="13" max="13" width="13" hidden="1" customWidth="1"/>
    <col min="14" max="14" width="11.5546875" hidden="1" customWidth="1"/>
    <col min="15" max="15" width="14.33203125" hidden="1" customWidth="1"/>
    <col min="16" max="16" width="12.21875" hidden="1" customWidth="1"/>
    <col min="17" max="17" width="10.5546875" hidden="1" customWidth="1"/>
    <col min="18" max="18" width="12.88671875" hidden="1" customWidth="1"/>
    <col min="19" max="19" width="15.77734375" hidden="1" customWidth="1"/>
    <col min="20" max="20" width="12.44140625" bestFit="1" customWidth="1"/>
    <col min="21" max="21" width="21.44140625" customWidth="1"/>
    <col min="22" max="22" width="19" customWidth="1"/>
    <col min="23" max="23" width="10.6640625" bestFit="1" customWidth="1"/>
    <col min="24" max="24" width="12.6640625" customWidth="1"/>
    <col min="25" max="25" width="23.88671875" customWidth="1"/>
  </cols>
  <sheetData>
    <row r="1" spans="1:26" ht="16.5" customHeight="1" x14ac:dyDescent="0.3">
      <c r="A1" s="638" t="s">
        <v>427</v>
      </c>
    </row>
    <row r="2" spans="1:26" ht="16.5" customHeight="1" x14ac:dyDescent="0.3">
      <c r="A2" s="638"/>
      <c r="C2" s="750" t="s">
        <v>478</v>
      </c>
      <c r="D2" s="875" t="str">
        <f>Implementacion!D2</f>
        <v>MARGEN</v>
      </c>
      <c r="E2" s="875"/>
      <c r="F2" s="875"/>
      <c r="G2" s="875"/>
      <c r="H2" s="875"/>
      <c r="I2" s="875"/>
      <c r="J2" s="875"/>
      <c r="K2" s="55"/>
      <c r="L2" s="55"/>
      <c r="M2" s="55"/>
      <c r="N2" s="55"/>
      <c r="O2" s="55"/>
      <c r="P2" s="55"/>
      <c r="Q2" s="55"/>
      <c r="R2" s="55"/>
      <c r="S2" s="55"/>
      <c r="T2" s="875" t="str">
        <f>Implementacion!E4</f>
        <v>UDLA</v>
      </c>
      <c r="U2" s="875"/>
      <c r="V2" s="875"/>
      <c r="W2" s="875"/>
      <c r="Y2" s="422" t="s">
        <v>509</v>
      </c>
    </row>
    <row r="3" spans="1:26" ht="16.5" customHeight="1" thickBot="1" x14ac:dyDescent="0.35">
      <c r="A3" s="638"/>
    </row>
    <row r="4" spans="1:26" s="356" customFormat="1" ht="16.5" customHeight="1" x14ac:dyDescent="0.3">
      <c r="A4" s="639" t="s">
        <v>429</v>
      </c>
      <c r="C4" s="650" t="s">
        <v>14</v>
      </c>
      <c r="D4" s="651" t="s">
        <v>108</v>
      </c>
      <c r="E4" s="693" t="s">
        <v>437</v>
      </c>
      <c r="F4" s="651" t="s">
        <v>178</v>
      </c>
      <c r="G4" s="693" t="s">
        <v>438</v>
      </c>
      <c r="H4" s="651" t="s">
        <v>179</v>
      </c>
      <c r="I4" s="693" t="s">
        <v>439</v>
      </c>
      <c r="J4" s="652" t="s">
        <v>440</v>
      </c>
      <c r="K4" s="693" t="s">
        <v>442</v>
      </c>
      <c r="L4" s="652" t="s">
        <v>441</v>
      </c>
      <c r="M4" s="693" t="s">
        <v>443</v>
      </c>
      <c r="N4" s="652"/>
      <c r="O4" s="653"/>
      <c r="P4" s="652"/>
      <c r="Q4" s="653"/>
      <c r="R4" s="652"/>
      <c r="S4" s="653"/>
      <c r="T4" s="718" t="s">
        <v>135</v>
      </c>
      <c r="U4" s="654" t="s">
        <v>7</v>
      </c>
      <c r="V4" s="681" t="s">
        <v>432</v>
      </c>
      <c r="Z4"/>
    </row>
    <row r="5" spans="1:26" s="356" customFormat="1" ht="26.4" x14ac:dyDescent="0.3">
      <c r="A5" s="640" t="s">
        <v>428</v>
      </c>
      <c r="C5" s="697" t="s">
        <v>463</v>
      </c>
      <c r="D5" s="655">
        <f>Implementacion!$AA$79</f>
        <v>2052.1670386904761</v>
      </c>
      <c r="E5" s="657">
        <f>Implementacion!$AA$78</f>
        <v>1641.7336309523812</v>
      </c>
      <c r="F5" s="655">
        <f>Implementacion!$AN$79</f>
        <v>0</v>
      </c>
      <c r="G5" s="657">
        <f>Implementacion!$AN$78</f>
        <v>0</v>
      </c>
      <c r="H5" s="655">
        <f>Implementacion!$BA$79</f>
        <v>0</v>
      </c>
      <c r="I5" s="657">
        <f>Implementacion!$BA$78</f>
        <v>0</v>
      </c>
      <c r="J5" s="656"/>
      <c r="K5" s="657"/>
      <c r="L5" s="656"/>
      <c r="M5" s="657"/>
      <c r="N5" s="656"/>
      <c r="O5" s="657"/>
      <c r="P5" s="656"/>
      <c r="Q5" s="657"/>
      <c r="R5" s="656"/>
      <c r="S5" s="657"/>
      <c r="T5" s="658">
        <f>Implementacion!E112</f>
        <v>3687</v>
      </c>
      <c r="U5" s="659">
        <f>Implementacion!G112</f>
        <v>4609</v>
      </c>
      <c r="V5" s="660">
        <f>U5/U9</f>
        <v>0.12851685581239719</v>
      </c>
      <c r="X5" s="414"/>
    </row>
    <row r="6" spans="1:26" s="356" customFormat="1" ht="27" customHeight="1" x14ac:dyDescent="0.3">
      <c r="A6" s="641" t="s">
        <v>430</v>
      </c>
      <c r="C6" s="696" t="s">
        <v>98</v>
      </c>
      <c r="D6" s="661">
        <f>'Mant Corr'!B21</f>
        <v>0</v>
      </c>
      <c r="E6" s="657"/>
      <c r="F6" s="661">
        <f>'Mant Corr'!AP12</f>
        <v>1043.2330827067667</v>
      </c>
      <c r="G6" s="657"/>
      <c r="H6" s="661">
        <f>'Mant Corr'!BC12</f>
        <v>1043.2330827067667</v>
      </c>
      <c r="I6" s="657"/>
      <c r="J6" s="656"/>
      <c r="K6" s="657"/>
      <c r="L6" s="656"/>
      <c r="M6" s="657"/>
      <c r="N6" s="656"/>
      <c r="O6" s="657"/>
      <c r="P6" s="656"/>
      <c r="Q6" s="657"/>
      <c r="R6" s="656"/>
      <c r="S6" s="657"/>
      <c r="T6" s="658">
        <f>'Mant Corr'!$F$41</f>
        <v>6586</v>
      </c>
      <c r="U6" s="659">
        <f>'Mant Corr'!$G$41</f>
        <v>8105</v>
      </c>
      <c r="V6" s="660">
        <f>U6/U9</f>
        <v>0.22599894041212393</v>
      </c>
      <c r="X6" s="357"/>
    </row>
    <row r="7" spans="1:26" s="356" customFormat="1" ht="16.5" customHeight="1" x14ac:dyDescent="0.3">
      <c r="A7" s="642" t="s">
        <v>431</v>
      </c>
      <c r="C7" s="698" t="s">
        <v>151</v>
      </c>
      <c r="D7" s="661"/>
      <c r="E7" s="657"/>
      <c r="F7" s="661"/>
      <c r="G7" s="657"/>
      <c r="H7" s="661"/>
      <c r="I7" s="657"/>
      <c r="J7" s="656"/>
      <c r="K7" s="657"/>
      <c r="L7" s="656"/>
      <c r="M7" s="657"/>
      <c r="N7" s="656"/>
      <c r="O7" s="657"/>
      <c r="P7" s="656"/>
      <c r="Q7" s="657"/>
      <c r="R7" s="656"/>
      <c r="S7" s="657"/>
      <c r="T7" s="658">
        <f>'Mant Prev'!$E$30</f>
        <v>18505</v>
      </c>
      <c r="U7" s="659">
        <f>'Mant Prev'!$F$30</f>
        <v>23149</v>
      </c>
      <c r="V7" s="660">
        <f>U7/U9</f>
        <v>0.64548420377547888</v>
      </c>
      <c r="X7" s="357"/>
    </row>
    <row r="8" spans="1:26" s="356" customFormat="1" ht="17.399999999999999" thickBot="1" x14ac:dyDescent="0.35">
      <c r="A8"/>
      <c r="C8" s="696" t="s">
        <v>150</v>
      </c>
      <c r="D8" s="661"/>
      <c r="E8" s="657"/>
      <c r="F8" s="661"/>
      <c r="G8" s="657"/>
      <c r="H8" s="661"/>
      <c r="I8" s="657"/>
      <c r="J8" s="656"/>
      <c r="K8" s="657"/>
      <c r="L8" s="656"/>
      <c r="M8" s="657"/>
      <c r="N8" s="656"/>
      <c r="O8" s="657"/>
      <c r="P8" s="656"/>
      <c r="Q8" s="657"/>
      <c r="R8" s="656"/>
      <c r="S8" s="657"/>
      <c r="T8" s="658">
        <f>'Bolsa Horas'!D21</f>
        <v>0</v>
      </c>
      <c r="U8" s="659">
        <f>'Bolsa Horas'!E21</f>
        <v>0</v>
      </c>
      <c r="V8" s="660">
        <f>U8/U9</f>
        <v>0</v>
      </c>
      <c r="W8" s="414"/>
      <c r="X8" s="357"/>
    </row>
    <row r="9" spans="1:26" x14ac:dyDescent="0.25">
      <c r="C9" s="662" t="s">
        <v>18</v>
      </c>
      <c r="D9" s="719"/>
      <c r="E9" s="665"/>
      <c r="F9" s="662" t="s">
        <v>18</v>
      </c>
      <c r="G9" s="665"/>
      <c r="H9" s="663"/>
      <c r="I9" s="665"/>
      <c r="J9" s="664"/>
      <c r="K9" s="665"/>
      <c r="L9" s="666"/>
      <c r="M9" s="665"/>
      <c r="N9" s="666"/>
      <c r="O9" s="665"/>
      <c r="P9" s="666"/>
      <c r="Q9" s="665"/>
      <c r="R9" s="666"/>
      <c r="S9" s="665"/>
      <c r="T9" s="667">
        <f>SUM(T5:T8)</f>
        <v>28778</v>
      </c>
      <c r="U9" s="668">
        <f>SUM(U5:U8)</f>
        <v>35863</v>
      </c>
      <c r="V9" s="527"/>
      <c r="W9" s="537"/>
    </row>
    <row r="10" spans="1:26" x14ac:dyDescent="0.25">
      <c r="C10" s="669" t="s">
        <v>19</v>
      </c>
      <c r="D10" s="422"/>
      <c r="E10" s="422"/>
      <c r="F10" s="669" t="s">
        <v>19</v>
      </c>
      <c r="G10" s="670"/>
      <c r="H10" s="670"/>
      <c r="I10" s="670"/>
      <c r="J10" s="671"/>
      <c r="K10" s="671"/>
      <c r="L10" s="671"/>
      <c r="M10" s="671"/>
      <c r="N10" s="671"/>
      <c r="O10" s="671"/>
      <c r="P10" s="671"/>
      <c r="Q10" s="671"/>
      <c r="R10" s="671"/>
      <c r="S10" s="671"/>
      <c r="T10" s="672"/>
      <c r="U10" s="672">
        <f>T9</f>
        <v>28778</v>
      </c>
      <c r="V10" s="527"/>
      <c r="W10" s="422"/>
      <c r="Y10" s="358"/>
    </row>
    <row r="11" spans="1:26" x14ac:dyDescent="0.25">
      <c r="C11" s="669" t="s">
        <v>20</v>
      </c>
      <c r="D11" s="422"/>
      <c r="E11" s="422"/>
      <c r="F11" s="669" t="s">
        <v>20</v>
      </c>
      <c r="G11" s="670"/>
      <c r="H11" s="670"/>
      <c r="I11" s="670"/>
      <c r="J11" s="671"/>
      <c r="K11" s="671"/>
      <c r="L11" s="671"/>
      <c r="M11" s="671"/>
      <c r="N11" s="671"/>
      <c r="O11" s="671"/>
      <c r="P11" s="671"/>
      <c r="Q11" s="671"/>
      <c r="R11" s="671"/>
      <c r="S11" s="671"/>
      <c r="T11" s="673"/>
      <c r="U11" s="673">
        <f>U9-U10</f>
        <v>7085</v>
      </c>
      <c r="V11" s="527"/>
      <c r="W11" s="422"/>
    </row>
    <row r="12" spans="1:26" ht="13.8" thickBot="1" x14ac:dyDescent="0.3">
      <c r="C12" s="720" t="s">
        <v>21</v>
      </c>
      <c r="D12" s="721"/>
      <c r="E12" s="721"/>
      <c r="F12" s="720" t="s">
        <v>21</v>
      </c>
      <c r="G12" s="675"/>
      <c r="H12" s="675"/>
      <c r="I12" s="675"/>
      <c r="J12" s="722"/>
      <c r="K12" s="722"/>
      <c r="L12" s="676"/>
      <c r="M12" s="676"/>
      <c r="N12" s="676"/>
      <c r="O12" s="676"/>
      <c r="P12" s="676"/>
      <c r="Q12" s="676"/>
      <c r="R12" s="676"/>
      <c r="S12" s="676"/>
      <c r="T12" s="677">
        <f>Costos!G2</f>
        <v>0</v>
      </c>
      <c r="U12" s="723">
        <f>U11/U9</f>
        <v>0.19755737110671165</v>
      </c>
      <c r="V12" s="527"/>
      <c r="W12" s="674"/>
      <c r="Y12" s="126"/>
    </row>
    <row r="13" spans="1:26" ht="33.9" customHeight="1" x14ac:dyDescent="0.25"/>
    <row r="15" spans="1:26" ht="18" customHeight="1" x14ac:dyDescent="0.25">
      <c r="T15" s="692"/>
      <c r="U15" s="682"/>
      <c r="V15" s="682"/>
    </row>
    <row r="16" spans="1:26" x14ac:dyDescent="0.25">
      <c r="V16" s="442"/>
    </row>
    <row r="21" spans="22:26" ht="16.8" x14ac:dyDescent="0.3">
      <c r="V21" s="413"/>
      <c r="W21" s="413"/>
      <c r="X21" s="413"/>
      <c r="Y21" s="413"/>
      <c r="Z21" s="413"/>
    </row>
    <row r="22" spans="22:26" ht="16.8" x14ac:dyDescent="0.3">
      <c r="V22" s="413"/>
      <c r="W22" s="413"/>
      <c r="X22" s="413"/>
      <c r="Y22" s="413"/>
      <c r="Z22" s="413"/>
    </row>
    <row r="23" spans="22:26" ht="16.8" x14ac:dyDescent="0.3">
      <c r="V23" s="413"/>
      <c r="W23" s="413"/>
      <c r="X23" s="413"/>
      <c r="Y23" s="413"/>
      <c r="Z23" s="413"/>
    </row>
  </sheetData>
  <mergeCells count="2">
    <mergeCell ref="D2:J2"/>
    <mergeCell ref="T2:W2"/>
  </mergeCells>
  <hyperlinks>
    <hyperlink ref="A1" location="Implementacion!A1" display="IMPLEMENTACIÓN" xr:uid="{B7398D2E-3D43-45A7-A804-5214B2A3A6B3}"/>
    <hyperlink ref="A5" location="'Mant Corr'!A1" display="MANTENIMIENTO CORRECTIVO" xr:uid="{52EF8CE8-65A0-4491-83E6-D9FE77BB38B7}"/>
    <hyperlink ref="A4" location="'Mant Prev'!A1" display="MANTENIMIENTO PREVENTIVO" xr:uid="{D58B0A2B-D1DF-4E3E-A1B1-ADD9CCBA7F29}"/>
    <hyperlink ref="A7" location="ResumenP!A1" display="RESUMEN DEL PROYECTO" xr:uid="{72C0233E-696B-42CF-8796-1B9FC6CB8FE2}"/>
    <hyperlink ref="A6" location="'Bolsa Horas'!A1" display="BOLSA DE HORAS" xr:uid="{E48B06DE-CC8D-4090-BBD0-BC1274C4CECF}"/>
  </hyperlinks>
  <pageMargins left="0.78749999999999998" right="0.78749999999999998" top="1.0249999999999999" bottom="1.0249999999999999" header="0.78749999999999998" footer="0.78749999999999998"/>
  <pageSetup paperSize="9" orientation="portrait" horizontalDpi="300" verticalDpi="300"/>
  <headerFooter>
    <oddHeader>&amp;C&amp;A</oddHeader>
    <oddFooter>&amp;CPágina &amp;P</oddFooter>
  </headerFooter>
  <drawing r:id="rId1"/>
</worksheet>
</file>

<file path=docMetadata/LabelInfo.xml><?xml version="1.0" encoding="utf-8"?>
<clbl:labelList xmlns:clbl="http://schemas.microsoft.com/office/2020/mipLabelMetadata">
  <clbl:label id="{f149d0bc-0eb5-4f9a-9e82-24a76eacf8de}" enabled="0" method="" siteId="{f149d0bc-0eb5-4f9a-9e82-24a76eacf8d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136</TotalTime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15</vt:i4>
      </vt:variant>
      <vt:variant>
        <vt:lpstr>Rangos con nombre</vt:lpstr>
      </vt:variant>
      <vt:variant>
        <vt:i4>7</vt:i4>
      </vt:variant>
    </vt:vector>
  </HeadingPairs>
  <TitlesOfParts>
    <vt:vector size="22" baseType="lpstr">
      <vt:lpstr>Resumen</vt:lpstr>
      <vt:lpstr>Costos (2)</vt:lpstr>
      <vt:lpstr>Detalle Servicios (2)</vt:lpstr>
      <vt:lpstr>Hoja1</vt:lpstr>
      <vt:lpstr>Hoja2</vt:lpstr>
      <vt:lpstr>Pool de horas</vt:lpstr>
      <vt:lpstr>Mant Preventivo</vt:lpstr>
      <vt:lpstr>cálculo rápido</vt:lpstr>
      <vt:lpstr>Detalle Servicios</vt:lpstr>
      <vt:lpstr>Costos</vt:lpstr>
      <vt:lpstr>Implementacion</vt:lpstr>
      <vt:lpstr>Mant Prev</vt:lpstr>
      <vt:lpstr>Mant Corr</vt:lpstr>
      <vt:lpstr>Bolsa Horas</vt:lpstr>
      <vt:lpstr>ResumenP</vt:lpstr>
      <vt:lpstr>Indice</vt:lpstr>
      <vt:lpstr>Lista</vt:lpstr>
      <vt:lpstr>'Detalle Servicios (2)'!PM</vt:lpstr>
      <vt:lpstr>'Costos (2)'!PMS</vt:lpstr>
      <vt:lpstr>PMS</vt:lpstr>
      <vt:lpstr>'Costos (2)'!Transp</vt:lpstr>
      <vt:lpstr>Transp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SRI</dc:title>
  <dc:subject/>
  <dc:creator>Juan Carlos Cruz</dc:creator>
  <dc:description/>
  <cp:lastModifiedBy>Villacis Borja, Juan Carlos</cp:lastModifiedBy>
  <cp:revision>6</cp:revision>
  <dcterms:created xsi:type="dcterms:W3CDTF">2004-11-08T14:06:22Z</dcterms:created>
  <dcterms:modified xsi:type="dcterms:W3CDTF">2026-07-05T14:22:53Z</dcterms:modified>
  <dc:language>es-EC</dc:language>
</cp:coreProperties>
</file>