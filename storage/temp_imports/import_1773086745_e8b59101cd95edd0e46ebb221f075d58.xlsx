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8_{66D59579-860E-4EC6-BCF3-8706BB2C0361}" xr6:coauthVersionLast="47" xr6:coauthVersionMax="47" xr10:uidLastSave="{00000000-0000-0000-0000-000000000000}"/>
  <bookViews>
    <workbookView xWindow="-120" yWindow="-120" windowWidth="29040" windowHeight="17520" xr2:uid="{E3EF71F8-3BC3-481B-9F75-5F0483333FA1}"/>
  </bookViews>
  <sheets>
    <sheet name="LOCAL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I27" i="1"/>
  <c r="H27" i="1"/>
  <c r="G27" i="1"/>
  <c r="C27" i="1"/>
  <c r="J26" i="1"/>
  <c r="I26" i="1"/>
  <c r="G26" i="1"/>
  <c r="H26" i="1" s="1"/>
  <c r="C26" i="1"/>
  <c r="J25" i="1"/>
  <c r="I25" i="1"/>
  <c r="G25" i="1"/>
  <c r="H25" i="1" s="1"/>
  <c r="C25" i="1"/>
  <c r="J24" i="1"/>
  <c r="I24" i="1"/>
  <c r="G24" i="1"/>
  <c r="H24" i="1" s="1"/>
  <c r="J23" i="1"/>
  <c r="I23" i="1"/>
  <c r="G23" i="1"/>
  <c r="H23" i="1" s="1"/>
  <c r="C23" i="1"/>
  <c r="J22" i="1"/>
  <c r="I22" i="1"/>
  <c r="H22" i="1"/>
  <c r="G22" i="1"/>
  <c r="J21" i="1"/>
  <c r="I21" i="1"/>
  <c r="G21" i="1"/>
  <c r="H21" i="1" s="1"/>
  <c r="J20" i="1"/>
  <c r="I20" i="1"/>
  <c r="H20" i="1"/>
  <c r="G20" i="1"/>
  <c r="J19" i="1"/>
  <c r="I19" i="1"/>
  <c r="G19" i="1"/>
  <c r="H19" i="1" s="1"/>
  <c r="J18" i="1"/>
  <c r="I18" i="1"/>
  <c r="G18" i="1"/>
  <c r="H18" i="1" s="1"/>
  <c r="J17" i="1"/>
  <c r="I17" i="1"/>
  <c r="H17" i="1"/>
  <c r="G17" i="1"/>
  <c r="J16" i="1"/>
  <c r="I16" i="1"/>
  <c r="H16" i="1"/>
  <c r="G16" i="1"/>
  <c r="J15" i="1"/>
  <c r="I15" i="1"/>
  <c r="G15" i="1"/>
  <c r="H15" i="1" s="1"/>
  <c r="J14" i="1"/>
  <c r="I14" i="1"/>
  <c r="H14" i="1"/>
  <c r="G14" i="1"/>
  <c r="J13" i="1"/>
  <c r="I13" i="1"/>
  <c r="G13" i="1"/>
  <c r="H13" i="1" s="1"/>
  <c r="J12" i="1"/>
  <c r="I12" i="1"/>
  <c r="G12" i="1"/>
  <c r="H12" i="1" s="1"/>
  <c r="J11" i="1"/>
  <c r="I11" i="1"/>
  <c r="H11" i="1"/>
  <c r="G11" i="1"/>
  <c r="J10" i="1"/>
  <c r="I10" i="1"/>
  <c r="G10" i="1"/>
  <c r="H10" i="1" s="1"/>
  <c r="J9" i="1"/>
  <c r="I9" i="1"/>
  <c r="G9" i="1"/>
  <c r="H9" i="1" s="1"/>
  <c r="J8" i="1"/>
  <c r="I8" i="1"/>
  <c r="H8" i="1"/>
  <c r="G8" i="1"/>
  <c r="J7" i="1"/>
  <c r="I7" i="1"/>
  <c r="G7" i="1"/>
  <c r="H7" i="1" s="1"/>
  <c r="J6" i="1"/>
  <c r="I6" i="1"/>
  <c r="G6" i="1"/>
  <c r="H6" i="1" s="1"/>
  <c r="J5" i="1"/>
  <c r="I5" i="1"/>
  <c r="H5" i="1"/>
  <c r="G5" i="1"/>
  <c r="J4" i="1"/>
  <c r="I4" i="1"/>
  <c r="G4" i="1"/>
  <c r="H4" i="1" s="1"/>
  <c r="J3" i="1"/>
  <c r="I3" i="1"/>
  <c r="G3" i="1"/>
  <c r="H3" i="1" s="1"/>
  <c r="J2" i="1"/>
  <c r="I2" i="1"/>
  <c r="H2" i="1"/>
  <c r="G2" i="1"/>
</calcChain>
</file>

<file path=xl/sharedStrings.xml><?xml version="1.0" encoding="utf-8"?>
<sst xmlns="http://schemas.openxmlformats.org/spreadsheetml/2006/main" count="83" uniqueCount="82">
  <si>
    <t>ID</t>
  </si>
  <si>
    <t>LOCALIDADES</t>
  </si>
  <si>
    <t>SUCURSAL</t>
  </si>
  <si>
    <t>NOVEDADES ENCONTRADAS</t>
  </si>
  <si>
    <t xml:space="preserve">AFECTACIÓN </t>
  </si>
  <si>
    <t xml:space="preserve">UBICACIÓN (COORDENADAS) </t>
  </si>
  <si>
    <t>LATIGSM</t>
  </si>
  <si>
    <t>LONGGSM</t>
  </si>
  <si>
    <t>LATITUD</t>
  </si>
  <si>
    <t>LONGITUD</t>
  </si>
  <si>
    <t>Fadesa Metales GYE</t>
  </si>
  <si>
    <t>FADESA METALES</t>
  </si>
  <si>
    <t>Rack RRHH: Cableado desordenadot (fideo) 
Rack Taller: Filtración de Agua en la pared</t>
  </si>
  <si>
    <t>Disponibilidad</t>
  </si>
  <si>
    <t>2°14'07.4"S 79°53'19.1"W
-2.235389, -79.888639</t>
  </si>
  <si>
    <t>Fadesa Plásticos GYE</t>
  </si>
  <si>
    <t>FADESA PLAST</t>
  </si>
  <si>
    <t>Se encontró 1 UPS de los 5 que aparecen en inventario.</t>
  </si>
  <si>
    <t>2°14'32.0"S 79°53'11.4"W
-2.242235, -79.886503</t>
  </si>
  <si>
    <t>Fadesa Metales El Universo</t>
  </si>
  <si>
    <t>FAD MET EL UNIVERSO</t>
  </si>
  <si>
    <t>2°14'02.8"S 79°53'21.3"W
-2.234105, -79.889259</t>
  </si>
  <si>
    <t>Dalkasa</t>
  </si>
  <si>
    <t>DALKASA</t>
  </si>
  <si>
    <t>Se encontró AP Rujie dentro de Rack.</t>
  </si>
  <si>
    <t>2°14'30.6"S 79°53'06.8"W
-2.241824, -79.885218</t>
  </si>
  <si>
    <t>Fadesa Plásticos Jutecero</t>
  </si>
  <si>
    <t>FADESA PLAST JUTECERO</t>
  </si>
  <si>
    <t>Rack: Puerta lateral con cerradura dañada.</t>
  </si>
  <si>
    <t>2°14'30.3"S 79°53'20.8"W
-2.241744, -79.889109</t>
  </si>
  <si>
    <t>Semvra Daule GYE</t>
  </si>
  <si>
    <t>SEMVRA DAULE</t>
  </si>
  <si>
    <t>1°59'41.3"S 79°58'13.6"W
-1.994801, -79.970431</t>
  </si>
  <si>
    <t>Ecuabarnices GYE</t>
  </si>
  <si>
    <t xml:space="preserve">ECUABARNICES </t>
  </si>
  <si>
    <t>1°59'36.8"S 79°58'16.7"W
-1.993547, -79.971307</t>
  </si>
  <si>
    <t>Chivería</t>
  </si>
  <si>
    <t>CHIVERIA</t>
  </si>
  <si>
    <t>1°57'07.9"S 80°00'39.4"W
-1.952183, -80.010942</t>
  </si>
  <si>
    <t>Semvra Ecuador - Chivería</t>
  </si>
  <si>
    <t>SEMVRA ECU</t>
  </si>
  <si>
    <t>La oficina de Semvra Ecuador se encuenta dentro de bodega de Chivería</t>
  </si>
  <si>
    <t>Semvra Sabanilla</t>
  </si>
  <si>
    <t>SEMVRA SABANILA</t>
  </si>
  <si>
    <t>1°50'27.1"S 80°13'20.0"W
-1.840854, -80.222216</t>
  </si>
  <si>
    <t>Semvra Sky Building</t>
  </si>
  <si>
    <t>SEMVRA SKY BUILDING</t>
  </si>
  <si>
    <t>2°08'44.1"S 79°52'58.1"W
-2.145583, -79.882802</t>
  </si>
  <si>
    <t>Inmovila _ Sky Building</t>
  </si>
  <si>
    <t>INMOVILA _ SKY BUILDING</t>
  </si>
  <si>
    <t>2°08'43.6"S 79°52'59.0"W
-2.145438, -79.883062</t>
  </si>
  <si>
    <t>La Llave - Ecuaimco</t>
  </si>
  <si>
    <t>LA LLAVE - ECUAIMCO</t>
  </si>
  <si>
    <t>2°08'59.2"S 79°54'05.1"W
-2.149787, -79.901419</t>
  </si>
  <si>
    <t xml:space="preserve">Vilanova </t>
  </si>
  <si>
    <t xml:space="preserve">VILANOVA </t>
  </si>
  <si>
    <t>2°02'05.3"S 79°52'14.9"W
-2.034816, -79.870793</t>
  </si>
  <si>
    <t>Bonavila</t>
  </si>
  <si>
    <t>BONAVILA</t>
  </si>
  <si>
    <t>2°03'49.6"S 79°58'14.6"W
-2.063782, -79.970716</t>
  </si>
  <si>
    <t>Fadesa Metales UIO</t>
  </si>
  <si>
    <t>FADESA METALES UIO</t>
  </si>
  <si>
    <t>Semvra Chivería Quito</t>
  </si>
  <si>
    <t>SEMVRA CHIVERIA</t>
  </si>
  <si>
    <t>La Llave Quito</t>
  </si>
  <si>
    <t>LA LLAVE</t>
  </si>
  <si>
    <t>0°09'37.4"S 78°28'59.4"W
-0.160398, -78.483172</t>
  </si>
  <si>
    <t>Fadesa Metales Manta</t>
  </si>
  <si>
    <t xml:space="preserve"> FADESA METALES MAN
</t>
  </si>
  <si>
    <t xml:space="preserve">Puntos Red: Sin uso activos, punto inconcluso.
Se encontró el cuarto con una temperatura de 38° a 40°.
No hay referencias en la documentación que nos proporcionaron para poder ubicar los puntos de red
</t>
  </si>
  <si>
    <t>0°58'01.1"S 80°39'47.5"W
-0.966968, -80.663182</t>
  </si>
  <si>
    <t>Semvra Babahoyo</t>
  </si>
  <si>
    <t>SEMVRA BABAHOYO</t>
  </si>
  <si>
    <t>1°51'21.5"S 79°33'11.5"W
-1.855979, -79.553179</t>
  </si>
  <si>
    <t>Fadesa Callao</t>
  </si>
  <si>
    <t>FADESA CALLAO</t>
  </si>
  <si>
    <t>Fadesa Chimbote</t>
  </si>
  <si>
    <t>La Llave San Isidro</t>
  </si>
  <si>
    <t>LA LLAVE-SAN ISIDRO</t>
  </si>
  <si>
    <t>La Llave VES, Lima</t>
  </si>
  <si>
    <t>La Llave Bolivia</t>
  </si>
  <si>
    <t>Fadesa 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</si>
</sst>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24"/>
      <color rgb="FF1F1F1F"/>
      <name val="Google Sans"/>
    </font>
    <font>
      <sz val="18"/>
      <color rgb="FF5E5E5E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3" fillId="3" borderId="5" xfId="0" applyFont="1" applyFill="1" applyBorder="1" applyAlignment="1">
      <alignment horizontal="center"/>
    </xf>
    <xf numFmtId="0" fontId="6" fillId="4" borderId="2" xfId="0" applyFont="1" applyFill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6DE4-B208-418C-9B70-1B442CC04929}">
  <dimension ref="A1:J27"/>
  <sheetViews>
    <sheetView tabSelected="1" workbookViewId="0"/>
  </sheetViews>
  <sheetFormatPr baseColWidth="10" defaultRowHeight="15"/>
  <cols>
    <col min="1" max="1" width="11.42578125" style="22" customWidth="1"/>
    <col min="2" max="2" width="49" customWidth="1"/>
    <col min="3" max="3" width="49" style="23" customWidth="1"/>
    <col min="4" max="4" width="53.5703125" customWidth="1"/>
    <col min="5" max="5" width="19.28515625" bestFit="1" customWidth="1"/>
    <col min="6" max="6" width="44" customWidth="1"/>
    <col min="7" max="7" width="32" style="22" bestFit="1" customWidth="1"/>
    <col min="8" max="8" width="26.85546875" style="22" customWidth="1"/>
    <col min="9" max="9" width="13.140625" style="22" bestFit="1" customWidth="1"/>
    <col min="10" max="10" width="13.85546875" style="22" bestFit="1" customWidth="1"/>
    <col min="11" max="11" width="11.42578125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>
      <c r="A2" s="4">
        <v>1</v>
      </c>
      <c r="B2" s="5" t="s">
        <v>10</v>
      </c>
      <c r="C2" s="6" t="s">
        <v>11</v>
      </c>
      <c r="D2" s="7" t="s">
        <v>12</v>
      </c>
      <c r="E2" s="8" t="s">
        <v>13</v>
      </c>
      <c r="F2" s="9" t="s">
        <v>14</v>
      </c>
      <c r="G2" s="4" t="str">
        <f t="shared" ref="G2:G27" si="0">LEFT(F2, FIND("S", F2))</f>
        <v>2°14'07.4"S</v>
      </c>
      <c r="H2" s="4" t="str">
        <f t="shared" ref="H2:H27" si="1">TRIM(MID(F2, LEN(G2)+1, FIND("W", F2)-LEN(G2)))</f>
        <v>79°53'19.1"W</v>
      </c>
      <c r="I2" s="4" t="str">
        <f t="shared" ref="I2:I27" si="2">TRIM(MID(F2, FIND("W", F2)+1, FIND(",", F2)-FIND("W", F2)-1))</f>
        <v xml:space="preserve">
-2.235389</v>
      </c>
      <c r="J2" s="4" t="str">
        <f t="shared" ref="J2:J27" si="3">TRIM(RIGHT(F2, LEN(F2)-FIND(",", F2)))</f>
        <v>-79.888639</v>
      </c>
    </row>
    <row r="3" spans="1:10" ht="30">
      <c r="A3" s="4">
        <v>2</v>
      </c>
      <c r="B3" s="5" t="s">
        <v>15</v>
      </c>
      <c r="C3" s="10" t="s">
        <v>16</v>
      </c>
      <c r="D3" s="4" t="s">
        <v>17</v>
      </c>
      <c r="E3" s="8"/>
      <c r="F3" s="9" t="s">
        <v>18</v>
      </c>
      <c r="G3" s="4" t="str">
        <f t="shared" si="0"/>
        <v>2°14'32.0"S</v>
      </c>
      <c r="H3" s="4" t="str">
        <f t="shared" si="1"/>
        <v>79°53'11.4"W</v>
      </c>
      <c r="I3" s="4" t="str">
        <f t="shared" si="2"/>
        <v xml:space="preserve">
-2.242235</v>
      </c>
      <c r="J3" s="4" t="str">
        <f t="shared" si="3"/>
        <v>-79.886503</v>
      </c>
    </row>
    <row r="4" spans="1:10" ht="30">
      <c r="A4" s="4">
        <v>3</v>
      </c>
      <c r="B4" s="5" t="s">
        <v>19</v>
      </c>
      <c r="C4" s="11" t="s">
        <v>20</v>
      </c>
      <c r="D4" s="4"/>
      <c r="E4" s="8"/>
      <c r="F4" s="9" t="s">
        <v>21</v>
      </c>
      <c r="G4" s="4" t="str">
        <f t="shared" si="0"/>
        <v>2°14'02.8"S</v>
      </c>
      <c r="H4" s="4" t="str">
        <f t="shared" si="1"/>
        <v>79°53'21.3"W</v>
      </c>
      <c r="I4" s="4" t="str">
        <f t="shared" si="2"/>
        <v xml:space="preserve">
-2.234105</v>
      </c>
      <c r="J4" s="4" t="str">
        <f t="shared" si="3"/>
        <v>-79.889259</v>
      </c>
    </row>
    <row r="5" spans="1:10" ht="30">
      <c r="A5" s="4">
        <v>4</v>
      </c>
      <c r="B5" s="5" t="s">
        <v>22</v>
      </c>
      <c r="C5" s="10" t="s">
        <v>23</v>
      </c>
      <c r="D5" s="4" t="s">
        <v>24</v>
      </c>
      <c r="E5" s="8"/>
      <c r="F5" s="9" t="s">
        <v>25</v>
      </c>
      <c r="G5" s="4" t="str">
        <f t="shared" si="0"/>
        <v>2°14'30.6"S</v>
      </c>
      <c r="H5" s="4" t="str">
        <f t="shared" si="1"/>
        <v>79°53'06.8"W</v>
      </c>
      <c r="I5" s="4" t="str">
        <f t="shared" si="2"/>
        <v xml:space="preserve">
-2.241824</v>
      </c>
      <c r="J5" s="4" t="str">
        <f t="shared" si="3"/>
        <v>-79.885218</v>
      </c>
    </row>
    <row r="6" spans="1:10" ht="30">
      <c r="A6" s="4">
        <v>5</v>
      </c>
      <c r="B6" s="5" t="s">
        <v>26</v>
      </c>
      <c r="C6" s="10" t="s">
        <v>27</v>
      </c>
      <c r="D6" s="4" t="s">
        <v>28</v>
      </c>
      <c r="E6" s="8"/>
      <c r="F6" s="9" t="s">
        <v>29</v>
      </c>
      <c r="G6" s="4" t="str">
        <f t="shared" si="0"/>
        <v>2°14'30.3"S</v>
      </c>
      <c r="H6" s="4" t="str">
        <f t="shared" si="1"/>
        <v>79°53'20.8"W</v>
      </c>
      <c r="I6" s="4" t="str">
        <f t="shared" si="2"/>
        <v xml:space="preserve">
-2.241744</v>
      </c>
      <c r="J6" s="4" t="str">
        <f t="shared" si="3"/>
        <v>-79.889109</v>
      </c>
    </row>
    <row r="7" spans="1:10" ht="30">
      <c r="A7" s="4">
        <v>6</v>
      </c>
      <c r="B7" s="5" t="s">
        <v>30</v>
      </c>
      <c r="C7" s="6" t="s">
        <v>31</v>
      </c>
      <c r="D7" s="4"/>
      <c r="E7" s="12"/>
      <c r="F7" s="9" t="s">
        <v>32</v>
      </c>
      <c r="G7" s="4" t="str">
        <f t="shared" si="0"/>
        <v>1°59'41.3"S</v>
      </c>
      <c r="H7" s="4" t="str">
        <f t="shared" si="1"/>
        <v>79°58'13.6"W</v>
      </c>
      <c r="I7" s="4" t="str">
        <f t="shared" si="2"/>
        <v xml:space="preserve">
-1.994801</v>
      </c>
      <c r="J7" s="4" t="str">
        <f t="shared" si="3"/>
        <v>-79.970431</v>
      </c>
    </row>
    <row r="8" spans="1:10" ht="30">
      <c r="A8" s="4">
        <v>7</v>
      </c>
      <c r="B8" s="5" t="s">
        <v>33</v>
      </c>
      <c r="C8" s="13" t="s">
        <v>34</v>
      </c>
      <c r="D8" s="8"/>
      <c r="E8" s="14"/>
      <c r="F8" s="15" t="s">
        <v>35</v>
      </c>
      <c r="G8" s="4" t="str">
        <f t="shared" si="0"/>
        <v>1°59'36.8"S</v>
      </c>
      <c r="H8" s="4" t="str">
        <f t="shared" si="1"/>
        <v>79°58'16.7"W</v>
      </c>
      <c r="I8" s="4" t="str">
        <f t="shared" si="2"/>
        <v xml:space="preserve">
-1.993547</v>
      </c>
      <c r="J8" s="4" t="str">
        <f t="shared" si="3"/>
        <v>-79.971307</v>
      </c>
    </row>
    <row r="9" spans="1:10" ht="30">
      <c r="A9" s="4">
        <v>8</v>
      </c>
      <c r="B9" s="5" t="s">
        <v>36</v>
      </c>
      <c r="C9" s="6" t="s">
        <v>37</v>
      </c>
      <c r="D9" s="4"/>
      <c r="E9" s="16"/>
      <c r="F9" s="9" t="s">
        <v>38</v>
      </c>
      <c r="G9" s="4" t="str">
        <f t="shared" si="0"/>
        <v>1°57'07.9"S</v>
      </c>
      <c r="H9" s="4" t="str">
        <f t="shared" si="1"/>
        <v>80°00'39.4"W</v>
      </c>
      <c r="I9" s="4" t="str">
        <f t="shared" si="2"/>
        <v xml:space="preserve">
-1.952183</v>
      </c>
      <c r="J9" s="4" t="str">
        <f t="shared" si="3"/>
        <v>-80.010942</v>
      </c>
    </row>
    <row r="10" spans="1:10" ht="30">
      <c r="A10" s="4">
        <v>9</v>
      </c>
      <c r="B10" s="5" t="s">
        <v>39</v>
      </c>
      <c r="C10" s="6" t="s">
        <v>40</v>
      </c>
      <c r="D10" s="7" t="s">
        <v>41</v>
      </c>
      <c r="E10" s="8"/>
      <c r="F10" s="9" t="s">
        <v>38</v>
      </c>
      <c r="G10" s="4" t="str">
        <f t="shared" si="0"/>
        <v>1°57'07.9"S</v>
      </c>
      <c r="H10" s="4" t="str">
        <f t="shared" si="1"/>
        <v>80°00'39.4"W</v>
      </c>
      <c r="I10" s="4" t="str">
        <f t="shared" si="2"/>
        <v xml:space="preserve">
-1.952183</v>
      </c>
      <c r="J10" s="4" t="str">
        <f t="shared" si="3"/>
        <v>-80.010942</v>
      </c>
    </row>
    <row r="11" spans="1:10" ht="30">
      <c r="A11" s="4">
        <v>10</v>
      </c>
      <c r="B11" s="5" t="s">
        <v>42</v>
      </c>
      <c r="C11" s="6" t="s">
        <v>43</v>
      </c>
      <c r="D11" s="4"/>
      <c r="E11" s="8"/>
      <c r="F11" s="9" t="s">
        <v>44</v>
      </c>
      <c r="G11" s="4" t="str">
        <f t="shared" si="0"/>
        <v>1°50'27.1"S</v>
      </c>
      <c r="H11" s="4" t="str">
        <f t="shared" si="1"/>
        <v>80°13'20.0"W</v>
      </c>
      <c r="I11" s="4" t="str">
        <f t="shared" si="2"/>
        <v xml:space="preserve">
-1.840854</v>
      </c>
      <c r="J11" s="4" t="str">
        <f t="shared" si="3"/>
        <v>-80.222216</v>
      </c>
    </row>
    <row r="12" spans="1:10" ht="30">
      <c r="A12" s="4">
        <v>11</v>
      </c>
      <c r="B12" s="5" t="s">
        <v>45</v>
      </c>
      <c r="C12" s="10" t="s">
        <v>46</v>
      </c>
      <c r="D12" s="4"/>
      <c r="E12" s="8"/>
      <c r="F12" s="9" t="s">
        <v>47</v>
      </c>
      <c r="G12" s="4" t="str">
        <f t="shared" si="0"/>
        <v>2°08'44.1"S</v>
      </c>
      <c r="H12" s="4" t="str">
        <f t="shared" si="1"/>
        <v>79°52'58.1"W</v>
      </c>
      <c r="I12" s="4" t="str">
        <f t="shared" si="2"/>
        <v xml:space="preserve">
-2.145583</v>
      </c>
      <c r="J12" s="4" t="str">
        <f t="shared" si="3"/>
        <v>-79.882802</v>
      </c>
    </row>
    <row r="13" spans="1:10" ht="30">
      <c r="A13" s="4">
        <v>12</v>
      </c>
      <c r="B13" s="5" t="s">
        <v>48</v>
      </c>
      <c r="C13" s="10" t="s">
        <v>49</v>
      </c>
      <c r="D13" s="4"/>
      <c r="E13" s="8"/>
      <c r="F13" s="9" t="s">
        <v>50</v>
      </c>
      <c r="G13" s="4" t="str">
        <f t="shared" si="0"/>
        <v>2°08'43.6"S</v>
      </c>
      <c r="H13" s="4" t="str">
        <f t="shared" si="1"/>
        <v>79°52'59.0"W</v>
      </c>
      <c r="I13" s="4" t="str">
        <f t="shared" si="2"/>
        <v xml:space="preserve">
-2.145438</v>
      </c>
      <c r="J13" s="4" t="str">
        <f t="shared" si="3"/>
        <v>-79.883062</v>
      </c>
    </row>
    <row r="14" spans="1:10" ht="30">
      <c r="A14" s="4">
        <v>13</v>
      </c>
      <c r="B14" s="5" t="s">
        <v>51</v>
      </c>
      <c r="C14" s="6" t="s">
        <v>52</v>
      </c>
      <c r="D14" s="4"/>
      <c r="E14" s="8"/>
      <c r="F14" s="9" t="s">
        <v>53</v>
      </c>
      <c r="G14" s="4" t="str">
        <f t="shared" si="0"/>
        <v>2°08'59.2"S</v>
      </c>
      <c r="H14" s="4" t="str">
        <f t="shared" si="1"/>
        <v>79°54'05.1"W</v>
      </c>
      <c r="I14" s="4" t="str">
        <f t="shared" si="2"/>
        <v xml:space="preserve">
-2.149787</v>
      </c>
      <c r="J14" s="4" t="str">
        <f t="shared" si="3"/>
        <v>-79.901419</v>
      </c>
    </row>
    <row r="15" spans="1:10" ht="30">
      <c r="A15" s="4">
        <v>14</v>
      </c>
      <c r="B15" s="5" t="s">
        <v>54</v>
      </c>
      <c r="C15" s="17" t="s">
        <v>55</v>
      </c>
      <c r="D15" s="4"/>
      <c r="E15" s="8"/>
      <c r="F15" s="9" t="s">
        <v>56</v>
      </c>
      <c r="G15" s="4" t="str">
        <f t="shared" si="0"/>
        <v>2°02'05.3"S</v>
      </c>
      <c r="H15" s="4" t="str">
        <f t="shared" si="1"/>
        <v>79°52'14.9"W</v>
      </c>
      <c r="I15" s="4" t="str">
        <f t="shared" si="2"/>
        <v xml:space="preserve">
-2.034816</v>
      </c>
      <c r="J15" s="4" t="str">
        <f t="shared" si="3"/>
        <v>-79.870793</v>
      </c>
    </row>
    <row r="16" spans="1:10" ht="30">
      <c r="A16" s="4">
        <v>15</v>
      </c>
      <c r="B16" s="5" t="s">
        <v>57</v>
      </c>
      <c r="C16" s="18" t="s">
        <v>58</v>
      </c>
      <c r="D16" s="4"/>
      <c r="E16" s="8"/>
      <c r="F16" s="9" t="s">
        <v>59</v>
      </c>
      <c r="G16" s="4" t="str">
        <f t="shared" si="0"/>
        <v>2°03'49.6"S</v>
      </c>
      <c r="H16" s="4" t="str">
        <f t="shared" si="1"/>
        <v>79°58'14.6"W</v>
      </c>
      <c r="I16" s="4" t="str">
        <f t="shared" si="2"/>
        <v xml:space="preserve">
-2.063782</v>
      </c>
      <c r="J16" s="4" t="str">
        <f t="shared" si="3"/>
        <v>-79.970716</v>
      </c>
    </row>
    <row r="17" spans="1:10" ht="15.75">
      <c r="A17" s="4">
        <v>16</v>
      </c>
      <c r="B17" s="5" t="s">
        <v>60</v>
      </c>
      <c r="C17" s="19" t="s">
        <v>61</v>
      </c>
      <c r="D17" s="4"/>
      <c r="E17" s="8"/>
      <c r="F17" s="8"/>
      <c r="G17" s="4" t="e">
        <f t="shared" si="0"/>
        <v>#VALUE!</v>
      </c>
      <c r="H17" s="4" t="e">
        <f t="shared" si="1"/>
        <v>#VALUE!</v>
      </c>
      <c r="I17" s="4" t="e">
        <f t="shared" si="2"/>
        <v>#VALUE!</v>
      </c>
      <c r="J17" s="4" t="e">
        <f t="shared" si="3"/>
        <v>#VALUE!</v>
      </c>
    </row>
    <row r="18" spans="1:10" ht="15.75">
      <c r="A18" s="4">
        <v>17</v>
      </c>
      <c r="B18" s="5" t="s">
        <v>62</v>
      </c>
      <c r="C18" s="19" t="s">
        <v>63</v>
      </c>
      <c r="D18" s="4"/>
      <c r="E18" s="8"/>
      <c r="F18" s="8"/>
      <c r="G18" s="4" t="e">
        <f t="shared" si="0"/>
        <v>#VALUE!</v>
      </c>
      <c r="H18" s="4" t="e">
        <f t="shared" si="1"/>
        <v>#VALUE!</v>
      </c>
      <c r="I18" s="4" t="e">
        <f t="shared" si="2"/>
        <v>#VALUE!</v>
      </c>
      <c r="J18" s="4" t="e">
        <f t="shared" si="3"/>
        <v>#VALUE!</v>
      </c>
    </row>
    <row r="19" spans="1:10" ht="30">
      <c r="A19" s="4">
        <v>18</v>
      </c>
      <c r="B19" s="5" t="s">
        <v>64</v>
      </c>
      <c r="C19" s="19" t="s">
        <v>65</v>
      </c>
      <c r="D19" s="4"/>
      <c r="E19" s="8"/>
      <c r="F19" s="9" t="s">
        <v>66</v>
      </c>
      <c r="G19" s="4" t="str">
        <f t="shared" si="0"/>
        <v>0°09'37.4"S</v>
      </c>
      <c r="H19" s="4" t="str">
        <f t="shared" si="1"/>
        <v>78°28'59.4"W</v>
      </c>
      <c r="I19" s="4" t="str">
        <f t="shared" si="2"/>
        <v xml:space="preserve">
-0.160398</v>
      </c>
      <c r="J19" s="4" t="str">
        <f t="shared" si="3"/>
        <v>-78.483172</v>
      </c>
    </row>
    <row r="20" spans="1:10" ht="105">
      <c r="A20" s="4">
        <v>19</v>
      </c>
      <c r="B20" s="5" t="s">
        <v>67</v>
      </c>
      <c r="C20" s="20" t="s">
        <v>68</v>
      </c>
      <c r="D20" s="7" t="s">
        <v>69</v>
      </c>
      <c r="E20" s="8"/>
      <c r="F20" s="9" t="s">
        <v>70</v>
      </c>
      <c r="G20" s="4" t="str">
        <f t="shared" si="0"/>
        <v>0°58'01.1"S</v>
      </c>
      <c r="H20" s="4" t="str">
        <f t="shared" si="1"/>
        <v>80°39'47.5"W</v>
      </c>
      <c r="I20" s="4" t="str">
        <f t="shared" si="2"/>
        <v xml:space="preserve">
-0.966968</v>
      </c>
      <c r="J20" s="4" t="str">
        <f t="shared" si="3"/>
        <v>-80.663182</v>
      </c>
    </row>
    <row r="21" spans="1:10" ht="30">
      <c r="A21" s="4">
        <v>20</v>
      </c>
      <c r="B21" s="5" t="s">
        <v>71</v>
      </c>
      <c r="C21" s="19" t="s">
        <v>72</v>
      </c>
      <c r="D21" s="4"/>
      <c r="E21" s="8"/>
      <c r="F21" s="9" t="s">
        <v>73</v>
      </c>
      <c r="G21" s="4" t="str">
        <f t="shared" si="0"/>
        <v>1°51'21.5"S</v>
      </c>
      <c r="H21" s="4" t="str">
        <f t="shared" si="1"/>
        <v>79°33'11.5"W</v>
      </c>
      <c r="I21" s="4" t="str">
        <f t="shared" si="2"/>
        <v xml:space="preserve">
-1.855979</v>
      </c>
      <c r="J21" s="4" t="str">
        <f t="shared" si="3"/>
        <v>-79.553179</v>
      </c>
    </row>
    <row r="22" spans="1:10" ht="15.75">
      <c r="A22" s="4">
        <v>21</v>
      </c>
      <c r="B22" s="5" t="s">
        <v>74</v>
      </c>
      <c r="C22" s="19" t="s">
        <v>75</v>
      </c>
      <c r="D22" s="4"/>
      <c r="E22" s="8"/>
      <c r="F22" s="8"/>
      <c r="G22" s="4" t="e">
        <f t="shared" si="0"/>
        <v>#VALUE!</v>
      </c>
      <c r="H22" s="4" t="e">
        <f t="shared" si="1"/>
        <v>#VALUE!</v>
      </c>
      <c r="I22" s="4" t="e">
        <f t="shared" si="2"/>
        <v>#VALUE!</v>
      </c>
      <c r="J22" s="4" t="e">
        <f t="shared" si="3"/>
        <v>#VALUE!</v>
      </c>
    </row>
    <row r="23" spans="1:10">
      <c r="A23" s="4">
        <v>22</v>
      </c>
      <c r="B23" s="5" t="s">
        <v>76</v>
      </c>
      <c r="C23" s="5" t="str">
        <f>UPPER(B23)</f>
        <v>FADESA CHIMBOTE</v>
      </c>
      <c r="D23" s="4"/>
      <c r="E23" s="8"/>
      <c r="F23" s="8"/>
      <c r="G23" s="4" t="e">
        <f t="shared" si="0"/>
        <v>#VALUE!</v>
      </c>
      <c r="H23" s="4" t="e">
        <f t="shared" si="1"/>
        <v>#VALUE!</v>
      </c>
      <c r="I23" s="4" t="e">
        <f t="shared" si="2"/>
        <v>#VALUE!</v>
      </c>
      <c r="J23" s="4" t="e">
        <f t="shared" si="3"/>
        <v>#VALUE!</v>
      </c>
    </row>
    <row r="24" spans="1:10" ht="15.75">
      <c r="A24" s="4">
        <v>23</v>
      </c>
      <c r="B24" s="5" t="s">
        <v>77</v>
      </c>
      <c r="C24" s="21" t="s">
        <v>78</v>
      </c>
      <c r="D24" s="4"/>
      <c r="E24" s="8"/>
      <c r="F24" s="8"/>
      <c r="G24" s="4" t="e">
        <f t="shared" si="0"/>
        <v>#VALUE!</v>
      </c>
      <c r="H24" s="4" t="e">
        <f t="shared" si="1"/>
        <v>#VALUE!</v>
      </c>
      <c r="I24" s="4" t="e">
        <f t="shared" si="2"/>
        <v>#VALUE!</v>
      </c>
      <c r="J24" s="4" t="e">
        <f t="shared" si="3"/>
        <v>#VALUE!</v>
      </c>
    </row>
    <row r="25" spans="1:10">
      <c r="A25" s="4">
        <v>24</v>
      </c>
      <c r="B25" s="5" t="s">
        <v>79</v>
      </c>
      <c r="C25" s="5" t="str">
        <f>UPPER(B25)</f>
        <v>LA LLAVE VES, LIMA</v>
      </c>
      <c r="D25" s="4"/>
      <c r="E25" s="8"/>
      <c r="F25" s="8"/>
      <c r="G25" s="4" t="e">
        <f t="shared" si="0"/>
        <v>#VALUE!</v>
      </c>
      <c r="H25" s="4" t="e">
        <f t="shared" si="1"/>
        <v>#VALUE!</v>
      </c>
      <c r="I25" s="4" t="e">
        <f t="shared" si="2"/>
        <v>#VALUE!</v>
      </c>
      <c r="J25" s="4" t="e">
        <f t="shared" si="3"/>
        <v>#VALUE!</v>
      </c>
    </row>
    <row r="26" spans="1:10">
      <c r="A26" s="4">
        <v>25</v>
      </c>
      <c r="B26" s="5" t="s">
        <v>80</v>
      </c>
      <c r="C26" s="5" t="str">
        <f>UPPER(B26)</f>
        <v>LA LLAVE BOLIVIA</v>
      </c>
      <c r="D26" s="4"/>
      <c r="E26" s="8"/>
      <c r="F26" s="8"/>
      <c r="G26" s="4" t="e">
        <f t="shared" si="0"/>
        <v>#VALUE!</v>
      </c>
      <c r="H26" s="4" t="e">
        <f t="shared" si="1"/>
        <v>#VALUE!</v>
      </c>
      <c r="I26" s="4" t="e">
        <f t="shared" si="2"/>
        <v>#VALUE!</v>
      </c>
      <c r="J26" s="4" t="e">
        <f t="shared" si="3"/>
        <v>#VALUE!</v>
      </c>
    </row>
    <row r="27" spans="1:10">
      <c r="A27" s="4">
        <v>26</v>
      </c>
      <c r="B27" s="5" t="s">
        <v>81</v>
      </c>
      <c r="C27" s="5" t="str">
        <f>UPPER(B27)</f>
        <v>FADESA BARRANQUILLA</v>
      </c>
      <c r="D27" s="4"/>
      <c r="E27" s="8"/>
      <c r="F27" s="8"/>
      <c r="G27" s="4" t="e">
        <f t="shared" si="0"/>
        <v>#VALUE!</v>
      </c>
      <c r="H27" s="4" t="e">
        <f t="shared" si="1"/>
        <v>#VALUE!</v>
      </c>
      <c r="I27" s="4" t="e">
        <f t="shared" si="2"/>
        <v>#VALUE!</v>
      </c>
      <c r="J27" s="4" t="e">
        <f t="shared" si="3"/>
        <v>#VALUE!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Vizcaino Pazmino, Marco David</dc:creator>
  <cp:lastModifiedBy>Vizcaino Pazmino, Marco David</cp:lastModifiedBy>
  <dcterms:created xsi:type="dcterms:W3CDTF">2026-03-09T20:06:40Z</dcterms:created>
  <dcterms:modified xsi:type="dcterms:W3CDTF">2026-03-09T20:08:34Z</dcterms:modified>
</cp:coreProperties>
</file>