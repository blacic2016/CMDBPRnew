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13_ncr:1_{ED16CB7E-02D9-4D2A-844E-5B56D160F536}" xr6:coauthVersionLast="47" xr6:coauthVersionMax="47" xr10:uidLastSave="{00000000-0000-0000-0000-000000000000}"/>
  <bookViews>
    <workbookView xWindow="28680" yWindow="-120" windowWidth="24240" windowHeight="13020" tabRatio="674" activeTab="1" xr2:uid="{00000000-000D-0000-FFFF-FFFF00000000}"/>
  </bookViews>
  <sheets>
    <sheet name="LOCALIDADES" sheetId="11" r:id="rId1"/>
    <sheet name="EQUIPOS" sheetId="16" r:id="rId2"/>
    <sheet name="SERVERS VIRTUALES" sheetId="1" r:id="rId3"/>
    <sheet name="AP" sheetId="7" r:id="rId4"/>
    <sheet name="SERVERS FÍSICOS" sheetId="3" r:id="rId5"/>
    <sheet name="PLATAFORMAS " sheetId="10" r:id="rId6"/>
    <sheet name="FIREWALL" sheetId="8" r:id="rId7"/>
    <sheet name="UPS" sheetId="6" r:id="rId8"/>
    <sheet name="SERVICIOS" sheetId="2" r:id="rId9"/>
  </sheets>
  <definedNames>
    <definedName name="_xlnm._FilterDatabase" localSheetId="3" hidden="1">AP!$A$1:$O$142</definedName>
    <definedName name="_xlnm._FilterDatabase" localSheetId="1" hidden="1">EQUIPOS!$A$1:$V$155</definedName>
    <definedName name="_xlnm._FilterDatabase" localSheetId="6" hidden="1">FIREWALL!$B$1:$Q$36</definedName>
    <definedName name="_xlnm._FilterDatabase" localSheetId="4" hidden="1">'SERVERS FÍSICOS'!$A$1:$U$36</definedName>
    <definedName name="_xlnm._FilterDatabase" localSheetId="2" hidden="1">'SERVERS VIRTUALES'!$A$1:$X$62</definedName>
    <definedName name="_xlnm._FilterDatabase" localSheetId="7" hidden="1">UPS!$B$1:$R$54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UwqKd/Kpz0i9Kt8jxdHkmdyB8WrQVF+HGIofF295wc=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2" i="1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146" i="16"/>
  <c r="K147" i="16"/>
  <c r="K148" i="16"/>
  <c r="K149" i="16"/>
  <c r="K150" i="16"/>
  <c r="K151" i="16"/>
  <c r="K152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53" i="16"/>
  <c r="K154" i="16"/>
  <c r="K155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146" i="16"/>
  <c r="F147" i="16"/>
  <c r="F148" i="16"/>
  <c r="F149" i="16"/>
  <c r="F150" i="16"/>
  <c r="F151" i="16"/>
  <c r="F152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53" i="16"/>
  <c r="F154" i="16"/>
  <c r="F155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2" i="16"/>
  <c r="A10" i="6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6" i="6"/>
  <c r="A7" i="6" s="1"/>
  <c r="A8" i="6" s="1"/>
  <c r="A9" i="6" s="1"/>
  <c r="A7" i="8"/>
  <c r="A8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tc={B1091D2F-9D89-4DE5-84AD-C6082A0767ED}</author>
  </authors>
  <commentList>
    <comment ref="K19" authorId="0" shapeId="0" xr:uid="{B1091D2F-9D89-4DE5-84AD-C6082A076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IP con Javier si es 181.188.209.107 ó 10.85.02</t>
      </text>
    </comment>
  </commentList>
</comments>
</file>

<file path=xl/sharedStrings.xml><?xml version="1.0" encoding="utf-8"?>
<sst xmlns="http://schemas.openxmlformats.org/spreadsheetml/2006/main" count="7544" uniqueCount="2240">
  <si>
    <t>LOCALIDADES</t>
  </si>
  <si>
    <t>NOVEDADES ENCONTRADAS</t>
  </si>
  <si>
    <t xml:space="preserve">AFECTACIÓN </t>
  </si>
  <si>
    <t>Fadesa Metales GYE</t>
  </si>
  <si>
    <t>Rack RRHH: Cableado desordenadot (fideo) 
Rack Taller: Filtración de Agua en la pared</t>
  </si>
  <si>
    <t>Disponibilidad</t>
  </si>
  <si>
    <t>Fadesa Plásticos GYE</t>
  </si>
  <si>
    <t>Se encontró 1 UPS de los 5 que aparecen en inventario.</t>
  </si>
  <si>
    <t>Fadesa Metales El Universo</t>
  </si>
  <si>
    <t>Dalkasa</t>
  </si>
  <si>
    <t>Se encontró AP Rujie dentro de Rack.</t>
  </si>
  <si>
    <t>Fadesa Plásticos Jutecero</t>
  </si>
  <si>
    <t>Rack: Puerta lateral con cerradura dañada.</t>
  </si>
  <si>
    <t>Semvra Daule GYE</t>
  </si>
  <si>
    <t>Ecuabarnices GYE</t>
  </si>
  <si>
    <t>Chivería</t>
  </si>
  <si>
    <t>Semvra Ecuador - Chivería</t>
  </si>
  <si>
    <t>Semvra Sabanilla</t>
  </si>
  <si>
    <t>Semvra Sky Building</t>
  </si>
  <si>
    <t>Inmovila _ Sky Building</t>
  </si>
  <si>
    <t>La Llave - Ecuaimco</t>
  </si>
  <si>
    <t xml:space="preserve">Vilanova </t>
  </si>
  <si>
    <t>Bonavila</t>
  </si>
  <si>
    <t>Fadesa Metales UIO</t>
  </si>
  <si>
    <t>Semvra Chivería Quito</t>
  </si>
  <si>
    <t>La Llave Quito</t>
  </si>
  <si>
    <t>Fadesa Metales Manta</t>
  </si>
  <si>
    <t xml:space="preserve">Puntos Red: Sin uso activos, punto inconcluso.
Se encontró el cuarto con una temperatura de 38° a 40°.
No hay referencias en la documentación que nos proporcionaron para poder ubicar los puntos de red
</t>
  </si>
  <si>
    <t>Semvra Babahoyo</t>
  </si>
  <si>
    <t>Fadesa Callao</t>
  </si>
  <si>
    <t>Fadesa Chimbote</t>
  </si>
  <si>
    <t>La Llave San Isidro</t>
  </si>
  <si>
    <t>La Llave VES, Lima</t>
  </si>
  <si>
    <t>La Llave Bolivia</t>
  </si>
  <si>
    <t>Fadesa Barranquilla</t>
  </si>
  <si>
    <t>id</t>
  </si>
  <si>
    <t>Area</t>
  </si>
  <si>
    <t>Estado</t>
  </si>
  <si>
    <t>Observaciones</t>
  </si>
  <si>
    <t>NA</t>
  </si>
  <si>
    <t xml:space="preserve">SEMVRA </t>
  </si>
  <si>
    <t>GVA032</t>
  </si>
  <si>
    <t>10.0.1.64</t>
  </si>
  <si>
    <t>VIRTUAL</t>
  </si>
  <si>
    <t>2012 R2 STD</t>
  </si>
  <si>
    <t>DATIL TROPI</t>
  </si>
  <si>
    <t>SSC</t>
  </si>
  <si>
    <t>JOSE PESANTES</t>
  </si>
  <si>
    <t>Apagado</t>
  </si>
  <si>
    <t>TABLA UMBRALES</t>
  </si>
  <si>
    <t>GVA033</t>
  </si>
  <si>
    <t>10.0.1.33</t>
  </si>
  <si>
    <t>2019 STD</t>
  </si>
  <si>
    <t>QUICKBOOK</t>
  </si>
  <si>
    <t>Activo</t>
  </si>
  <si>
    <t>GVA034</t>
  </si>
  <si>
    <t>10.0.1.34</t>
  </si>
  <si>
    <t>2016 STD</t>
  </si>
  <si>
    <t>RPA ROBOT</t>
  </si>
  <si>
    <t>GVA045</t>
  </si>
  <si>
    <t>10.0.1.177</t>
  </si>
  <si>
    <t>2022 STD</t>
  </si>
  <si>
    <t xml:space="preserve">RPA  COMERCIAL </t>
  </si>
  <si>
    <t>GVA130</t>
  </si>
  <si>
    <t>10.0.1.230</t>
  </si>
  <si>
    <t>BDD AURORA</t>
  </si>
  <si>
    <t>GVA030</t>
  </si>
  <si>
    <t>10.255.255.230</t>
  </si>
  <si>
    <t>AURORA</t>
  </si>
  <si>
    <t>UNE</t>
  </si>
  <si>
    <t>GVAE20</t>
  </si>
  <si>
    <t>10.0.1.20</t>
  </si>
  <si>
    <t>2012 R2</t>
  </si>
  <si>
    <t>SQL 2014 DB CONSOLIDADAS / HIST</t>
  </si>
  <si>
    <t>GV030</t>
  </si>
  <si>
    <t>10.0.1.30</t>
  </si>
  <si>
    <t>IIS SinpleProduccion / Web UNE / HIST</t>
  </si>
  <si>
    <t>GVCAE042</t>
  </si>
  <si>
    <t>10.0.1.122</t>
  </si>
  <si>
    <t>2008 R2 x64</t>
  </si>
  <si>
    <t>VDA UNE</t>
  </si>
  <si>
    <t>GVE022</t>
  </si>
  <si>
    <t>10.0.1.48</t>
  </si>
  <si>
    <t>SQL 2016</t>
  </si>
  <si>
    <t>GVE051</t>
  </si>
  <si>
    <t>10.0.1.207</t>
  </si>
  <si>
    <t>Dynamics AX/FS/BI GW /Safetica</t>
  </si>
  <si>
    <t>GVE052</t>
  </si>
  <si>
    <t>10.0.1.96</t>
  </si>
  <si>
    <t>SCADA ECB</t>
  </si>
  <si>
    <t>GVCAE045</t>
  </si>
  <si>
    <t>10.0.1.102</t>
  </si>
  <si>
    <t>APP's RDS</t>
  </si>
  <si>
    <t>GVE055</t>
  </si>
  <si>
    <t>10.255.255.89</t>
  </si>
  <si>
    <t>HR DMZ EBS / miportalgv.com</t>
  </si>
  <si>
    <t>GVE056</t>
  </si>
  <si>
    <t>10.0.1.107</t>
  </si>
  <si>
    <t>Siemens - Simatic</t>
  </si>
  <si>
    <t>GVE058</t>
  </si>
  <si>
    <t>10.0.1.90</t>
  </si>
  <si>
    <t>AppBalanza
AppCalidad
AppPicking
AppReproceso
AppSISO
AppSCE
FTPAppBalanza
Operaciones
PickingDespacho
Safetica Web Site
SimulacionSAP
TraspasosAPI
WebServicesDespacho
FGVS
CEP
Dep Indust
Invent TI
Sinple Prod</t>
  </si>
  <si>
    <t>GVE034</t>
  </si>
  <si>
    <t>10.0.1.45</t>
  </si>
  <si>
    <t>PERU</t>
  </si>
  <si>
    <t>UNS</t>
  </si>
  <si>
    <t>GVS032</t>
  </si>
  <si>
    <t>10.0.1.191</t>
  </si>
  <si>
    <t>2012 R2 64 bits</t>
  </si>
  <si>
    <t>Servidor Facturacion Electronica</t>
  </si>
  <si>
    <t>GVS070</t>
  </si>
  <si>
    <t>10.0.1.105</t>
  </si>
  <si>
    <t>2019 64 bits</t>
  </si>
  <si>
    <t>SERVIDOR DE BASE DE DATOS</t>
  </si>
  <si>
    <t>GVS072</t>
  </si>
  <si>
    <t>10.0.1.117</t>
  </si>
  <si>
    <t>Servidor de Presentacion DVA - La Llave ECUADOR / DALKASA</t>
  </si>
  <si>
    <t>GVS064</t>
  </si>
  <si>
    <t>10.0.1.109</t>
  </si>
  <si>
    <t>GVS066</t>
  </si>
  <si>
    <t>10.0.1.110</t>
  </si>
  <si>
    <t>SERVIDOR DE PRESENTACION</t>
  </si>
  <si>
    <t>GVS067</t>
  </si>
  <si>
    <t>10.0.1.111</t>
  </si>
  <si>
    <t>GVS069</t>
  </si>
  <si>
    <t>10.0.1.112</t>
  </si>
  <si>
    <t>2019 R2 64 bits</t>
  </si>
  <si>
    <t>GVS074</t>
  </si>
  <si>
    <t>10.0.1.120</t>
  </si>
  <si>
    <t>2019 STD 64 bits</t>
  </si>
  <si>
    <t>QS - Toda UNS</t>
  </si>
  <si>
    <t>GVS076</t>
  </si>
  <si>
    <t>10.0.1.76</t>
  </si>
  <si>
    <t>EquipoRPA(Dalkasa/Ecuaimco)</t>
  </si>
  <si>
    <t>GVS077</t>
  </si>
  <si>
    <t>10.0.1.77</t>
  </si>
  <si>
    <t>EquipoRPA(LLAVE)</t>
  </si>
  <si>
    <t>GVS078</t>
  </si>
  <si>
    <t>10.0.1.78</t>
  </si>
  <si>
    <t>EquipoRPA(Perú)</t>
  </si>
  <si>
    <t>GVC045</t>
  </si>
  <si>
    <t>10.0.1.50</t>
  </si>
  <si>
    <t>2022 STD  64 bits</t>
  </si>
  <si>
    <t>License server 2019 RDP - Toda UNS</t>
  </si>
  <si>
    <t>GVS085</t>
  </si>
  <si>
    <t>10.255.255.207</t>
  </si>
  <si>
    <t xml:space="preserve">Integrador de Potencie y Iclass, La llave Ecuador </t>
  </si>
  <si>
    <t>GVS086</t>
  </si>
  <si>
    <t>10.255.255.210</t>
  </si>
  <si>
    <t xml:space="preserve">Integrador Iclass, La llave Perú </t>
  </si>
  <si>
    <t>GVS087</t>
  </si>
  <si>
    <t>10.255.255.208</t>
  </si>
  <si>
    <t>Web service de MyDealer, Ecuaimco y Dalkasa</t>
  </si>
  <si>
    <t>GVS090</t>
  </si>
  <si>
    <t>10.255.255.197</t>
  </si>
  <si>
    <t>Base de datos de todas las integraciones, UNS Potencie</t>
  </si>
  <si>
    <t>GVS091</t>
  </si>
  <si>
    <t>10.255.255.136</t>
  </si>
  <si>
    <t>Servidor de Desarrollo/ Hunter /SGD - Todo UNS / SGD GV</t>
  </si>
  <si>
    <t>CORP</t>
  </si>
  <si>
    <t>GVC020</t>
  </si>
  <si>
    <t>10.0.1.40</t>
  </si>
  <si>
    <t>Ubuntu Linux</t>
  </si>
  <si>
    <t>MONITOREO</t>
  </si>
  <si>
    <t>GVC030</t>
  </si>
  <si>
    <t>WEB BI</t>
  </si>
  <si>
    <t>GVC021</t>
  </si>
  <si>
    <t>10.0.1.226</t>
  </si>
  <si>
    <t>DB BI</t>
  </si>
  <si>
    <t>GVC032</t>
  </si>
  <si>
    <t>10.0.1.32</t>
  </si>
  <si>
    <t>IIS DATIL / IBP Desarrollo/EFI &amp; ORION</t>
  </si>
  <si>
    <t>GV001</t>
  </si>
  <si>
    <t>10.0.1.2</t>
  </si>
  <si>
    <t>AD</t>
  </si>
  <si>
    <t>CORP/UNE/UNA</t>
  </si>
  <si>
    <t>GVCAE021</t>
  </si>
  <si>
    <t>10.0.1.21</t>
  </si>
  <si>
    <t>DB Evol</t>
  </si>
  <si>
    <t>CORP/UNE/UNA/UNI</t>
  </si>
  <si>
    <t>GVCAE044</t>
  </si>
  <si>
    <t>10.0.1.162</t>
  </si>
  <si>
    <t>CITRIX</t>
  </si>
  <si>
    <t>WEBSERVER-NEW</t>
  </si>
  <si>
    <t>10.255.255.95</t>
  </si>
  <si>
    <t>2022 STD x64</t>
  </si>
  <si>
    <t>Vilasip</t>
  </si>
  <si>
    <t>GVC035</t>
  </si>
  <si>
    <t>10.0.1.101</t>
  </si>
  <si>
    <t>WEB DOC M-File / SERVICIO</t>
  </si>
  <si>
    <t>GVC024</t>
  </si>
  <si>
    <t>10.0.1.39</t>
  </si>
  <si>
    <t>BD Document Management</t>
  </si>
  <si>
    <t>GVC023</t>
  </si>
  <si>
    <t>10.0.1.133</t>
  </si>
  <si>
    <t>GVC026</t>
  </si>
  <si>
    <t>10.0.1.47</t>
  </si>
  <si>
    <t>DB / Web Biométricos GV / Oracle</t>
  </si>
  <si>
    <t>GVC040</t>
  </si>
  <si>
    <t>10.0.1.119</t>
  </si>
  <si>
    <t>2016 Standard V2</t>
  </si>
  <si>
    <t>DDC Citrix</t>
  </si>
  <si>
    <t>GVC041</t>
  </si>
  <si>
    <t>10.0.1.203</t>
  </si>
  <si>
    <t>NetScaler-VPX-1</t>
  </si>
  <si>
    <t>10.0.1.251</t>
  </si>
  <si>
    <t>NS LINUX</t>
  </si>
  <si>
    <t>NetScaler-VPX-2</t>
  </si>
  <si>
    <t>10.0.1.4</t>
  </si>
  <si>
    <t>GV020</t>
  </si>
  <si>
    <t>10.0.1.25</t>
  </si>
  <si>
    <t>DB Sinple</t>
  </si>
  <si>
    <t xml:space="preserve">Apagado </t>
  </si>
  <si>
    <t>GVC050</t>
  </si>
  <si>
    <t>10.0.1.10</t>
  </si>
  <si>
    <t>Win 2016 STD</t>
  </si>
  <si>
    <t>SAP IBP Production</t>
  </si>
  <si>
    <t>GVC051</t>
  </si>
  <si>
    <t xml:space="preserve">10.0.1.223 </t>
  </si>
  <si>
    <t>citrix VDA evolution</t>
  </si>
  <si>
    <t>GVCAE046</t>
  </si>
  <si>
    <t>10.0.1.222</t>
  </si>
  <si>
    <t>RDS - Aplicaciones nuevas</t>
  </si>
  <si>
    <t>SRVPache</t>
  </si>
  <si>
    <t>10.0.1.91</t>
  </si>
  <si>
    <t>WSUS</t>
  </si>
  <si>
    <t>GVC052</t>
  </si>
  <si>
    <t>10.0.1.52</t>
  </si>
  <si>
    <t>AD Manager</t>
  </si>
  <si>
    <t>GVC053</t>
  </si>
  <si>
    <t>10.255.255.53</t>
  </si>
  <si>
    <t>AD Self-Services</t>
  </si>
  <si>
    <t>GVDEVSRV01</t>
  </si>
  <si>
    <t>10.20.30.23</t>
  </si>
  <si>
    <t>DESARROLLO</t>
  </si>
  <si>
    <t xml:space="preserve">Domain Controller </t>
  </si>
  <si>
    <t>GVDEVIIS01</t>
  </si>
  <si>
    <t>10.20.30.20</t>
  </si>
  <si>
    <t>RDS Server</t>
  </si>
  <si>
    <t>GVDEVSQL01</t>
  </si>
  <si>
    <t>10.20.30.21</t>
  </si>
  <si>
    <t>MS SQL Server</t>
  </si>
  <si>
    <t>GVDEVRDS01</t>
  </si>
  <si>
    <t>10.20.30.22</t>
  </si>
  <si>
    <t>IIS Server</t>
  </si>
  <si>
    <t>Unidad</t>
  </si>
  <si>
    <t>Empresa</t>
  </si>
  <si>
    <t>Localidad</t>
  </si>
  <si>
    <t>Rentado</t>
  </si>
  <si>
    <t>Codigo provedor</t>
  </si>
  <si>
    <t>Tipo</t>
  </si>
  <si>
    <t>Marca</t>
  </si>
  <si>
    <t>Modelo</t>
  </si>
  <si>
    <t>Serie</t>
  </si>
  <si>
    <t>Estado equipos</t>
  </si>
  <si>
    <t>Dirección IP</t>
  </si>
  <si>
    <t>Existencia 
On Site</t>
  </si>
  <si>
    <t>Existe según 
Inventario ILUM</t>
  </si>
  <si>
    <t>Custodio</t>
  </si>
  <si>
    <t>ESTADO</t>
  </si>
  <si>
    <t>Llave PE</t>
  </si>
  <si>
    <t>Perú - San Isidro</t>
  </si>
  <si>
    <t>C. COMUNICACIONES</t>
  </si>
  <si>
    <t>UPS</t>
  </si>
  <si>
    <t>EAST</t>
  </si>
  <si>
    <t>3kVASRT</t>
  </si>
  <si>
    <t>SI</t>
  </si>
  <si>
    <t>NO</t>
  </si>
  <si>
    <t>POR REVISAR</t>
  </si>
  <si>
    <t>La Llave</t>
  </si>
  <si>
    <t>GUAYAQUIL</t>
  </si>
  <si>
    <t xml:space="preserve">DATA CENTER </t>
  </si>
  <si>
    <t>Ablerex</t>
  </si>
  <si>
    <t>MS3000</t>
  </si>
  <si>
    <t>MA371410001</t>
  </si>
  <si>
    <t xml:space="preserve">Activo </t>
  </si>
  <si>
    <t>Equipo oficina LA LLAVE</t>
  </si>
  <si>
    <t>ENERGY POWER</t>
  </si>
  <si>
    <t xml:space="preserve">UPS Online de 3KVA </t>
  </si>
  <si>
    <t>DATA CENTER BOX</t>
  </si>
  <si>
    <t>Delta</t>
  </si>
  <si>
    <t>302N200035</t>
  </si>
  <si>
    <t>82A08300006WD</t>
  </si>
  <si>
    <t>EXISTENTE EN INVENTARIO ILUM</t>
  </si>
  <si>
    <t>COMPUTER POWER</t>
  </si>
  <si>
    <t>VT-6KVA-208</t>
  </si>
  <si>
    <t>*866021409100011</t>
  </si>
  <si>
    <t>LIMA - PERU</t>
  </si>
  <si>
    <t>SALA DE SERVIDORES</t>
  </si>
  <si>
    <t>GAMATEC</t>
  </si>
  <si>
    <t>A-121M</t>
  </si>
  <si>
    <t>SIN SERIE</t>
  </si>
  <si>
    <t>CABANILLAS GAMBOA, HARLIN</t>
  </si>
  <si>
    <t>FORZA</t>
  </si>
  <si>
    <t>SIN MODELO</t>
  </si>
  <si>
    <t>PRODUCCION</t>
  </si>
  <si>
    <t>APC</t>
  </si>
  <si>
    <t>BACK-UPS PRO 550</t>
  </si>
  <si>
    <t>COLLAZOS, OSCAR</t>
  </si>
  <si>
    <t>EXTERIOR</t>
  </si>
  <si>
    <t>CUBAS, FREDY</t>
  </si>
  <si>
    <t>SOLDADO</t>
  </si>
  <si>
    <t>SIN MARCA</t>
  </si>
  <si>
    <t>UNA</t>
  </si>
  <si>
    <t xml:space="preserve">DAULE </t>
  </si>
  <si>
    <t xml:space="preserve"> Adminsitración Coworking / Sala de reuniones </t>
  </si>
  <si>
    <t xml:space="preserve">Microservice </t>
  </si>
  <si>
    <t xml:space="preserve">Energy Power </t>
  </si>
  <si>
    <t>EA903S</t>
  </si>
  <si>
    <t>EXISTENTE EN EL INVENTARIO ILUM</t>
  </si>
  <si>
    <t>Delta Electronics</t>
  </si>
  <si>
    <t>RX-3kVA</t>
  </si>
  <si>
    <t>83311701100201</t>
  </si>
  <si>
    <t>CALIDAD</t>
  </si>
  <si>
    <t>XMART</t>
  </si>
  <si>
    <t>Xmart Óptima 3kva</t>
  </si>
  <si>
    <t>NO EXISTENTE EN EL INVENTARIO ILUM</t>
  </si>
  <si>
    <t xml:space="preserve">Innovación / DC Principal </t>
  </si>
  <si>
    <t xml:space="preserve">CDP </t>
  </si>
  <si>
    <t>UPO22-10RT AXPM</t>
  </si>
  <si>
    <t>EXISTENTE EN EL INVENTARIO ILUM - NO EXISTENTE IN SITU</t>
  </si>
  <si>
    <t xml:space="preserve">FIRMESA </t>
  </si>
  <si>
    <t>BATT VT-10KVA</t>
  </si>
  <si>
    <t>Inactivo</t>
  </si>
  <si>
    <t>Banco de baterias sin uso dañado</t>
  </si>
  <si>
    <t>170206-0660002</t>
  </si>
  <si>
    <t xml:space="preserve">Se identifican conexiones al UPS sin regulacion </t>
  </si>
  <si>
    <t>Equipo fuera de servicio</t>
  </si>
  <si>
    <t xml:space="preserve">General Electric </t>
  </si>
  <si>
    <t>GT3000XLRT2U</t>
  </si>
  <si>
    <t xml:space="preserve">Problema con el inversor, se encuentra alarmado </t>
  </si>
  <si>
    <t xml:space="preserve">Mantenimiento </t>
  </si>
  <si>
    <t>Semvra Ecuador</t>
  </si>
  <si>
    <t>BODEGA - OFICINA ADMINISTRATIVA</t>
  </si>
  <si>
    <t>Powerex</t>
  </si>
  <si>
    <t>MP11102T</t>
  </si>
  <si>
    <t>240805020028</t>
  </si>
  <si>
    <t>DAULE</t>
  </si>
  <si>
    <t>CUARTO DE SISTEMAS</t>
  </si>
  <si>
    <t>GE</t>
  </si>
  <si>
    <t>DIGITAL ENERGY</t>
  </si>
  <si>
    <t>TRIPPLITE</t>
  </si>
  <si>
    <t>SU10KRT3U</t>
  </si>
  <si>
    <t>2410ALCAC811100068</t>
  </si>
  <si>
    <t>MATERIA PRIMA</t>
  </si>
  <si>
    <t>POWEREX</t>
  </si>
  <si>
    <t>MP1102T</t>
  </si>
  <si>
    <t>240805020001</t>
  </si>
  <si>
    <t>241127020038</t>
  </si>
  <si>
    <t>CHOCOLATE</t>
  </si>
  <si>
    <t>241127020037</t>
  </si>
  <si>
    <t>MANTENIMIENTO</t>
  </si>
  <si>
    <t>N/A</t>
  </si>
  <si>
    <t>CEDI</t>
  </si>
  <si>
    <t>BLESS POWER</t>
  </si>
  <si>
    <t>6KVAS</t>
  </si>
  <si>
    <t>900062206300015</t>
  </si>
  <si>
    <t>Finanzas</t>
  </si>
  <si>
    <t>UPS DATASAVE INTERACTIVO</t>
  </si>
  <si>
    <t>No se encontró en sitio</t>
  </si>
  <si>
    <t>Desarrollo de Productos</t>
  </si>
  <si>
    <t>No se encontró</t>
  </si>
  <si>
    <t>Centro de Computo Principal - ADM</t>
  </si>
  <si>
    <t>EATON</t>
  </si>
  <si>
    <t>PW 9155-10</t>
  </si>
  <si>
    <t>FY341FBB13</t>
  </si>
  <si>
    <t>Jefatura de Fábrica</t>
  </si>
  <si>
    <t>Powerware</t>
  </si>
  <si>
    <t>UPS SERIE RB114A1902 POWERWARE 9120 3000 VA.</t>
  </si>
  <si>
    <t>Otros Litográfica Gye</t>
  </si>
  <si>
    <t>UPS GENERAL ELECTRIC</t>
  </si>
  <si>
    <t>Centro de Computo Principal - Planta Alta</t>
  </si>
  <si>
    <t>No visible</t>
  </si>
  <si>
    <t>Coworking - Admin, Diagonal Sala Innovación</t>
  </si>
  <si>
    <t>CTO RACK RRHH</t>
  </si>
  <si>
    <t xml:space="preserve">WADKIN </t>
  </si>
  <si>
    <t>WADKIN 10kVAS</t>
  </si>
  <si>
    <t>RRHH, Al lado de Dispensario Médico</t>
  </si>
  <si>
    <t>QUITO</t>
  </si>
  <si>
    <t>Administración</t>
  </si>
  <si>
    <t>Tripp Lite</t>
  </si>
  <si>
    <t>UPS INTERACTIVO TRIPP-LITE</t>
  </si>
  <si>
    <t>Mantenimiento Eléctrico y Mecánico</t>
  </si>
  <si>
    <t>UPS 3KVA 120V</t>
  </si>
  <si>
    <t>MANTA</t>
  </si>
  <si>
    <t xml:space="preserve">Centro de Computo Principal </t>
  </si>
  <si>
    <t>UPS DELTA HPH 30K - LV - B</t>
  </si>
  <si>
    <t>Powest</t>
  </si>
  <si>
    <t>UPS POWEST 110 V 25 AMP</t>
  </si>
  <si>
    <t>UPS  POWEST 110 V 15 AMP</t>
  </si>
  <si>
    <t>Coworking - Operaciones</t>
  </si>
  <si>
    <t>POWEST 6KVA</t>
  </si>
  <si>
    <t>Oficina Bodega</t>
  </si>
  <si>
    <t>APC	BE550G</t>
  </si>
  <si>
    <t>4B1241P22028</t>
  </si>
  <si>
    <t>PISO 8</t>
  </si>
  <si>
    <t>AC811</t>
  </si>
  <si>
    <t>2301ALCAC811100077</t>
  </si>
  <si>
    <t>Ups Sky Building Piso 8</t>
  </si>
  <si>
    <t>PS8644</t>
  </si>
  <si>
    <t>2412FLCPS864400285</t>
  </si>
  <si>
    <t>SU6000RT4UHVPM</t>
  </si>
  <si>
    <t>2435ALCPS87A900099</t>
  </si>
  <si>
    <t>FIRMESA</t>
  </si>
  <si>
    <t>BORRADO</t>
  </si>
  <si>
    <t>Validar con el negocio, 
Ups Sky Building Piso 8</t>
  </si>
  <si>
    <t>Plus 10 KvA</t>
  </si>
  <si>
    <t>PEDRO CARBO</t>
  </si>
  <si>
    <t>Oficina Principal</t>
  </si>
  <si>
    <t>PW9130L3000T-XL</t>
  </si>
  <si>
    <t>GC386A0645</t>
  </si>
  <si>
    <t>Equipo apagado</t>
  </si>
  <si>
    <t>EA9093II RTS</t>
  </si>
  <si>
    <t>900031711200584</t>
  </si>
  <si>
    <t>Equipo alarmado</t>
  </si>
  <si>
    <t>Ecuapatria Sky Building</t>
  </si>
  <si>
    <t>ADMINISTRACION Y FINANZAS</t>
  </si>
  <si>
    <t>Forza</t>
  </si>
  <si>
    <t>FDC-006K</t>
  </si>
  <si>
    <t>Piso 10 - CAFETERÍA</t>
  </si>
  <si>
    <t>Propio de Ecuapatria</t>
  </si>
  <si>
    <t>Coop. Metropolitana Sky Building</t>
  </si>
  <si>
    <t>ADMINISTRACION</t>
  </si>
  <si>
    <t>SU3000RTXL2U</t>
  </si>
  <si>
    <t>2733AVTPS87C800070</t>
  </si>
  <si>
    <t>Piso 10 - Área de Archivos</t>
  </si>
  <si>
    <t>Propio de Cooperativa Metropolitana</t>
  </si>
  <si>
    <t>UNI</t>
  </si>
  <si>
    <t>Computer Power</t>
  </si>
  <si>
    <t>VT-6KVA-208/120V</t>
  </si>
  <si>
    <t>Piso 3 - Sky</t>
  </si>
  <si>
    <t>Propio de Inmovila</t>
  </si>
  <si>
    <t>BVX1200L-LM</t>
  </si>
  <si>
    <t>9B2511A16649</t>
  </si>
  <si>
    <t>Serie no visible a simple vista</t>
  </si>
  <si>
    <t>ID</t>
  </si>
  <si>
    <t>Ubicación (Rack/U)</t>
  </si>
  <si>
    <t>Rol</t>
  </si>
  <si>
    <t>ILO</t>
  </si>
  <si>
    <t>Validación Física/Existencia</t>
  </si>
  <si>
    <t>Existencia Inventario ILUM</t>
  </si>
  <si>
    <t>Referencia</t>
  </si>
  <si>
    <t>VALIDACION</t>
  </si>
  <si>
    <t>RACK1/UR18-19</t>
  </si>
  <si>
    <t>ROBERT PORTILLA</t>
  </si>
  <si>
    <t>SERVIDOR</t>
  </si>
  <si>
    <t>IBM</t>
  </si>
  <si>
    <t>1727-HC1</t>
  </si>
  <si>
    <t>131172X</t>
  </si>
  <si>
    <t>Equipo par dar de baja</t>
  </si>
  <si>
    <t>RACK1/UR16-17</t>
  </si>
  <si>
    <t>IBM DS3400</t>
  </si>
  <si>
    <t>RACK1/UR38</t>
  </si>
  <si>
    <t xml:space="preserve">HP </t>
  </si>
  <si>
    <t>Proliant DL320</t>
  </si>
  <si>
    <t>RACK1/UR36-37</t>
  </si>
  <si>
    <t>Proliant DL380</t>
  </si>
  <si>
    <t>RAC1/UR21-22</t>
  </si>
  <si>
    <t>Prodesk 400 G7</t>
  </si>
  <si>
    <t>1CZ12609JC</t>
  </si>
  <si>
    <t>Servidor AD</t>
  </si>
  <si>
    <t>RACK1/UR12-14</t>
  </si>
  <si>
    <t>8204 E8A / 550</t>
  </si>
  <si>
    <t>06-D86C2</t>
  </si>
  <si>
    <t>Equipo par dar de baja/Antigua DB</t>
  </si>
  <si>
    <t>RACK1/UR16-18</t>
  </si>
  <si>
    <t>SYSTEM X3650</t>
  </si>
  <si>
    <t>KQGTTMV</t>
  </si>
  <si>
    <t>Equipo par dar de baja/Antiguo Deploy</t>
  </si>
  <si>
    <t>RACK1/UR02-09</t>
  </si>
  <si>
    <t>BLADE CENTER H</t>
  </si>
  <si>
    <t>KQGPYYL</t>
  </si>
  <si>
    <t>RACK2/UR15-16</t>
  </si>
  <si>
    <t>SYSTEM X3650 M4</t>
  </si>
  <si>
    <t>KQ0BY8P</t>
  </si>
  <si>
    <t>RACK2/UR02-04</t>
  </si>
  <si>
    <t>LENOVO</t>
  </si>
  <si>
    <t>THINKCENTRE M93P</t>
  </si>
  <si>
    <t>MJ00XAHN</t>
  </si>
  <si>
    <t>RACK2/UR013-14</t>
  </si>
  <si>
    <t xml:space="preserve">SYSTEM STORAGE </t>
  </si>
  <si>
    <t>78AC469</t>
  </si>
  <si>
    <t>DATA CENTER - Centro de Computo Principal</t>
  </si>
  <si>
    <t>R3_CW/UR5-6</t>
  </si>
  <si>
    <t>JONATHAN FIGUEROA</t>
  </si>
  <si>
    <t>Lansweeper</t>
  </si>
  <si>
    <t>HP</t>
  </si>
  <si>
    <t>ProLiant DL380 Gen9</t>
  </si>
  <si>
    <t>MXQ51006HJ</t>
  </si>
  <si>
    <t>User: Administrator
DNS: ILOMXQ51006HJ
Password: FM5BFJCH</t>
  </si>
  <si>
    <t>172.20.204.85</t>
  </si>
  <si>
    <t>Diagonal a Sala Innovación, 
1er rack al ingresar al Centro 
de Computo</t>
  </si>
  <si>
    <t>RACK2/UR10-11</t>
  </si>
  <si>
    <t>KQ7K7CG</t>
  </si>
  <si>
    <t>RACK2/UR08-09</t>
  </si>
  <si>
    <t>KQXWBC4</t>
  </si>
  <si>
    <t>RACK2/UR06-07</t>
  </si>
  <si>
    <t>SYSTEM 3650 M4</t>
  </si>
  <si>
    <t>KQ3CN77</t>
  </si>
  <si>
    <t>R3_CW/UR7</t>
  </si>
  <si>
    <t>ESKO - Máquinas Virtuales Vmware</t>
  </si>
  <si>
    <t>ProLiant DL20 Gen10</t>
  </si>
  <si>
    <t>2M214101L1</t>
  </si>
  <si>
    <t>User: Administrator
DNS: ILO2M214101L1
Password: XD7HQGD6</t>
  </si>
  <si>
    <t>192.168.231.100</t>
  </si>
  <si>
    <t>Proyecto en curso</t>
  </si>
  <si>
    <t>VALIDADO</t>
  </si>
  <si>
    <t>R3_CW/UR3-4</t>
  </si>
  <si>
    <t>ProLiant DL380e Gen8</t>
  </si>
  <si>
    <t>MXQ235081H</t>
  </si>
  <si>
    <t>User: Administrator
DNS: ILOMXQ235081H
Password: D3MEBPST</t>
  </si>
  <si>
    <t>172.20.204.60</t>
  </si>
  <si>
    <t>Mesa - Temporal/ Equipos</t>
  </si>
  <si>
    <t>ProLiant MicroServer Gen10</t>
  </si>
  <si>
    <t>7CE838P1GZ</t>
  </si>
  <si>
    <t>192.168.138.62</t>
  </si>
  <si>
    <t>R3_CW/UR9</t>
  </si>
  <si>
    <t>Active Directory</t>
  </si>
  <si>
    <t>ProLiant DL20 Gen10 Plus</t>
  </si>
  <si>
    <t>2M2D0M00G6</t>
  </si>
  <si>
    <t>User: Administrator
DNS: ILO2M2D0M00G6
Password: RSM5M2S8</t>
  </si>
  <si>
    <t>DC FADESA, Proyecto en curso</t>
  </si>
  <si>
    <t>R3_CW/UR10</t>
  </si>
  <si>
    <t>Logotronic</t>
  </si>
  <si>
    <t>2M2D0Q03TD</t>
  </si>
  <si>
    <t>User: Administrator
DNS: ILO2M2D0Q03TD
Password: 6XYHMNR7</t>
  </si>
  <si>
    <t>R3_CW/UR8</t>
  </si>
  <si>
    <t>2M2203003M</t>
  </si>
  <si>
    <t>User: Administrator
DNS: ILO2M2203003M
Password: 5NTF7TQ5</t>
  </si>
  <si>
    <t>192.168.231.101</t>
  </si>
  <si>
    <t>R1_CC1/UR12</t>
  </si>
  <si>
    <t>HPE</t>
  </si>
  <si>
    <t>PROLIANT DL20 GEN11 E-2434</t>
  </si>
  <si>
    <t>2M2D1J03Q6</t>
  </si>
  <si>
    <t>User Name: Administrator
DNS: ILO2M2D1J03Q6
Password: 7RCKZXP8</t>
  </si>
  <si>
    <t>Semvra Daule</t>
  </si>
  <si>
    <t>R1_CC3/UR18</t>
  </si>
  <si>
    <t>JOSE LUIS PESANTES</t>
  </si>
  <si>
    <t>Medidor CEDI</t>
  </si>
  <si>
    <t>DELL</t>
  </si>
  <si>
    <t>Dell OptiPlex 3020 SFF</t>
  </si>
  <si>
    <t>3D0TPD2</t>
  </si>
  <si>
    <t xml:space="preserve">PC, REUBICAR A EQUIPOS, Bodegas de CEDI </t>
  </si>
  <si>
    <t>Equipo no unido al dominio, o no se tiene conocimiento de que servicio  alberga</t>
  </si>
  <si>
    <t>R2_CC1/UR14</t>
  </si>
  <si>
    <t>PRTG</t>
  </si>
  <si>
    <t>HP Prodesk 400 G7</t>
  </si>
  <si>
    <t>1CZ12609KP</t>
  </si>
  <si>
    <t>PC, REUBICAR A EQUIPOS, Diagonal a Sala Innovación, 
1er rack al ingresar al Centro 
de Computo</t>
  </si>
  <si>
    <t>POR IDENTIFICAR</t>
  </si>
  <si>
    <t>HPE ProLiant ML30 Gen10</t>
  </si>
  <si>
    <t>192.168.20.241</t>
  </si>
  <si>
    <t>Ecuabarnices</t>
  </si>
  <si>
    <t>Datacenter Principal</t>
  </si>
  <si>
    <t>CENTRAL TELEFÓNICA</t>
  </si>
  <si>
    <t>HPE ProLiant Microserver Gen8</t>
  </si>
  <si>
    <t>MX233800E0</t>
  </si>
  <si>
    <t>Area Administrativa</t>
  </si>
  <si>
    <t>RACK2/UR12</t>
  </si>
  <si>
    <t>SYSTEM X3250 M4</t>
  </si>
  <si>
    <t>KQ6L7CC</t>
  </si>
  <si>
    <t xml:space="preserve">UNS </t>
  </si>
  <si>
    <t>LIMA</t>
  </si>
  <si>
    <t>DATA CENTER</t>
  </si>
  <si>
    <t xml:space="preserve">NO </t>
  </si>
  <si>
    <t>AD Llave PE</t>
  </si>
  <si>
    <t xml:space="preserve">Proliant ML30 Gen10 Plus </t>
  </si>
  <si>
    <t>2M233301WL</t>
  </si>
  <si>
    <t xml:space="preserve">192.168.188.1 </t>
  </si>
  <si>
    <t>R2_SEM_SKY/UR15-14</t>
  </si>
  <si>
    <t>Proliant DL380 Gen9</t>
  </si>
  <si>
    <t>MXQ50602FL</t>
  </si>
  <si>
    <t>User: Administrator
DNS: ILOMXQ50602FL
Password: 8X7DZWVB</t>
  </si>
  <si>
    <t>R2_SEM_SKY/UR17-16</t>
  </si>
  <si>
    <t>ProLiant DL380 Gen8</t>
  </si>
  <si>
    <t>2M243403W6</t>
  </si>
  <si>
    <t>User: Administrator
DNS: ILO2M243403W6
Password: RORNFGVQ</t>
  </si>
  <si>
    <t>192.168.84.19</t>
  </si>
  <si>
    <t>BOLIVIA</t>
  </si>
  <si>
    <t>Proliant ML 110 G4</t>
  </si>
  <si>
    <t>00D9374</t>
  </si>
  <si>
    <t>R1/UR20</t>
  </si>
  <si>
    <t>Elastix</t>
  </si>
  <si>
    <t>elx-025</t>
  </si>
  <si>
    <t>IL2437ACT</t>
  </si>
  <si>
    <t>IBMX3500M4+LIC.WIN SERVER-VRSTD</t>
  </si>
  <si>
    <t>R2_SEM_SKY/UR7</t>
  </si>
  <si>
    <t>AD CORPORATIVO</t>
  </si>
  <si>
    <t xml:space="preserve">ProliantDL20 Gen10 Plus </t>
  </si>
  <si>
    <t>2M2D0L01N6</t>
  </si>
  <si>
    <t>User: Administrator
DNS: ILO2M2D0L01N6
Password: PJKNTHQ5</t>
  </si>
  <si>
    <t>192.168.84.27</t>
  </si>
  <si>
    <t>DATACENTER comunicaciones</t>
  </si>
  <si>
    <t>R_DC_COMU/UR32-31</t>
  </si>
  <si>
    <t>HP pro 3000SFF</t>
  </si>
  <si>
    <t>MXL1020FH4</t>
  </si>
  <si>
    <t>Serial Number</t>
  </si>
  <si>
    <t>CLASIFICACION</t>
  </si>
  <si>
    <t>NOMENCLATURA</t>
  </si>
  <si>
    <t>VISIBLE</t>
  </si>
  <si>
    <t>MAC</t>
  </si>
  <si>
    <t>GYE</t>
  </si>
  <si>
    <t>IT</t>
  </si>
  <si>
    <t xml:space="preserve">ECUABARNICES </t>
  </si>
  <si>
    <t>SWITCH</t>
  </si>
  <si>
    <t>HP - 5130-24G-4SFP JG932A</t>
  </si>
  <si>
    <t>CN55GPV117</t>
  </si>
  <si>
    <t>192.168.24.50</t>
  </si>
  <si>
    <t>1,70,80,110,130,90,190,910</t>
  </si>
  <si>
    <t>Producción</t>
  </si>
  <si>
    <t xml:space="preserve">Jose Luis Pesantes </t>
  </si>
  <si>
    <t>DIST</t>
  </si>
  <si>
    <t>SW-A</t>
  </si>
  <si>
    <t>5C8A384BF330</t>
  </si>
  <si>
    <t>HP - 5120  - 24G</t>
  </si>
  <si>
    <t>CN34BYT0SN</t>
  </si>
  <si>
    <t>192.168.24.51</t>
  </si>
  <si>
    <t>ACCESO</t>
  </si>
  <si>
    <t>SW-B</t>
  </si>
  <si>
    <t>D07E28F353A0</t>
  </si>
  <si>
    <t>HP -1920-24G Switch JG924A</t>
  </si>
  <si>
    <t>CN63GP47G2</t>
  </si>
  <si>
    <t>192.168.24.53</t>
  </si>
  <si>
    <t>HP - 1920S 24G 2SFP JL381A</t>
  </si>
  <si>
    <t>CN89K3L477</t>
  </si>
  <si>
    <t>192.168.24.52</t>
  </si>
  <si>
    <t>Bodega - Oficina</t>
  </si>
  <si>
    <t>CN86K3L528</t>
  </si>
  <si>
    <t>192.168.24.59</t>
  </si>
  <si>
    <t>20677C4D6B54</t>
  </si>
  <si>
    <t>ROUTER</t>
  </si>
  <si>
    <t>CISCO 800 SERIES</t>
  </si>
  <si>
    <t>FTX174286GE</t>
  </si>
  <si>
    <t>CLARO</t>
  </si>
  <si>
    <t>TELEFONICA</t>
  </si>
  <si>
    <t>MAN</t>
  </si>
  <si>
    <t>FADESA METALES</t>
  </si>
  <si>
    <t xml:space="preserve">Centro de Cómputo - CC1 </t>
  </si>
  <si>
    <t>ARUBA 2930F 24G PoE + 4SFP</t>
  </si>
  <si>
    <t>TW08HL21HK</t>
  </si>
  <si>
    <t>192.168.211.50</t>
  </si>
  <si>
    <t>1,10,71,91,111,123,131,190,200,204,900,901,902,903,905</t>
  </si>
  <si>
    <t>SW 2930F 24G PoE + 4SFP</t>
  </si>
  <si>
    <t>CORE</t>
  </si>
  <si>
    <t>CORE_1</t>
  </si>
  <si>
    <t>64E881080500</t>
  </si>
  <si>
    <t>Centro de Cómputo - CC3</t>
  </si>
  <si>
    <t>TW09HL23WM</t>
  </si>
  <si>
    <t>Centro de Cómputo - CC2</t>
  </si>
  <si>
    <t>TW08HL2211</t>
  </si>
  <si>
    <t>B013</t>
  </si>
  <si>
    <t>TW34HL24SN</t>
  </si>
  <si>
    <t>A40E7565DDD0</t>
  </si>
  <si>
    <t>ARUBA SW 2930F 24G PoE + 4SFP</t>
  </si>
  <si>
    <t>TW08HL219W</t>
  </si>
  <si>
    <t>ANILLO</t>
  </si>
  <si>
    <t>SPARE ANILLO</t>
  </si>
  <si>
    <t>64E88107CBC0</t>
  </si>
  <si>
    <t>ARUBA 2530 48G - CC1</t>
  </si>
  <si>
    <t>TW13FP61G3</t>
  </si>
  <si>
    <t>192.168.211.51</t>
  </si>
  <si>
    <t>SW 2530 48G - CC1</t>
  </si>
  <si>
    <t>EC02731891C0</t>
  </si>
  <si>
    <t>ARUBA 2530 24G PoE VOIP - CC1</t>
  </si>
  <si>
    <t>TW0AFP484Q</t>
  </si>
  <si>
    <t>192.168.211.52</t>
  </si>
  <si>
    <t>SW 2530 24G PoE VOIP - CC1</t>
  </si>
  <si>
    <t>VOZ_IP</t>
  </si>
  <si>
    <t>104F58A8C380</t>
  </si>
  <si>
    <t>ARUBA SW 2530 24G Lums - CC1</t>
  </si>
  <si>
    <t>TW05FP71CM</t>
  </si>
  <si>
    <t>192.168.211.53</t>
  </si>
  <si>
    <t>SW 2530 24G Lums - CC1</t>
  </si>
  <si>
    <t>LUM</t>
  </si>
  <si>
    <t>LUMINARIAS</t>
  </si>
  <si>
    <t>B8D4E71A5700</t>
  </si>
  <si>
    <t>HP 5130-24G -4SFP</t>
  </si>
  <si>
    <t>CN50GPV2ZR</t>
  </si>
  <si>
    <t>192.168.211.54</t>
  </si>
  <si>
    <t>SW-5130-24G - CC1</t>
  </si>
  <si>
    <t>2C233A5C3D3B</t>
  </si>
  <si>
    <t>CISCO C921-4P ISR 900 Series</t>
  </si>
  <si>
    <t>Telefónica</t>
  </si>
  <si>
    <t>CISCO ISR 1100 Series</t>
  </si>
  <si>
    <t>FGL2417L3QN</t>
  </si>
  <si>
    <t>CENTRAL TELEFONICA CISCO ISR 1100</t>
  </si>
  <si>
    <t>ARUBA SW-2530-8G - CC2</t>
  </si>
  <si>
    <t>TW11FP80L5</t>
  </si>
  <si>
    <t>192.168.211.55</t>
  </si>
  <si>
    <t>x</t>
  </si>
  <si>
    <t>SW-2530-8G - CC2</t>
  </si>
  <si>
    <t>HP SW-5130-24G - CC2</t>
  </si>
  <si>
    <t>CN50GPV2WY</t>
  </si>
  <si>
    <t>192.168.211.56</t>
  </si>
  <si>
    <t>SW-5130-24G - CC2</t>
  </si>
  <si>
    <t>ARUBA 6000</t>
  </si>
  <si>
    <t>CN20L3K0V3</t>
  </si>
  <si>
    <t>192.168.211.57</t>
  </si>
  <si>
    <t>SW HP 6000</t>
  </si>
  <si>
    <t>Centro de Computo Principal - Coworking</t>
  </si>
  <si>
    <t>HP 5500 Series Switch JG311A</t>
  </si>
  <si>
    <t>CN4BD4P5FW</t>
  </si>
  <si>
    <t>172.20.208.62</t>
  </si>
  <si>
    <t>FGL2417L3HS</t>
  </si>
  <si>
    <t>ISR 1100 Series</t>
  </si>
  <si>
    <t>ENLACE PRINCIPAL</t>
  </si>
  <si>
    <t>FGL2417L3KS</t>
  </si>
  <si>
    <t>ENLACE BACKUP</t>
  </si>
  <si>
    <t>CN54D4P0F7</t>
  </si>
  <si>
    <t>CORE_2</t>
  </si>
  <si>
    <t>Centro de Computo - Core - Backup</t>
  </si>
  <si>
    <t>CN56FGG06L</t>
  </si>
  <si>
    <t>172.20.208.61</t>
  </si>
  <si>
    <t>1,70,80,90,100,110,120,130,190,200,204,900,901,902,903,904</t>
  </si>
  <si>
    <t>HP5500</t>
  </si>
  <si>
    <t>Centro de Computo - Core - B</t>
  </si>
  <si>
    <t>HP A5120-24G</t>
  </si>
  <si>
    <t>CN33BYT094</t>
  </si>
  <si>
    <t>172.20.108.118</t>
  </si>
  <si>
    <t>D07E28D15BF0</t>
  </si>
  <si>
    <t xml:space="preserve">Aruba 2930F 24G 4SFP </t>
  </si>
  <si>
    <t>TW90HL02WH</t>
  </si>
  <si>
    <t>172.20.108.200</t>
  </si>
  <si>
    <t>Core Anillo CC</t>
  </si>
  <si>
    <t>Aruba 2930F 24G 4SFP Switch</t>
  </si>
  <si>
    <t>Recursos Humanos</t>
  </si>
  <si>
    <t>CN34BYT126</t>
  </si>
  <si>
    <t>172.20.108.102</t>
  </si>
  <si>
    <t>RRHH_HP</t>
  </si>
  <si>
    <t>D07E28F37D08</t>
  </si>
  <si>
    <t>CN73HL02FW</t>
  </si>
  <si>
    <t>Por definir</t>
  </si>
  <si>
    <t>SPARE</t>
  </si>
  <si>
    <t>Spare CC</t>
  </si>
  <si>
    <t>HPE 1920S 48G 4SFP Switch</t>
  </si>
  <si>
    <t>CN88K3M1N9</t>
  </si>
  <si>
    <t>172.20.108.201</t>
  </si>
  <si>
    <t>A</t>
  </si>
  <si>
    <t>Switch A</t>
  </si>
  <si>
    <t>20677C4F6A2C</t>
  </si>
  <si>
    <t>TW9BK3M015</t>
  </si>
  <si>
    <t>172.20.108.202</t>
  </si>
  <si>
    <t>B</t>
  </si>
  <si>
    <t>Switch B</t>
  </si>
  <si>
    <t>883A30CDEE10</t>
  </si>
  <si>
    <t>TW9AK3M1N9</t>
  </si>
  <si>
    <t>172.20.108.203</t>
  </si>
  <si>
    <t>C</t>
  </si>
  <si>
    <t>Switch C</t>
  </si>
  <si>
    <t>883A30CD535C</t>
  </si>
  <si>
    <t>TW9AK3M1MP</t>
  </si>
  <si>
    <t>172.20.108.204</t>
  </si>
  <si>
    <t>D</t>
  </si>
  <si>
    <t>Switch D</t>
  </si>
  <si>
    <t>883A30CD5310</t>
  </si>
  <si>
    <t>TW90K3M236</t>
  </si>
  <si>
    <t>172.20.108.205</t>
  </si>
  <si>
    <t>E</t>
  </si>
  <si>
    <t>Switch E</t>
  </si>
  <si>
    <t>F860F0C2F60C</t>
  </si>
  <si>
    <t>TW9AK3M1H3</t>
  </si>
  <si>
    <t>172.20.108.206</t>
  </si>
  <si>
    <t>F</t>
  </si>
  <si>
    <t>Switch F</t>
  </si>
  <si>
    <t>883A30CD23D8</t>
  </si>
  <si>
    <t>HPE 1920S 24G 4SFP  SWitch</t>
  </si>
  <si>
    <t>TW95K3Q4TV</t>
  </si>
  <si>
    <t>172.20.108.207</t>
  </si>
  <si>
    <t>HPE 1920S 24G 4SFP  POE  (370W) Switch</t>
  </si>
  <si>
    <t>G</t>
  </si>
  <si>
    <t>Switch G</t>
  </si>
  <si>
    <t>3821C7489DE0</t>
  </si>
  <si>
    <t xml:space="preserve">Taller - Bodega Electrónica </t>
  </si>
  <si>
    <t>TW9BK3M01W</t>
  </si>
  <si>
    <t>172.20.108.208</t>
  </si>
  <si>
    <t>883A30CDEE68</t>
  </si>
  <si>
    <t>CN88K3M17F</t>
  </si>
  <si>
    <t xml:space="preserve">Por definir </t>
  </si>
  <si>
    <t>SPA DIST</t>
  </si>
  <si>
    <t>20677C4FD9A4</t>
  </si>
  <si>
    <t xml:space="preserve">Litográfica </t>
  </si>
  <si>
    <t>HPE 1920S 24G 2SFP Switch</t>
  </si>
  <si>
    <t>CN89K3L1GY</t>
  </si>
  <si>
    <t>172.20.108.128</t>
  </si>
  <si>
    <t>HPE 1920S 24G 2SFP JL381A</t>
  </si>
  <si>
    <t xml:space="preserve">Cizalla(Embutidos) </t>
  </si>
  <si>
    <t>CN44BYV11T</t>
  </si>
  <si>
    <t>172.20.108.119</t>
  </si>
  <si>
    <t>EMB</t>
  </si>
  <si>
    <t>443192E12AAC</t>
  </si>
  <si>
    <t xml:space="preserve">Antigua Cafetería </t>
  </si>
  <si>
    <t>HPE Switch 1920S 24G </t>
  </si>
  <si>
    <t>CN70K3L1LQ</t>
  </si>
  <si>
    <t>172.20.108.126</t>
  </si>
  <si>
    <t>HPE OfficeConnect Switch 1920S 24G </t>
  </si>
  <si>
    <t>ECEBB8CFEBB8</t>
  </si>
  <si>
    <t>Antigua Cafetería</t>
  </si>
  <si>
    <t>HPE  Switch 1920S 24G</t>
  </si>
  <si>
    <t>CN89K3L295</t>
  </si>
  <si>
    <t>172.20.108.129</t>
  </si>
  <si>
    <t>HPE OfficeConnect Switch 1920S 24G</t>
  </si>
  <si>
    <t>20677CD051E0</t>
  </si>
  <si>
    <t>Reproceso</t>
  </si>
  <si>
    <t>HPE Switch 1920S 24G</t>
  </si>
  <si>
    <t>CN89K3L4FF</t>
  </si>
  <si>
    <t>172.20.108.82</t>
  </si>
  <si>
    <t>Aruba 6100 48G 4SFP+</t>
  </si>
  <si>
    <t>TW14KNH044</t>
  </si>
  <si>
    <t>172.20.108.213</t>
  </si>
  <si>
    <t>Cuarto de Cámaras</t>
  </si>
  <si>
    <t>CN80K3L53H</t>
  </si>
  <si>
    <t>172.20.108.211</t>
  </si>
  <si>
    <t>DIST_CAM</t>
  </si>
  <si>
    <t>0897345F548C</t>
  </si>
  <si>
    <t>SW-01</t>
  </si>
  <si>
    <t>SALA A1</t>
  </si>
  <si>
    <t>6000 24G 4SFP Switch</t>
  </si>
  <si>
    <t>CN21L3M08L</t>
  </si>
  <si>
    <t>172.20.108.209</t>
  </si>
  <si>
    <t>SA1</t>
  </si>
  <si>
    <t>Cascada Switch C</t>
  </si>
  <si>
    <t>HPE OfficeConnect Switch 1920S 24G 2SFP JL381A</t>
  </si>
  <si>
    <t>CN97K3L15T</t>
  </si>
  <si>
    <t>172.20.202.17</t>
  </si>
  <si>
    <t>FAD MET EL UNIVERSO</t>
  </si>
  <si>
    <t>Bodega #2</t>
  </si>
  <si>
    <t>HP V1910-16G Switch</t>
  </si>
  <si>
    <t>CN27BX13NV</t>
  </si>
  <si>
    <t>192.168.34.50</t>
  </si>
  <si>
    <t>1,70,80,90,110,130,190</t>
  </si>
  <si>
    <t>HPE V1910-16G Switch JE005A</t>
  </si>
  <si>
    <t>BOD-2</t>
  </si>
  <si>
    <t>CISCO 8001</t>
  </si>
  <si>
    <t>FJC2041L276</t>
  </si>
  <si>
    <t>192.168.34.23</t>
  </si>
  <si>
    <t>MOVISTAR FADESA UNIVERSO PPL</t>
  </si>
  <si>
    <t>FJC2041L27G</t>
  </si>
  <si>
    <t>192.168.34.24</t>
  </si>
  <si>
    <t>MOVISTAR FADESA UNIVERSO BK</t>
  </si>
  <si>
    <t>CALL</t>
  </si>
  <si>
    <t>FADESA CALLAO</t>
  </si>
  <si>
    <t>DC</t>
  </si>
  <si>
    <t>HP A5120-48G</t>
  </si>
  <si>
    <t>CN31F5Z1DQ</t>
  </si>
  <si>
    <t>172.16.1.1</t>
  </si>
  <si>
    <t>HP V1910-24G</t>
  </si>
  <si>
    <t>CN35BX41LR</t>
  </si>
  <si>
    <t>172.16.1.12</t>
  </si>
  <si>
    <t>HP V1910-16G</t>
  </si>
  <si>
    <t>CN36BX12MN</t>
  </si>
  <si>
    <t>172.16.1.14</t>
  </si>
  <si>
    <t>CN37BX402J</t>
  </si>
  <si>
    <t>172.16.1.20</t>
  </si>
  <si>
    <t>CN37BX112K</t>
  </si>
  <si>
    <t>172.16.1.220</t>
  </si>
  <si>
    <t>ARUBA 2930F-24G</t>
  </si>
  <si>
    <t>CN8AHL01NG</t>
  </si>
  <si>
    <t>172.16.1.7</t>
  </si>
  <si>
    <t>HP V1920-24G</t>
  </si>
  <si>
    <t>CN81K3Q0GH</t>
  </si>
  <si>
    <t>172.16.2.100</t>
  </si>
  <si>
    <t>FADESA PLAST</t>
  </si>
  <si>
    <t>Centro de Cómputo Principal</t>
  </si>
  <si>
    <t>HP - 5130-24G-4SFP</t>
  </si>
  <si>
    <t>CN61GPV130</t>
  </si>
  <si>
    <t>192.168.31.50</t>
  </si>
  <si>
    <t>1,70,80,90,110,120,130,190,921,922</t>
  </si>
  <si>
    <t>SW1-HP - 5130-24G-4SFP</t>
  </si>
  <si>
    <t>2C233AF74648</t>
  </si>
  <si>
    <t>HP - A5120-24G</t>
  </si>
  <si>
    <t>CN32BYT0SW</t>
  </si>
  <si>
    <t>192.168.31.63</t>
  </si>
  <si>
    <t>HP - A5120</t>
  </si>
  <si>
    <t>SW2-HP - A5120</t>
  </si>
  <si>
    <t>D07E28CB0E9F</t>
  </si>
  <si>
    <t>HP - 1920-48G Switch JG927A</t>
  </si>
  <si>
    <t>CN62GP70M6</t>
  </si>
  <si>
    <t>192.168.31.53</t>
  </si>
  <si>
    <t>SW3-HP - 1920-48G Switch JG927A</t>
  </si>
  <si>
    <t>E8F7245B2CE2</t>
  </si>
  <si>
    <t>Bodega de Producto Terminado</t>
  </si>
  <si>
    <t>HP Switch 1920S 24G 2SFP JL381A</t>
  </si>
  <si>
    <t>CN87K3L3VB</t>
  </si>
  <si>
    <t>192.168.31.52</t>
  </si>
  <si>
    <t>20677C4EFD94</t>
  </si>
  <si>
    <t xml:space="preserve">Comprensión </t>
  </si>
  <si>
    <t>HP - 1920-24G Switch JG924A</t>
  </si>
  <si>
    <t>CN64GP47XP</t>
  </si>
  <si>
    <t>192.168.31.51</t>
  </si>
  <si>
    <t>No Visible</t>
  </si>
  <si>
    <t>Dispensario</t>
  </si>
  <si>
    <t>HP 5130</t>
  </si>
  <si>
    <t>CN50GPV3CF</t>
  </si>
  <si>
    <t>192.168.31.55</t>
  </si>
  <si>
    <t xml:space="preserve">Centro de Cómputo Principal </t>
  </si>
  <si>
    <t>HP 5120</t>
  </si>
  <si>
    <t>CN32BYT0DZ</t>
  </si>
  <si>
    <t>192.168.31.54</t>
  </si>
  <si>
    <t>SW BACK UP FP</t>
  </si>
  <si>
    <t>D07E28C95797</t>
  </si>
  <si>
    <t>FGL230913PD</t>
  </si>
  <si>
    <t>10.91.9.59</t>
  </si>
  <si>
    <t>FGL231010JS</t>
  </si>
  <si>
    <t>10.91.9.60</t>
  </si>
  <si>
    <t>UIO</t>
  </si>
  <si>
    <t>Switch Core</t>
  </si>
  <si>
    <t>Aruba 2930F-24G-4SFP Switch (JL259A)</t>
  </si>
  <si>
    <t>CN8AHL022J</t>
  </si>
  <si>
    <t>192.168.61.55</t>
  </si>
  <si>
    <t>1,70,80,110,130,90</t>
  </si>
  <si>
    <t xml:space="preserve">Produccion </t>
  </si>
  <si>
    <t xml:space="preserve">HP V1910-16G Switch </t>
  </si>
  <si>
    <t>CN27BX13VS</t>
  </si>
  <si>
    <t>192.168.61.53</t>
  </si>
  <si>
    <t>Bodega Febres Cordero</t>
  </si>
  <si>
    <t>HP A5120-24G </t>
  </si>
  <si>
    <t>CN36BYT0BS</t>
  </si>
  <si>
    <t>172.20.108.121</t>
  </si>
  <si>
    <t>FADESA PLAST JUTECERO</t>
  </si>
  <si>
    <t>Bodega Fadesa Plásticos - Jutecero</t>
  </si>
  <si>
    <t>HPE Office Connect 1920 Switch</t>
  </si>
  <si>
    <t>CN89K3L4KX</t>
  </si>
  <si>
    <t>192.168.33.50</t>
  </si>
  <si>
    <t>1,70,80,110,90</t>
  </si>
  <si>
    <t>HP 1920 S</t>
  </si>
  <si>
    <t>CISCO 890 Series</t>
  </si>
  <si>
    <t xml:space="preserve">No visible </t>
  </si>
  <si>
    <t>192.168.33.61</t>
  </si>
  <si>
    <t>192.168.33.60</t>
  </si>
  <si>
    <t xml:space="preserve">UNA </t>
  </si>
  <si>
    <t>SEMVRA DAULE</t>
  </si>
  <si>
    <t>CUARTO DE CÓMPUTO - CC1-SW1</t>
  </si>
  <si>
    <t>Aruba 2930F</t>
  </si>
  <si>
    <t>TW2BHL10WR</t>
  </si>
  <si>
    <t>192.168.21.50</t>
  </si>
  <si>
    <t>1,123,120,10,190,940,70,110,80,90,920,930,910,950,130</t>
  </si>
  <si>
    <t>EC50AAC8E840</t>
  </si>
  <si>
    <t>CUARTO DE CÓMPUTO - CC1-SW2</t>
  </si>
  <si>
    <t>Aruba 6000 48P SPF</t>
  </si>
  <si>
    <t>TW30L3Q191</t>
  </si>
  <si>
    <t>192.168.21.51</t>
  </si>
  <si>
    <t>38BD7A5E6580</t>
  </si>
  <si>
    <t>CALIDAD / SW-VECDAULE-COCA01</t>
  </si>
  <si>
    <t>TW2BHL11DN</t>
  </si>
  <si>
    <t>192.168.21.54</t>
  </si>
  <si>
    <t>38BD7A5E1D40</t>
  </si>
  <si>
    <t>SSH</t>
  </si>
  <si>
    <t>CALIDAD / SW-VECDAULE-COCA02</t>
  </si>
  <si>
    <t>TW30L3Q16L</t>
  </si>
  <si>
    <t>192.168.21.52</t>
  </si>
  <si>
    <t>EC50AAC8FF40</t>
  </si>
  <si>
    <t xml:space="preserve">MANTENIMIENTO / SEGURIDAD </t>
  </si>
  <si>
    <t>Aruba 2930F-48G-4SFP</t>
  </si>
  <si>
    <t>TW20HL14HD</t>
  </si>
  <si>
    <t>192.168.21.56</t>
  </si>
  <si>
    <t>DISPENSARIO MEDICO (RRHH)</t>
  </si>
  <si>
    <t>Aruba 2930F-24G-4SFP</t>
  </si>
  <si>
    <t>TW2BHL00X3</t>
  </si>
  <si>
    <t>192.168.21.57</t>
  </si>
  <si>
    <t>Cisco Catalyst 2960-24G</t>
  </si>
  <si>
    <t>CEDI BODEGAS / SW-VECDAULE-CEDI01</t>
  </si>
  <si>
    <t>ARUBA 6100 24G 4SFP+</t>
  </si>
  <si>
    <t>TW12KNM0JG</t>
  </si>
  <si>
    <t>192.168.21.49</t>
  </si>
  <si>
    <t>6100 24G 4SFP+</t>
  </si>
  <si>
    <t>8C85C1A72D40</t>
  </si>
  <si>
    <t>CUARTO DE CÓMPUTO / SW-VECDAULE-CCRI02</t>
  </si>
  <si>
    <t>TW15HL01QW</t>
  </si>
  <si>
    <t>192.168.20.50</t>
  </si>
  <si>
    <t>CORE_BAKCUP</t>
  </si>
  <si>
    <t xml:space="preserve">SALA DE MAQUINAS </t>
  </si>
  <si>
    <t>TW12KNM0HQ</t>
  </si>
  <si>
    <t>192.168.21.48</t>
  </si>
  <si>
    <t>0C85C1A73B00</t>
  </si>
  <si>
    <t>SERIGRAFIA</t>
  </si>
  <si>
    <t>2530-24G-PoE</t>
  </si>
  <si>
    <t>CN7BFP46B5</t>
  </si>
  <si>
    <t>192.168.21.67</t>
  </si>
  <si>
    <t>D06726-162DA0</t>
  </si>
  <si>
    <t>CC DISTRIBUCION</t>
  </si>
  <si>
    <t>HPE 1920S 48G 4SFP JL382A</t>
  </si>
  <si>
    <t>CN79K3M295</t>
  </si>
  <si>
    <t>192.168.21.229</t>
  </si>
  <si>
    <t>1920S 48G 4SFP JL382A</t>
  </si>
  <si>
    <t>ECEBB83CA2BC</t>
  </si>
  <si>
    <t>SW-CHOCOLATERA-GALPON</t>
  </si>
  <si>
    <t>TW29HL02CG</t>
  </si>
  <si>
    <t>192.168.21.45</t>
  </si>
  <si>
    <t>9460D5E477A0</t>
  </si>
  <si>
    <t>SW-VECDAULE-GARI01</t>
  </si>
  <si>
    <t>ARUBA 6100 4G 4SFP+</t>
  </si>
  <si>
    <t>TW12KNWM0JJ</t>
  </si>
  <si>
    <t>192.168.21.46</t>
  </si>
  <si>
    <t>8C85C1A79980</t>
  </si>
  <si>
    <t>ROUTER ENLACE</t>
  </si>
  <si>
    <t>FGL2417LPYC</t>
  </si>
  <si>
    <t>VECONSA-DAULE</t>
  </si>
  <si>
    <t>CISCO ISR 800 Series</t>
  </si>
  <si>
    <t>FTX190381MX</t>
  </si>
  <si>
    <t>CNT</t>
  </si>
  <si>
    <t xml:space="preserve">ROUTER   </t>
  </si>
  <si>
    <t>Mikrotik hEX lite</t>
  </si>
  <si>
    <t>8B000A837D11/851/r3</t>
  </si>
  <si>
    <t>MIKRO</t>
  </si>
  <si>
    <t>58D7020DD20B/508</t>
  </si>
  <si>
    <t>Zyxel Prestige 334</t>
  </si>
  <si>
    <t>S080242048353</t>
  </si>
  <si>
    <t>192.168.21.18</t>
  </si>
  <si>
    <t>ZYXEL</t>
  </si>
  <si>
    <t>0019CBEC6C23</t>
  </si>
  <si>
    <t>CHIVERIA</t>
  </si>
  <si>
    <t>CC Principal</t>
  </si>
  <si>
    <t>HP v1910 24G JE006A</t>
  </si>
  <si>
    <t>CN4BBX20TJ</t>
  </si>
  <si>
    <t>192.168.22.60</t>
  </si>
  <si>
    <t>1,70,80,110,130,90,190,230</t>
  </si>
  <si>
    <t>HP 1410 24G J9561A</t>
  </si>
  <si>
    <t>CN415BL0XX</t>
  </si>
  <si>
    <t>sn</t>
  </si>
  <si>
    <t>1410 24G J9561A</t>
  </si>
  <si>
    <t>DIST_NO_ADM</t>
  </si>
  <si>
    <t>3COM 2928-SFP PLUS</t>
  </si>
  <si>
    <t>926FCAR239A28E</t>
  </si>
  <si>
    <t xml:space="preserve">SN </t>
  </si>
  <si>
    <t>4001C639A28E</t>
  </si>
  <si>
    <t>CC2 Producción</t>
  </si>
  <si>
    <t>1920S 48G JL386A</t>
  </si>
  <si>
    <t>TW9AK3R0Y4</t>
  </si>
  <si>
    <t>192.168.22.56</t>
  </si>
  <si>
    <t>CC3 Administración</t>
  </si>
  <si>
    <t>CN20HL147M</t>
  </si>
  <si>
    <t>192.168.22.55</t>
  </si>
  <si>
    <t>WS-C2960X-24PD-L</t>
  </si>
  <si>
    <t>FCW2037A1V8</t>
  </si>
  <si>
    <t>192.168.22.54</t>
  </si>
  <si>
    <t>ENFERMERIA</t>
  </si>
  <si>
    <t>HP 1410 16G J9560A</t>
  </si>
  <si>
    <t>SN</t>
  </si>
  <si>
    <t xml:space="preserve">CALIDAD  / Bodega de Etiquetado </t>
  </si>
  <si>
    <t>FCW2037A1VD</t>
  </si>
  <si>
    <t>192.168.22.53</t>
  </si>
  <si>
    <t>SEMVRA ECU</t>
  </si>
  <si>
    <t xml:space="preserve">SEMVRA ECUADOR  / CEDI / BODEGA </t>
  </si>
  <si>
    <t>HP HPE V1910-48G</t>
  </si>
  <si>
    <t>CN43BX56DP</t>
  </si>
  <si>
    <t>192.168.22.57</t>
  </si>
  <si>
    <t>HPE V1910-48G</t>
  </si>
  <si>
    <t>CISCO ISR 900 SERIES</t>
  </si>
  <si>
    <t>PSZ26211CWH</t>
  </si>
  <si>
    <t>HPE MSR900 JF812A</t>
  </si>
  <si>
    <t>D89403D56C3C</t>
  </si>
  <si>
    <t>Cisco 892FSP (C892FSP-K9) 8G</t>
  </si>
  <si>
    <t>FJC1950E0Y1</t>
  </si>
  <si>
    <t>Microtik Hex Lite</t>
  </si>
  <si>
    <t>AA850AB86ADE/912</t>
  </si>
  <si>
    <t>CUARTO DE CÓMPUTO / CC1-SW</t>
  </si>
  <si>
    <t>HP 1920-48G Switch JG927A</t>
  </si>
  <si>
    <t>CN57GP726B</t>
  </si>
  <si>
    <t>192.168.51.50</t>
  </si>
  <si>
    <t>1,80,70,110,130,920,90</t>
  </si>
  <si>
    <t>Lab. Calidad / SW-VECBBHY-CALIDAD</t>
  </si>
  <si>
    <t>ONV</t>
  </si>
  <si>
    <t>ONV38028FM</t>
  </si>
  <si>
    <t>192.168.51.51</t>
  </si>
  <si>
    <t>DISTRIBUCION</t>
  </si>
  <si>
    <t>CC2-SW1 / Produccion</t>
  </si>
  <si>
    <t>WS-C2960-48TT-L</t>
  </si>
  <si>
    <t xml:space="preserve">FOC1328W3MH </t>
  </si>
  <si>
    <t>192.168.51.45</t>
  </si>
  <si>
    <t>COMEDOR</t>
  </si>
  <si>
    <t>FCW2037A1VY</t>
  </si>
  <si>
    <t>192.168.51.54</t>
  </si>
  <si>
    <t xml:space="preserve">BODEGA </t>
  </si>
  <si>
    <t>WS-C2960-24TT-L</t>
  </si>
  <si>
    <t xml:space="preserve">FCQ1744Y04C  </t>
  </si>
  <si>
    <t>192.168.51.40</t>
  </si>
  <si>
    <t>HP 1920-16G Switch JG923A</t>
  </si>
  <si>
    <t>CN49GP30ZQ</t>
  </si>
  <si>
    <t>192.168.51.55</t>
  </si>
  <si>
    <t>ARUBA 1930 24p1g Base</t>
  </si>
  <si>
    <t>TW06KPG0J7</t>
  </si>
  <si>
    <t>192.168.23.53</t>
  </si>
  <si>
    <t>1,70,80,110</t>
  </si>
  <si>
    <t>B8D4E7EC03D3</t>
  </si>
  <si>
    <t>CISCO 892FSP</t>
  </si>
  <si>
    <t>FJC1950E0YW</t>
  </si>
  <si>
    <t>HP 6000 24G 4SFP</t>
  </si>
  <si>
    <t>TW20L3S0LT</t>
  </si>
  <si>
    <t>192.168.101.1</t>
  </si>
  <si>
    <t>1,10,70,110,130</t>
  </si>
  <si>
    <t xml:space="preserve">DC PRINCIPAL </t>
  </si>
  <si>
    <t>HP 1910 -48g JE009A</t>
  </si>
  <si>
    <t>CN49BX52MK</t>
  </si>
  <si>
    <t>192.168.107.1</t>
  </si>
  <si>
    <t>107,170,171,172,173,121</t>
  </si>
  <si>
    <t>CISCO SGE2010 (1)</t>
  </si>
  <si>
    <t>DNI1614B70M</t>
  </si>
  <si>
    <t>192.168.107.4</t>
  </si>
  <si>
    <t>CISCO SGE2010 (2)</t>
  </si>
  <si>
    <t>DNI1614B705</t>
  </si>
  <si>
    <t>192.168.107.5</t>
  </si>
  <si>
    <t>Zyxel-GS1900-8HP</t>
  </si>
  <si>
    <t>S140H30010458</t>
  </si>
  <si>
    <t>192.168.107.11</t>
  </si>
  <si>
    <t>Zyxel-GS1910-24 HP (1)</t>
  </si>
  <si>
    <t>Zyxel-GS1910-24 HP (2)</t>
  </si>
  <si>
    <t>S122V52000329</t>
  </si>
  <si>
    <t>Zyxel-GS1910-24 HP (3)</t>
  </si>
  <si>
    <t>S122V52000330</t>
  </si>
  <si>
    <t xml:space="preserve">RACK TALLER </t>
  </si>
  <si>
    <t>Zyxel-GS1910-24 HP (4)</t>
  </si>
  <si>
    <t>S122V52000317</t>
  </si>
  <si>
    <t xml:space="preserve">3COM </t>
  </si>
  <si>
    <t>7HFJ036852</t>
  </si>
  <si>
    <t>192.168.170.70</t>
  </si>
  <si>
    <t>-</t>
  </si>
  <si>
    <t>DC PRINCIPAL</t>
  </si>
  <si>
    <t>CISCO 890 (1)</t>
  </si>
  <si>
    <t>FJC1950E13</t>
  </si>
  <si>
    <t>GV-La LLAVE PRINCIPAL (Telefonica)</t>
  </si>
  <si>
    <t>CISCO 890 (2)</t>
  </si>
  <si>
    <t>FJC1950E116</t>
  </si>
  <si>
    <t>GV-La LLAVE BCK (Telefonica)</t>
  </si>
  <si>
    <t>FortiSwitch 148F</t>
  </si>
  <si>
    <t>S148FNTF23002708</t>
  </si>
  <si>
    <t>172.23.100.250</t>
  </si>
  <si>
    <t>101,70,105,110,200,500,149,80,130,100</t>
  </si>
  <si>
    <t>S148FNTF23002284</t>
  </si>
  <si>
    <t>172.23.100.251</t>
  </si>
  <si>
    <t>S148FNTF23002715</t>
  </si>
  <si>
    <t>172.23.200.250</t>
  </si>
  <si>
    <t>110,300,100,101,70,131</t>
  </si>
  <si>
    <t>HP A5500</t>
  </si>
  <si>
    <t>CN53FGH0DZ</t>
  </si>
  <si>
    <t xml:space="preserve">192.168.105.6 </t>
  </si>
  <si>
    <t>120,105,150,147,150,151,152,153,149,130</t>
  </si>
  <si>
    <t>BODEGA 5 ECUAIMCO</t>
  </si>
  <si>
    <t xml:space="preserve"> HP-5130-48G-4SFP+ JG934A</t>
  </si>
  <si>
    <t>CN54GPX0Y1</t>
  </si>
  <si>
    <t xml:space="preserve">TALLER </t>
  </si>
  <si>
    <t>HPE ARUBA  R8N85A 6000 48G CL4 4SFP</t>
  </si>
  <si>
    <t>TW45LLY47B</t>
  </si>
  <si>
    <t>OFICINA ADMINISTRATIVA - COWORKING</t>
  </si>
  <si>
    <t>HP-2530-48G</t>
  </si>
  <si>
    <t>CN0BFP62MV</t>
  </si>
  <si>
    <t xml:space="preserve"> RUJIE - NBS3100-24GT4SFP-P</t>
  </si>
  <si>
    <t>G1RU52A005601</t>
  </si>
  <si>
    <t>RUJIE - NBS3100-24GT4SFP-P</t>
  </si>
  <si>
    <t>G1RP4G5020679</t>
  </si>
  <si>
    <t xml:space="preserve">DC PRINCIPAL - RACK AEREO </t>
  </si>
  <si>
    <t>Rujie - RG-ES226GC-P</t>
  </si>
  <si>
    <t>G1QH9WE000607</t>
  </si>
  <si>
    <t>Rujie - RG-ES224GC</t>
  </si>
  <si>
    <t>G1PHCEC013188</t>
  </si>
  <si>
    <t>Oficina  Dalkasa</t>
  </si>
  <si>
    <t>Switch Ruijie ES218 GC-Poe Dalkasa</t>
  </si>
  <si>
    <t>CAR806200456C</t>
  </si>
  <si>
    <t>192.168.1.253</t>
  </si>
  <si>
    <t>Ruijie ES218 GC</t>
  </si>
  <si>
    <t>Ruijie ES218 FC</t>
  </si>
  <si>
    <t>CISCO 881</t>
  </si>
  <si>
    <t>FJC2041L25S</t>
  </si>
  <si>
    <t>FJC2041L25C</t>
  </si>
  <si>
    <t>Datacenter - Piso 8</t>
  </si>
  <si>
    <t>CISCO Catalyst WS-C3650-24TD</t>
  </si>
  <si>
    <t>FDO2123E01N</t>
  </si>
  <si>
    <t>192.168.84.162</t>
  </si>
  <si>
    <t>1,10,20,30,40,50,60,61,70,80,90,95,100,101,102,110,120,130,140,150,160,170,180,190,200,204</t>
  </si>
  <si>
    <t>SW-VS-SKYB-P8-C01</t>
  </si>
  <si>
    <t xml:space="preserve">CISCO Catalyst WS-C2960X-48FPS-L </t>
  </si>
  <si>
    <t>FOC2038Y2YP</t>
  </si>
  <si>
    <t>192.168.84.140</t>
  </si>
  <si>
    <t>SW-VS-SKYB-P8-A01</t>
  </si>
  <si>
    <t>FOC2038Y309</t>
  </si>
  <si>
    <t>192.168.84.141</t>
  </si>
  <si>
    <t>SW-VS-SKYB-P8-A02</t>
  </si>
  <si>
    <t>FGL220394ZP</t>
  </si>
  <si>
    <t>10.91.0.43</t>
  </si>
  <si>
    <t>CISCO 1900 Series</t>
  </si>
  <si>
    <t>FTX1822840K</t>
  </si>
  <si>
    <t>10.91.0.44</t>
  </si>
  <si>
    <t>COMBA NIX-42 Series Indoor Unit</t>
  </si>
  <si>
    <t>EA1650001339</t>
  </si>
  <si>
    <t>Ecuapatria - Cuarto de Rack - Piso 10</t>
  </si>
  <si>
    <t>ARUBA 1960 24G</t>
  </si>
  <si>
    <t>TW19KY601G</t>
  </si>
  <si>
    <t>192.168.84.147</t>
  </si>
  <si>
    <t>SW-VS-SKYB-P10-A01</t>
  </si>
  <si>
    <t>Cooperativa - Cuarto de Rack - Piso 10</t>
  </si>
  <si>
    <t>HPE Office Connect 1920 S - 24P</t>
  </si>
  <si>
    <t>CN73K3L0J7</t>
  </si>
  <si>
    <t>TP-LINK TL-SG 1024</t>
  </si>
  <si>
    <t xml:space="preserve">Proveedor </t>
  </si>
  <si>
    <t>Cuarto de Rack - Piso 3</t>
  </si>
  <si>
    <t>HP 5130-48G-4SFP+</t>
  </si>
  <si>
    <t>CN52GPX01X</t>
  </si>
  <si>
    <t>192.168.84.144</t>
  </si>
  <si>
    <t>SW-VS-SKYB-P3-A01</t>
  </si>
  <si>
    <t>BCEAFAA63C9D</t>
  </si>
  <si>
    <t>HPE 5130-48G-PoE+-4SFP+</t>
  </si>
  <si>
    <t>CN21GQ00BF</t>
  </si>
  <si>
    <t>192.168.84.145</t>
  </si>
  <si>
    <t>SW-VS-SKYB-P3-A02</t>
  </si>
  <si>
    <t>54778A00C120</t>
  </si>
  <si>
    <t>192.168.78.2</t>
  </si>
  <si>
    <t>HP-----------</t>
  </si>
  <si>
    <t>172.10.10.1</t>
  </si>
  <si>
    <t>Datacenter comunicaciones</t>
  </si>
  <si>
    <t>TW29HL02XW</t>
  </si>
  <si>
    <t>192.168.61.66</t>
  </si>
  <si>
    <t>9460D5E50B60</t>
  </si>
  <si>
    <t>CISCO ISR 1000 SERIES C1111-4P</t>
  </si>
  <si>
    <t>FGL2417L31U</t>
  </si>
  <si>
    <t>PRINCIPAL (Telefonica)</t>
  </si>
  <si>
    <t>FJC1950E0SX</t>
  </si>
  <si>
    <t>TROPICALIMENTOS BACK-UP MOVISTRAR</t>
  </si>
  <si>
    <t>Nombre del Servicio</t>
  </si>
  <si>
    <t>Descripción</t>
  </si>
  <si>
    <t>Criticidad</t>
  </si>
  <si>
    <t>Usuarios Afectados</t>
  </si>
  <si>
    <t>Horario de Operación</t>
  </si>
  <si>
    <t>SLA de Resolución</t>
  </si>
  <si>
    <t>Proveedor de Soporte</t>
  </si>
  <si>
    <t>Escalamiento L3</t>
  </si>
  <si>
    <t>Aurora</t>
  </si>
  <si>
    <t>Fuerza de ventas</t>
  </si>
  <si>
    <t>ALTO</t>
  </si>
  <si>
    <t>24 X 7</t>
  </si>
  <si>
    <t>Solicitar a BP
Canal de comunicación con Aplicaciones</t>
  </si>
  <si>
    <t>BAT</t>
  </si>
  <si>
    <t>ERP</t>
  </si>
  <si>
    <t>07:00 - 21:00</t>
  </si>
  <si>
    <t>Chemeter</t>
  </si>
  <si>
    <t>Hojas de seguridad de Barnices</t>
  </si>
  <si>
    <t>BAJO</t>
  </si>
  <si>
    <t>Datil - Sinple</t>
  </si>
  <si>
    <t>Facturación electrónica</t>
  </si>
  <si>
    <t>EBS</t>
  </si>
  <si>
    <t>Auto servivio RRHH</t>
  </si>
  <si>
    <t>MEDIO</t>
  </si>
  <si>
    <t>Todo los colaboradores GV</t>
  </si>
  <si>
    <t>EFI</t>
  </si>
  <si>
    <t>Gestión de pólizas de seguro</t>
  </si>
  <si>
    <t>Evolution</t>
  </si>
  <si>
    <t>Sistema RRHH, nómina</t>
  </si>
  <si>
    <t>IBM Cognos Analitics</t>
  </si>
  <si>
    <t>Reporteador</t>
  </si>
  <si>
    <t>ICLASS LLE</t>
  </si>
  <si>
    <t>Gestión servicio técnico</t>
  </si>
  <si>
    <t>ICLASS LLP</t>
  </si>
  <si>
    <t>Mfiles</t>
  </si>
  <si>
    <t>Gestión documental</t>
  </si>
  <si>
    <t>My Dealer Ecuaimco</t>
  </si>
  <si>
    <t>Orion</t>
  </si>
  <si>
    <t>Sistema de cooperativas</t>
  </si>
  <si>
    <t>Potencie LLE</t>
  </si>
  <si>
    <t>Potencie LLP</t>
  </si>
  <si>
    <t>QuickBook</t>
  </si>
  <si>
    <t>07:00 - 23:00</t>
  </si>
  <si>
    <t>RPA Ecuaimco</t>
  </si>
  <si>
    <t>RPA</t>
  </si>
  <si>
    <t>1 Proceso</t>
  </si>
  <si>
    <t>RPA LLE</t>
  </si>
  <si>
    <t>RPA LLP</t>
  </si>
  <si>
    <t>RPA SEMVRA</t>
  </si>
  <si>
    <t>4 Procesos</t>
  </si>
  <si>
    <t>RPA UNE</t>
  </si>
  <si>
    <t>16 Procesos</t>
  </si>
  <si>
    <t>SAP B1</t>
  </si>
  <si>
    <t>SAP Hana</t>
  </si>
  <si>
    <t>SGD</t>
  </si>
  <si>
    <t>Evaluación de cumplimiento de metas, RRHH</t>
  </si>
  <si>
    <t>SIIGO</t>
  </si>
  <si>
    <t>ERP - Histórico</t>
  </si>
  <si>
    <t>SIMATIC  UNE</t>
  </si>
  <si>
    <t>SISTEMA DE AUTOMATIZACIÓN
INDUSTRIAL (PLC)</t>
  </si>
  <si>
    <t>PRODUCCION
DESPACHO</t>
  </si>
  <si>
    <t>SINPLE</t>
  </si>
  <si>
    <t>Sistema Biométrico SEMVRA - Tiesdi</t>
  </si>
  <si>
    <t>Control asistencia</t>
  </si>
  <si>
    <t>Todos colaboradores
SEMVRA</t>
  </si>
  <si>
    <t>Sistema Biométrico UNE - OnlyC</t>
  </si>
  <si>
    <t>Todos colaboradores
UNE/LLAVE</t>
  </si>
  <si>
    <t>sistema Fundacion</t>
  </si>
  <si>
    <t>Gestión de becas y beneficios</t>
  </si>
  <si>
    <t>Sistema Inventario TI (Ilum)</t>
  </si>
  <si>
    <t>Gestión de inventario informático</t>
  </si>
  <si>
    <t>Aplicaciones desarrolladas por Fadesa</t>
  </si>
  <si>
    <t>Desarrollos internos de Fadesa</t>
  </si>
  <si>
    <t>Funcionalidades Operacionales</t>
  </si>
  <si>
    <t>SP</t>
  </si>
  <si>
    <t>Sistema de producción - Histórico</t>
  </si>
  <si>
    <t>Sygnus</t>
  </si>
  <si>
    <t>Sistema RRHH, nómina - Históricp</t>
  </si>
  <si>
    <t>TCI (Facturación electrónica)</t>
  </si>
  <si>
    <t>Interfaz con bancos para transacciones</t>
  </si>
  <si>
    <t>Fusion - Creston</t>
  </si>
  <si>
    <t>Integración de agendadores con Google</t>
  </si>
  <si>
    <t>Techind - biométrico Ecuapatria</t>
  </si>
  <si>
    <t>ZK Teko - Biométrico Empase UNI</t>
  </si>
  <si>
    <t>ISP</t>
  </si>
  <si>
    <t>Device Name</t>
  </si>
  <si>
    <t>Hardware Model</t>
  </si>
  <si>
    <t>Monitoring Access IP</t>
  </si>
  <si>
    <t>Device Version FortiOS</t>
  </si>
  <si>
    <t xml:space="preserve">
Existencia On Site</t>
  </si>
  <si>
    <t>Existe según 
inventario ILUM</t>
  </si>
  <si>
    <t>Ubicación (Rack/UR)</t>
  </si>
  <si>
    <t>Telefonica</t>
  </si>
  <si>
    <t>PROVEEDOR</t>
  </si>
  <si>
    <t>Si</t>
  </si>
  <si>
    <t>Firewall</t>
  </si>
  <si>
    <t>VILASECA_FG4H0F</t>
  </si>
  <si>
    <t>FortiGate-400F</t>
  </si>
  <si>
    <t>181.188.209.98</t>
  </si>
  <si>
    <t>7.4.7,build2731 (GA)</t>
  </si>
  <si>
    <t xml:space="preserve"> FG4H0FT923905907</t>
  </si>
  <si>
    <t xml:space="preserve"> FG4H0FT923905547</t>
  </si>
  <si>
    <t>Cirion</t>
  </si>
  <si>
    <t>SKY BUILDING</t>
  </si>
  <si>
    <t>FG_Skybuilding</t>
  </si>
  <si>
    <t>FortiGate-100F</t>
  </si>
  <si>
    <t>FG100FTK22034668</t>
  </si>
  <si>
    <t xml:space="preserve">FG100FTK22034807 </t>
  </si>
  <si>
    <t>SEMVRA</t>
  </si>
  <si>
    <t>FG_Semvra_Veconsa_Daule</t>
  </si>
  <si>
    <t>FortiGate-200F</t>
  </si>
  <si>
    <t xml:space="preserve"> FG200FT922938086</t>
  </si>
  <si>
    <t>EXISTE EN INVENTARIO ILUM</t>
  </si>
  <si>
    <t>R1_CC1_PRIN</t>
  </si>
  <si>
    <t xml:space="preserve"> FG200FT922937467</t>
  </si>
  <si>
    <t>FG_Chiveria_Planta</t>
  </si>
  <si>
    <t>FortiGate-40F</t>
  </si>
  <si>
    <t>94F392F9C5F0</t>
  </si>
  <si>
    <t>FGT40FTK2209HBF1</t>
  </si>
  <si>
    <t xml:space="preserve"> FortiGate-100F </t>
  </si>
  <si>
    <t>FG100FTK22035554</t>
  </si>
  <si>
    <t xml:space="preserve">FortiGate-100F </t>
  </si>
  <si>
    <t xml:space="preserve"> FG100FTK22035520 </t>
  </si>
  <si>
    <t>Proveedor</t>
  </si>
  <si>
    <t>FortiGate-60F</t>
  </si>
  <si>
    <t>AC:71:2E:F9:1D:4E</t>
  </si>
  <si>
    <t>FGT60FTK2209FB3J</t>
  </si>
  <si>
    <t>R1_CC1_PRIN/UR24</t>
  </si>
  <si>
    <t>BABAHOYO</t>
  </si>
  <si>
    <t xml:space="preserve"> FG_Semvra_Veconsa_Babahoyo</t>
  </si>
  <si>
    <t>FGT60FTK23092336</t>
  </si>
  <si>
    <t>FG_Semvra_Veconsa_Babahoyo</t>
  </si>
  <si>
    <t>FGT60FTK2309ATAU</t>
  </si>
  <si>
    <t>FADESA</t>
  </si>
  <si>
    <t>CHIMBOTE</t>
  </si>
  <si>
    <t>FG_Fadesa_Chimbote_Peru</t>
  </si>
  <si>
    <t>FGT40FTK2109A5AL</t>
  </si>
  <si>
    <t>FG_Fadesa_Metales</t>
  </si>
  <si>
    <t>FORTINET FortiGate-400F</t>
  </si>
  <si>
    <t>FG4H0FT922902940</t>
  </si>
  <si>
    <t>R1_CW/UR7 </t>
  </si>
  <si>
    <t>FG4H0FT922902834</t>
  </si>
  <si>
    <t>R1_CW/UR10 </t>
  </si>
  <si>
    <t xml:space="preserve">FG_Fadesa_Callao_Peru </t>
  </si>
  <si>
    <t xml:space="preserve">FortiGate-60F </t>
  </si>
  <si>
    <t>FGT60FTK21013520</t>
  </si>
  <si>
    <t xml:space="preserve"> FGT60FTK2109D3ZE</t>
  </si>
  <si>
    <t>FG_Fadesa_Manta</t>
  </si>
  <si>
    <t xml:space="preserve"> 7.4.6,build2726 (GA)</t>
  </si>
  <si>
    <t>FGT60FTK2209FS49</t>
  </si>
  <si>
    <t>R_CC1/UR33</t>
  </si>
  <si>
    <t xml:space="preserve">FG_Fadesa_Manta </t>
  </si>
  <si>
    <t xml:space="preserve"> FGT60FTK2209FPH0</t>
  </si>
  <si>
    <t>Claro</t>
  </si>
  <si>
    <t>FortiGate-30E</t>
  </si>
  <si>
    <t>04:D5:90:D5:E8:F0</t>
  </si>
  <si>
    <t>FGT30E562003790</t>
  </si>
  <si>
    <t>R_CC1/UR19</t>
  </si>
  <si>
    <t>Validar CODG ACT ILUM</t>
  </si>
  <si>
    <t>PLASTICOS</t>
  </si>
  <si>
    <t>FG_Fadesa_Plasticos</t>
  </si>
  <si>
    <t>04:01:A12D:D1:28</t>
  </si>
  <si>
    <t>FGT80FTK24005090</t>
  </si>
  <si>
    <t xml:space="preserve"> FGT80FTK24002085</t>
  </si>
  <si>
    <t>FG_Fadesa_Quito</t>
  </si>
  <si>
    <t>FGT60FTK23062559</t>
  </si>
  <si>
    <t xml:space="preserve"> FGT60FTK23063575</t>
  </si>
  <si>
    <t>COLOMBIA</t>
  </si>
  <si>
    <t>FG_Fadesa_Barranquilla</t>
  </si>
  <si>
    <t xml:space="preserve"> FGT60FTK20008285</t>
  </si>
  <si>
    <t>DALKASA</t>
  </si>
  <si>
    <t xml:space="preserve">FG_Dalkasa_GYE </t>
  </si>
  <si>
    <t>FGT60FTK22017820</t>
  </si>
  <si>
    <t>FG_Dalkasa_GYE</t>
  </si>
  <si>
    <t>FGT60FTK22017191</t>
  </si>
  <si>
    <t>LA LLAVE</t>
  </si>
  <si>
    <t xml:space="preserve">FG_La_Llave_GYE </t>
  </si>
  <si>
    <t>FortiGate-80F</t>
  </si>
  <si>
    <t>FGT80FTK22041669</t>
  </si>
  <si>
    <t>R1_CC1_PRIN/UR39</t>
  </si>
  <si>
    <t>Principal</t>
  </si>
  <si>
    <t>FGT80FTK22065748</t>
  </si>
  <si>
    <t>Backup</t>
  </si>
  <si>
    <t>FG_La_Llave_UIO</t>
  </si>
  <si>
    <t>FGT80FTK22041844</t>
  </si>
  <si>
    <t xml:space="preserve"> FGT80FTK22062453</t>
  </si>
  <si>
    <t>FG_La_Llave_San_Isidro</t>
  </si>
  <si>
    <t>FGT60FTK2209HLLL</t>
  </si>
  <si>
    <t xml:space="preserve"> FGT60FTK2209HM24</t>
  </si>
  <si>
    <t>FG_La_Llave_VES</t>
  </si>
  <si>
    <t>FGT60FTK2109D367</t>
  </si>
  <si>
    <t xml:space="preserve"> FGT60FTK23022222</t>
  </si>
  <si>
    <t>c0mpSEm593#</t>
  </si>
  <si>
    <t xml:space="preserve">10.85.0.3 </t>
  </si>
  <si>
    <t>10.85.0.4</t>
  </si>
  <si>
    <t>10.87.0.3</t>
  </si>
  <si>
    <t>Litográfica</t>
  </si>
  <si>
    <t>UNIDAD</t>
  </si>
  <si>
    <t>EMPRESA</t>
  </si>
  <si>
    <t>CIUDAD/LUGAR</t>
  </si>
  <si>
    <t>MARCA</t>
  </si>
  <si>
    <t xml:space="preserve">NOMBRE </t>
  </si>
  <si>
    <t>IP ADDRESS</t>
  </si>
  <si>
    <t>MODEL</t>
  </si>
  <si>
    <t>SERIAL</t>
  </si>
  <si>
    <t xml:space="preserve">Observaciones </t>
  </si>
  <si>
    <t>Existe en Inv ILUM</t>
  </si>
  <si>
    <t>INMOVILA</t>
  </si>
  <si>
    <t xml:space="preserve">CISCO </t>
  </si>
  <si>
    <t>AP_VILANOVA-01</t>
  </si>
  <si>
    <t>10.83.1.188</t>
  </si>
  <si>
    <t>AIR-CAP2702I-A-K9</t>
  </si>
  <si>
    <t>FCW2130N4AE</t>
  </si>
  <si>
    <t>SKY ECUAPATRIA</t>
  </si>
  <si>
    <t xml:space="preserve">ARUBA </t>
  </si>
  <si>
    <t>AP-SKYB10-ECU-100</t>
  </si>
  <si>
    <t>192.168.79.100</t>
  </si>
  <si>
    <t>AP-505</t>
  </si>
  <si>
    <t>CNN7KPPVR7</t>
  </si>
  <si>
    <t>6c:c4:9f:cd:4b:6e</t>
  </si>
  <si>
    <t>Oficinas Administrativas - 
Centro de Oficinas</t>
  </si>
  <si>
    <t>SKY COOPERATIVA</t>
  </si>
  <si>
    <t>ASTARO</t>
  </si>
  <si>
    <t>AP 10 Rev 1</t>
  </si>
  <si>
    <t>A40000ED4BA7DB3</t>
  </si>
  <si>
    <t xml:space="preserve">Área de Archivos </t>
  </si>
  <si>
    <t>AP ANTIGUO, Prove Telefo</t>
  </si>
  <si>
    <t>SKYBUILDING - INMOVILA</t>
  </si>
  <si>
    <t>AP-SKYB3-REC-102</t>
  </si>
  <si>
    <t>192.168.79.102</t>
  </si>
  <si>
    <t>AP-515</t>
  </si>
  <si>
    <t>PHR4KD53L8</t>
  </si>
  <si>
    <t>68:28:cf:ce:fa:6e</t>
  </si>
  <si>
    <t>AP-SKYB3-ADM-101</t>
  </si>
  <si>
    <t>192.168.79.101</t>
  </si>
  <si>
    <t>PHR4KD53RV</t>
  </si>
  <si>
    <t>68:28:cf:cf:03:a8</t>
  </si>
  <si>
    <t>SKYBUILDING</t>
  </si>
  <si>
    <t>AP-SKYB8-SDT-115</t>
  </si>
  <si>
    <t>192.168.79.115</t>
  </si>
  <si>
    <t>PHR8KD507G</t>
  </si>
  <si>
    <t>68:28:cf:cf:f0:22</t>
  </si>
  <si>
    <t>Sala Design Thinking</t>
  </si>
  <si>
    <t>AP-SKYB8-OMC-108</t>
  </si>
  <si>
    <t>192.168.79.108</t>
  </si>
  <si>
    <t>PHR8KD507R</t>
  </si>
  <si>
    <t>68:28:cf:cf:ff:7a</t>
  </si>
  <si>
    <t xml:space="preserve">Oficina Sr. Maria Cecilia </t>
  </si>
  <si>
    <t>AP-SKYB8-OVF-118</t>
  </si>
  <si>
    <t>192.168.79.118</t>
  </si>
  <si>
    <t>PHR8KD508M</t>
  </si>
  <si>
    <t>68:28:cf:cf:fe:56</t>
  </si>
  <si>
    <t>AP-SKYB8-FCF-107</t>
  </si>
  <si>
    <t>192.168.79.107</t>
  </si>
  <si>
    <t>PHR8KD50C6</t>
  </si>
  <si>
    <t>68:28:cf:cf:ed:44</t>
  </si>
  <si>
    <t>AP-SKYB8-FDL-117</t>
  </si>
  <si>
    <t>192.168.79.117</t>
  </si>
  <si>
    <t>PHR8KD50KD</t>
  </si>
  <si>
    <t>68:28:cf:cf:f8:ba</t>
  </si>
  <si>
    <t>AP-SKYB8-OOG-121</t>
  </si>
  <si>
    <t>192.168.79.121</t>
  </si>
  <si>
    <t>PHR8KD51JX</t>
  </si>
  <si>
    <t>68:28:cf:cf:f4:9a</t>
  </si>
  <si>
    <t>AP-SKYB3-XX-119</t>
  </si>
  <si>
    <t>192.168.79.119</t>
  </si>
  <si>
    <t>PHR8KD51K8</t>
  </si>
  <si>
    <t>68:28:cf:cf:f3:ea</t>
  </si>
  <si>
    <t>Se reubico de Inmovila Piso 3 a Semvra Sky Building en Piso 8</t>
  </si>
  <si>
    <t>AP-SKYB8-SAV-103</t>
  </si>
  <si>
    <t>192.16879.103</t>
  </si>
  <si>
    <t>PHR8KD51LZ</t>
  </si>
  <si>
    <t>50:e4:e0:c3:0d:a8</t>
  </si>
  <si>
    <t>AP-SKYB8-JLE-109</t>
  </si>
  <si>
    <t>192.168.79.109</t>
  </si>
  <si>
    <t>PHR8KD51PL</t>
  </si>
  <si>
    <t>50:e4:e0:c3:0b:54</t>
  </si>
  <si>
    <t>Empase</t>
  </si>
  <si>
    <t>AP-SKYB8-SAD-113</t>
  </si>
  <si>
    <t>192.168.79.113</t>
  </si>
  <si>
    <t>PHR8KD51Q2</t>
  </si>
  <si>
    <t>68:28:cf:cf:f4:5a</t>
  </si>
  <si>
    <t>Sala Directorio</t>
  </si>
  <si>
    <t>AP-SKYB8-FGV-112</t>
  </si>
  <si>
    <t>192.168.79.112</t>
  </si>
  <si>
    <t>PHR8KD51QC</t>
  </si>
  <si>
    <t>68:28:cf:cf:f6:50</t>
  </si>
  <si>
    <t>Family</t>
  </si>
  <si>
    <t>AP-SKYB8-REP-105</t>
  </si>
  <si>
    <t>192.168.79.105</t>
  </si>
  <si>
    <t>PHR8KD51QT</t>
  </si>
  <si>
    <t>50:e4:e0:c3:12:c6</t>
  </si>
  <si>
    <t>Recepción</t>
  </si>
  <si>
    <t>AP-SKYB8-SVF-104</t>
  </si>
  <si>
    <t>192.168.79.104</t>
  </si>
  <si>
    <t>PHR8KD51RF</t>
  </si>
  <si>
    <t>50:e4:e0:c3:0e:06</t>
  </si>
  <si>
    <t>Semvra Facundo</t>
  </si>
  <si>
    <t>Se encontró en mesa, 
pendiente empotrar</t>
  </si>
  <si>
    <t>AP-SKYB8-OCF-111</t>
  </si>
  <si>
    <t>192.168.79.111</t>
  </si>
  <si>
    <t>PHR8KD51WB</t>
  </si>
  <si>
    <t>68:28:cf:cf:f1:12</t>
  </si>
  <si>
    <t>Área TI</t>
  </si>
  <si>
    <t>AP-SKYB8-CAF-116</t>
  </si>
  <si>
    <t>192.168.79.116</t>
  </si>
  <si>
    <t>PHR8KD51XJ</t>
  </si>
  <si>
    <t>68:28:cf:cf:ee:e4</t>
  </si>
  <si>
    <t>Cafetería</t>
  </si>
  <si>
    <t>AP-SKYB8-SMV-106</t>
  </si>
  <si>
    <t>192.168.79.106</t>
  </si>
  <si>
    <t>PHR8KD51ZZ</t>
  </si>
  <si>
    <t>68:28:cf:cf:eb:f6</t>
  </si>
  <si>
    <t xml:space="preserve">Semvra Veconsa </t>
  </si>
  <si>
    <t xml:space="preserve">BABAHOYO </t>
  </si>
  <si>
    <t>CISCO</t>
  </si>
  <si>
    <t>10.83.3.41</t>
  </si>
  <si>
    <t>FCW2130N4AU</t>
  </si>
  <si>
    <t>10.83.3.47</t>
  </si>
  <si>
    <t>FCW2130N4G8</t>
  </si>
  <si>
    <t>10.83.3.40</t>
  </si>
  <si>
    <t>FCW2126N583</t>
  </si>
  <si>
    <t>10.83.3.42</t>
  </si>
  <si>
    <t>FCW2130N4A9</t>
  </si>
  <si>
    <t>10.83.3.43</t>
  </si>
  <si>
    <t>FCW2126N56S</t>
  </si>
  <si>
    <t>10.83.3.44</t>
  </si>
  <si>
    <t>FCW2126N56L</t>
  </si>
  <si>
    <t>10.83.3.45</t>
  </si>
  <si>
    <t>FCW2126N56H</t>
  </si>
  <si>
    <t>AP-CHIV-ADM-126</t>
  </si>
  <si>
    <t>172.18.202.126</t>
  </si>
  <si>
    <t>CNQ7LBNLF2</t>
  </si>
  <si>
    <t>54:d7:e3:c8:3c:2c</t>
  </si>
  <si>
    <t>AP-CHIV-CALI-125</t>
  </si>
  <si>
    <t>172.18.202.125</t>
  </si>
  <si>
    <t>PHQSLBN4WL</t>
  </si>
  <si>
    <t>68:28:cf:ce:90:f4</t>
  </si>
  <si>
    <t>AP-CHIV-PREL-124</t>
  </si>
  <si>
    <t>172.18.202.124</t>
  </si>
  <si>
    <t>AP-565</t>
  </si>
  <si>
    <t>VNS9KWC0V1</t>
  </si>
  <si>
    <t>48:00:20:c8:2c:b2</t>
  </si>
  <si>
    <t>AP-CHIV-MTTO-123</t>
  </si>
  <si>
    <t>172.18.202.123</t>
  </si>
  <si>
    <t>VNS9KWC0ZH</t>
  </si>
  <si>
    <t>48:00:20:c8:2d:38</t>
  </si>
  <si>
    <t>AP-CHIVERIA-01</t>
  </si>
  <si>
    <t>10.83.1.228</t>
  </si>
  <si>
    <t>AIR-CAP2702E-A-K9</t>
  </si>
  <si>
    <t>FJC2132M1GC</t>
  </si>
  <si>
    <t>AP-CHIVERIA-03</t>
  </si>
  <si>
    <t>10.83.1.230</t>
  </si>
  <si>
    <t>FJC1950F2LN</t>
  </si>
  <si>
    <t>AP-CHIVERIA-08</t>
  </si>
  <si>
    <t>10.83.1.235</t>
  </si>
  <si>
    <t>FJC2132M1GD</t>
  </si>
  <si>
    <t>AP-CHIVERIA-09</t>
  </si>
  <si>
    <t>10.83.1.236</t>
  </si>
  <si>
    <t>FJC2132M1G5</t>
  </si>
  <si>
    <t>AP-CHIVERIA-11</t>
  </si>
  <si>
    <t>10.83.1.238</t>
  </si>
  <si>
    <t>FJC2132M1G4</t>
  </si>
  <si>
    <t>10.83.1.240</t>
  </si>
  <si>
    <t>AIR-AP2802E-A-K9</t>
  </si>
  <si>
    <t>FGL2419LF18</t>
  </si>
  <si>
    <t>AP-CHIVERIA-14</t>
  </si>
  <si>
    <t>10.83.1.241</t>
  </si>
  <si>
    <t>FGL2419LEZP</t>
  </si>
  <si>
    <t>AP-CHIVERIA-15</t>
  </si>
  <si>
    <t>10.83.1.242</t>
  </si>
  <si>
    <t>FGL2419LEZS</t>
  </si>
  <si>
    <t>10.83.1.245</t>
  </si>
  <si>
    <t>AIR-AP1542I-A-K9</t>
  </si>
  <si>
    <t>FGL2446LANW</t>
  </si>
  <si>
    <t>AP-CHIVERIA-19</t>
  </si>
  <si>
    <t>10.83.1.246</t>
  </si>
  <si>
    <t>FGL2446LAVD</t>
  </si>
  <si>
    <t>AP-SDG-MANT-121</t>
  </si>
  <si>
    <t>172.18.201.121</t>
  </si>
  <si>
    <t>CNNCKD5LMV</t>
  </si>
  <si>
    <t>a8:5b:f7:cb:73:bc</t>
  </si>
  <si>
    <t>AP-SDG-CEDI-125</t>
  </si>
  <si>
    <t>172.18.201.125</t>
  </si>
  <si>
    <t>CNNSKD5J5G</t>
  </si>
  <si>
    <t>b0:1f:8c:c1:e6:8a</t>
  </si>
  <si>
    <t>AP-SDG-ENVA-122</t>
  </si>
  <si>
    <t>172.18.201.122</t>
  </si>
  <si>
    <t>CNQJKWC147</t>
  </si>
  <si>
    <t>50:e4:e0:c1:24:14</t>
  </si>
  <si>
    <t>RRHH</t>
  </si>
  <si>
    <t>AP-SDG-RRHH-114</t>
  </si>
  <si>
    <t>172.18.201.114</t>
  </si>
  <si>
    <t>PHQCKD59H8</t>
  </si>
  <si>
    <t>74:9e:75:c7:31:6a</t>
  </si>
  <si>
    <t>AP-SDG-LABAN-113</t>
  </si>
  <si>
    <t>172.18.201.113</t>
  </si>
  <si>
    <t>PHQCKD59ND</t>
  </si>
  <si>
    <t>74:9e:75:c7:7f:48</t>
  </si>
  <si>
    <t>Dispensario Médico</t>
  </si>
  <si>
    <t>AP-SDG-MERC-116</t>
  </si>
  <si>
    <t>172.18.201.116</t>
  </si>
  <si>
    <t>PHR8KD501Z</t>
  </si>
  <si>
    <t>50:e4:e0:c3:0a:ee</t>
  </si>
  <si>
    <t>AP-SDG-PPLA-115</t>
  </si>
  <si>
    <t>172.18.201.115</t>
  </si>
  <si>
    <t>PHR8KD50DW</t>
  </si>
  <si>
    <t>50:e4:e0:c3:0b:24</t>
  </si>
  <si>
    <t>Coworking 1</t>
  </si>
  <si>
    <t>AP-SDG-OFCA-118</t>
  </si>
  <si>
    <t>172.18.201.118</t>
  </si>
  <si>
    <t>PHR8KD51L2</t>
  </si>
  <si>
    <t>50:e4:e0:c3:11:a4</t>
  </si>
  <si>
    <t>Pasillo  - Sala Gandul</t>
  </si>
  <si>
    <t>AP-SDG-SREP-119</t>
  </si>
  <si>
    <t>172.18.201.119</t>
  </si>
  <si>
    <t>PHR8KD51QS</t>
  </si>
  <si>
    <t>68:28:cf:cf:ed:38</t>
  </si>
  <si>
    <t>Area de Compras</t>
  </si>
  <si>
    <t>AP-SDG-CYP-120</t>
  </si>
  <si>
    <t>172.18.201.120</t>
  </si>
  <si>
    <t>PHR8KD5207</t>
  </si>
  <si>
    <t>50:e4:e0:c3:13:32</t>
  </si>
  <si>
    <t>AP-SDG-CHOC-123</t>
  </si>
  <si>
    <t>172.18.201.123</t>
  </si>
  <si>
    <t>VNRYKWC0DM</t>
  </si>
  <si>
    <t>48:00:20:c7:c9:9c</t>
  </si>
  <si>
    <t>AP-SDG-VOLTB-113</t>
  </si>
  <si>
    <t>VNRYKWC0DR</t>
  </si>
  <si>
    <t>48:00:20:c7:cc:60</t>
  </si>
  <si>
    <t>AP-SDG-CHOC-124</t>
  </si>
  <si>
    <t>172.18.201.124</t>
  </si>
  <si>
    <t>VNRYKWC0F0</t>
  </si>
  <si>
    <t>48:00:20:c7:cd:50</t>
  </si>
  <si>
    <t>AP-SDG-MPRI-117</t>
  </si>
  <si>
    <t>172.18.201.117</t>
  </si>
  <si>
    <t>VNRYKWC0FV</t>
  </si>
  <si>
    <t>48:00:20:c7:c8:0c</t>
  </si>
  <si>
    <t xml:space="preserve">SEMVRA QUITO </t>
  </si>
  <si>
    <t>10.83.1.150</t>
  </si>
  <si>
    <t>FCW2130N4FX</t>
  </si>
  <si>
    <t>CALLAO</t>
  </si>
  <si>
    <t>AP-PE-Envases</t>
  </si>
  <si>
    <t>172.16.1.40</t>
  </si>
  <si>
    <t>CNMQKD56CN</t>
  </si>
  <si>
    <t>94:64:24:cc:d4:d6</t>
  </si>
  <si>
    <t>AP-PE-RRHH</t>
  </si>
  <si>
    <t>172.16.1.17</t>
  </si>
  <si>
    <t>CNMQKD56ND</t>
  </si>
  <si>
    <t>94:64:24:cc:b3:50</t>
  </si>
  <si>
    <t>AP-PE-Administracion</t>
  </si>
  <si>
    <t>172.16.1.9</t>
  </si>
  <si>
    <t>CNMQKD56NJ</t>
  </si>
  <si>
    <t>94:64:24:cc:86:da</t>
  </si>
  <si>
    <t>AP-PE-G_PLANTA</t>
  </si>
  <si>
    <t>172.16.1.75</t>
  </si>
  <si>
    <t>CNMQKD56Q4</t>
  </si>
  <si>
    <t>94:64:24:cc:ad:ba</t>
  </si>
  <si>
    <t>AP-PE-Despachos</t>
  </si>
  <si>
    <t>172.16.1.60</t>
  </si>
  <si>
    <t>CNMQKD56Q5</t>
  </si>
  <si>
    <t>94:64:24:cc:8b:9a</t>
  </si>
  <si>
    <t>AP_EXTERIOR</t>
  </si>
  <si>
    <t>172.16.1.64</t>
  </si>
  <si>
    <t>AP-577</t>
  </si>
  <si>
    <t>CNMQKV40TR</t>
  </si>
  <si>
    <t>cc:88:c7:ce:c7:68</t>
  </si>
  <si>
    <t>D-LINK</t>
  </si>
  <si>
    <t>DAP-2690</t>
  </si>
  <si>
    <t>PVZR1BB000045</t>
  </si>
  <si>
    <t>TP LINK</t>
  </si>
  <si>
    <t>TL-WAS210G</t>
  </si>
  <si>
    <t>AP Chimbote</t>
  </si>
  <si>
    <t>192.168.2.123</t>
  </si>
  <si>
    <t>CNMQKD56M8</t>
  </si>
  <si>
    <t>94:64:24:cc:b5:58</t>
  </si>
  <si>
    <t>AP4-SW2-P46</t>
  </si>
  <si>
    <t>192.168.194.21</t>
  </si>
  <si>
    <t>CNNCKD5MPP</t>
  </si>
  <si>
    <t>a8:5b:f7:cb:7c:ca</t>
  </si>
  <si>
    <t>AP1-SW1-P45</t>
  </si>
  <si>
    <t>192.168.194.23</t>
  </si>
  <si>
    <t>CNNCKD5MQ6</t>
  </si>
  <si>
    <t>a8:5b:f7:cb:88:7e</t>
  </si>
  <si>
    <t>AP3-SW1-P46</t>
  </si>
  <si>
    <t>192.168.194.24</t>
  </si>
  <si>
    <t>CNNCKD5MQ9</t>
  </si>
  <si>
    <t>a8:5b:f7:cb:93:94</t>
  </si>
  <si>
    <t>AP3-SW2-P45</t>
  </si>
  <si>
    <t>192.168.194.22</t>
  </si>
  <si>
    <t>CNNCKD5MQD</t>
  </si>
  <si>
    <t>a8:5b:f7:cb:79:e6</t>
  </si>
  <si>
    <t>AP-ECBDAULE-DESA01</t>
  </si>
  <si>
    <t>172.18.200.3</t>
  </si>
  <si>
    <t>CNNCKD5LJF</t>
  </si>
  <si>
    <t>a8:5b:f7:cb:74:80</t>
  </si>
  <si>
    <t>Laboratorio</t>
  </si>
  <si>
    <t>IL2123ACT</t>
  </si>
  <si>
    <t>Validar con ILUM</t>
  </si>
  <si>
    <t>Compresión</t>
  </si>
  <si>
    <t>AP-FPG-COMP-8</t>
  </si>
  <si>
    <t>192.168.136.8</t>
  </si>
  <si>
    <t>CNQHKWC1J1</t>
  </si>
  <si>
    <t>dc:b7:ac:cf:dc:d6</t>
  </si>
  <si>
    <t>Planta Industrial</t>
  </si>
  <si>
    <t>AP-FPG-ING_PT-7</t>
  </si>
  <si>
    <t>192.168.136.7</t>
  </si>
  <si>
    <t>CNQHKWC1LW</t>
  </si>
  <si>
    <t>dc:b7:ac:cf:df:06</t>
  </si>
  <si>
    <t>Bodega de Materia Prima</t>
  </si>
  <si>
    <t>AP-FPG-BMP_IGLU-9</t>
  </si>
  <si>
    <t>192.168.136.9</t>
  </si>
  <si>
    <t>CNQHKWC1NS</t>
  </si>
  <si>
    <t>dc:b7:ac:cf:da:ca</t>
  </si>
  <si>
    <t>AP-FPG-BPT-6</t>
  </si>
  <si>
    <t>192.168.136.6</t>
  </si>
  <si>
    <t>PHR4KD536X</t>
  </si>
  <si>
    <t>68:28:cf:ce:f5:06</t>
  </si>
  <si>
    <t>Planta Baja - Coworking Opreaciones</t>
  </si>
  <si>
    <t>AP-FPG-PLTA_ADM-5</t>
  </si>
  <si>
    <t>192.168.136.5</t>
  </si>
  <si>
    <t>PHR4KD53KP</t>
  </si>
  <si>
    <t>68:28:cf:cf:00:66</t>
  </si>
  <si>
    <t>Planta Alta - Coworking Opreaciones</t>
  </si>
  <si>
    <t>AP-FPG-PLTB_ADM-4</t>
  </si>
  <si>
    <t>192.168.136.4</t>
  </si>
  <si>
    <t>PHR4KD53QH</t>
  </si>
  <si>
    <t>68:28:cf:cf:0c:18</t>
  </si>
  <si>
    <t xml:space="preserve">FADESA QUITO </t>
  </si>
  <si>
    <t>10.83.1.149</t>
  </si>
  <si>
    <t>FCW2130N4AT</t>
  </si>
  <si>
    <t>N /A</t>
  </si>
  <si>
    <t>FADESA QUITO</t>
  </si>
  <si>
    <t>APFadesaBodegaUIO</t>
  </si>
  <si>
    <t>192.168.165.10</t>
  </si>
  <si>
    <t>CNKHKD5KB5</t>
  </si>
  <si>
    <t>24:62:ce:c9:fe:2c</t>
  </si>
  <si>
    <t>AP-FMNT-CF2P-4</t>
  </si>
  <si>
    <t>192.168.216.4</t>
  </si>
  <si>
    <t>CNLGKD532B</t>
  </si>
  <si>
    <t>fc:7f:f1:c3:99:7c</t>
  </si>
  <si>
    <t>AP-FMNT-CC1-8</t>
  </si>
  <si>
    <t>192.168.216.8</t>
  </si>
  <si>
    <t>CNLGKD537H</t>
  </si>
  <si>
    <t>fc:7f:f1:c3:9c:44</t>
  </si>
  <si>
    <t>AP-FMNT-XX-5</t>
  </si>
  <si>
    <t>192.168.216.5</t>
  </si>
  <si>
    <t>CNLGKD5389</t>
  </si>
  <si>
    <t>fc:7f:f1:c3:a6:36</t>
  </si>
  <si>
    <t>AP-FMNT-BPT-6</t>
  </si>
  <si>
    <t>192.168.216.6</t>
  </si>
  <si>
    <t>CNLGKD538J</t>
  </si>
  <si>
    <t>fc:7f:f1:c3:9b:4c</t>
  </si>
  <si>
    <t>AP-FMNT-CBP-2</t>
  </si>
  <si>
    <t>192.168.216.2</t>
  </si>
  <si>
    <t>CNLGKD53B2</t>
  </si>
  <si>
    <t>fc:7f:f1:c3:98:1e</t>
  </si>
  <si>
    <t>AP-FMNT-SLTRF-1</t>
  </si>
  <si>
    <t>192.168.216.1</t>
  </si>
  <si>
    <t>CNLGKD53BP</t>
  </si>
  <si>
    <t>fc:7f:f1:c3:a8:4a</t>
  </si>
  <si>
    <t>AP-FMNT-DTPMED-7</t>
  </si>
  <si>
    <t>192.168.216.7</t>
  </si>
  <si>
    <t>CNLGKD53C4</t>
  </si>
  <si>
    <t>fc:7f:f1:c3:b6:f2</t>
  </si>
  <si>
    <t>AP-FMNT-OBPT-3</t>
  </si>
  <si>
    <t>192.168.216.3</t>
  </si>
  <si>
    <t>CNLGKD53CP</t>
  </si>
  <si>
    <t>fc:7f:f1:c3:97:ca</t>
  </si>
  <si>
    <t>AP-FMNT-EMBU-11</t>
  </si>
  <si>
    <t>192.168.14.36</t>
  </si>
  <si>
    <t>PHQCKD59HV</t>
  </si>
  <si>
    <t>74:9e:75:c7:71:f6</t>
  </si>
  <si>
    <t xml:space="preserve">No instalado aún </t>
  </si>
  <si>
    <t>AP-FMNT-CLD-10</t>
  </si>
  <si>
    <t>192.168.216.10</t>
  </si>
  <si>
    <t>PHR4KD53LF</t>
  </si>
  <si>
    <t>68:28:cf:ce:fa:50</t>
  </si>
  <si>
    <t>AP-FMNT-XX-09</t>
  </si>
  <si>
    <t>192.168.216.9</t>
  </si>
  <si>
    <t>PHR8KD51ZN</t>
  </si>
  <si>
    <t>68:28:cf:cf:f7:5e</t>
  </si>
  <si>
    <t>Área Talleres</t>
  </si>
  <si>
    <t>AP-FMG-TLL6-16</t>
  </si>
  <si>
    <t>128.128.20.16</t>
  </si>
  <si>
    <t>CNKHKD5K50</t>
  </si>
  <si>
    <t>24:62:ce:c9:fa:2e</t>
  </si>
  <si>
    <t>Talleres</t>
  </si>
  <si>
    <t>Área Seguridad Industrial</t>
  </si>
  <si>
    <t>AP-FMG-XSG1-10</t>
  </si>
  <si>
    <t>128.128.20.37</t>
  </si>
  <si>
    <t>CNLWKD57J2</t>
  </si>
  <si>
    <t>cc:88:c7:c3:39:96</t>
  </si>
  <si>
    <t>Sala 307</t>
  </si>
  <si>
    <t>AP-FMG-BPT3-13</t>
  </si>
  <si>
    <t>128.128.20.13</t>
  </si>
  <si>
    <t>CNNCKD5LMG</t>
  </si>
  <si>
    <t>a8:5b:f7:cb:7d:b0</t>
  </si>
  <si>
    <t>Bodega Electrónica, 
Coworking Eléctricos</t>
  </si>
  <si>
    <t>Litográfica Planta Baja Oficina - 
Posición Tentativa</t>
  </si>
  <si>
    <t>AP_GV</t>
  </si>
  <si>
    <t>172.20.211.106</t>
  </si>
  <si>
    <t>CNNCKD5MM8</t>
  </si>
  <si>
    <t>a8:5b:f7:cb:89:9e</t>
  </si>
  <si>
    <t>En configuracion, 
escritorio de Jonathan</t>
  </si>
  <si>
    <t>AP-FMG-LIT4-39</t>
  </si>
  <si>
    <t>128.128.20.39</t>
  </si>
  <si>
    <t>CNQ2KWC25L</t>
  </si>
  <si>
    <t>dc:b7:ac:ce:7d:50</t>
  </si>
  <si>
    <t>AP-FMG-BFC5-15</t>
  </si>
  <si>
    <t>128.128.20.15</t>
  </si>
  <si>
    <t>CNQ6KWC2K8</t>
  </si>
  <si>
    <t>dc:b7:ac:ce:fb:5c</t>
  </si>
  <si>
    <t>Coworking - Planta Alta</t>
  </si>
  <si>
    <t>AP-FMG-RHH9-19</t>
  </si>
  <si>
    <t>128.128.20.19</t>
  </si>
  <si>
    <t>PHR4KD52PP</t>
  </si>
  <si>
    <t>68:28:cf:cf:13:3e</t>
  </si>
  <si>
    <t>Frente a Centro de 
Cómputo Principal</t>
  </si>
  <si>
    <t>Coworking</t>
  </si>
  <si>
    <t>Corte</t>
  </si>
  <si>
    <t>AP-FMG-CRT7-17</t>
  </si>
  <si>
    <t>128.128.20.17</t>
  </si>
  <si>
    <t>PHR4KD52PV</t>
  </si>
  <si>
    <t>68:28:cf:cf:0d:86</t>
  </si>
  <si>
    <t>Reprocesos</t>
  </si>
  <si>
    <t>AP-FMG-REP10-20</t>
  </si>
  <si>
    <t>128.128.20.20</t>
  </si>
  <si>
    <t>PHR4KD53DR</t>
  </si>
  <si>
    <t>68:28:cf:cf:0f:e6</t>
  </si>
  <si>
    <t>Seguridad Industrial - Planta Baja</t>
  </si>
  <si>
    <t>AP-FMG-SISO-30</t>
  </si>
  <si>
    <t>128.128.20.30</t>
  </si>
  <si>
    <t>PHR4KD53JM</t>
  </si>
  <si>
    <t>68:28:cf:cf:05:02</t>
  </si>
  <si>
    <t>Diagonal a la Cafetería</t>
  </si>
  <si>
    <t xml:space="preserve">Sala A1 </t>
  </si>
  <si>
    <t>AP-FMG-SALAA1-26</t>
  </si>
  <si>
    <t>128.128.20.26</t>
  </si>
  <si>
    <t>PHR4KD53LK</t>
  </si>
  <si>
    <t>68:28:cf:cf:06:6a</t>
  </si>
  <si>
    <t>Frente a Planta</t>
  </si>
  <si>
    <t>Ofic. Juan Gabriel Vilaseca</t>
  </si>
  <si>
    <t>AP-FMG-JGV-33</t>
  </si>
  <si>
    <t>128.128.20.33</t>
  </si>
  <si>
    <t>PHR4KD53MN</t>
  </si>
  <si>
    <t>68:28:cf:cf:05:56</t>
  </si>
  <si>
    <t>AP-FMG-BMP8-Y18</t>
  </si>
  <si>
    <t>128.128.20.18</t>
  </si>
  <si>
    <t>PHR4KD53NN</t>
  </si>
  <si>
    <t>68:28:cf:ce:fc:72</t>
  </si>
  <si>
    <t>Cafetería - Planta Baja</t>
  </si>
  <si>
    <t>AP-FMG-SACLT-23</t>
  </si>
  <si>
    <t>128.128.20.23</t>
  </si>
  <si>
    <t>PHR4KD53QK</t>
  </si>
  <si>
    <t>68:28:cf:cf:0b:be</t>
  </si>
  <si>
    <t>Snack Pass</t>
  </si>
  <si>
    <t>AP-FMG-PRS17-26</t>
  </si>
  <si>
    <t>128.128.20.27</t>
  </si>
  <si>
    <t>PHR4KD53QX</t>
  </si>
  <si>
    <t>68:28:cf:ce:f9:8c</t>
  </si>
  <si>
    <t>Coworking Producción - Planta Baja</t>
  </si>
  <si>
    <t>AP-FMG-SAOPE-24</t>
  </si>
  <si>
    <t>128.128.20.24</t>
  </si>
  <si>
    <t>PHR4KD53QZ</t>
  </si>
  <si>
    <t>68:28:cf:cf:00:86</t>
  </si>
  <si>
    <t>Entrada a Planta Industrial</t>
  </si>
  <si>
    <t>AP-FMG-FIN12-22</t>
  </si>
  <si>
    <t>128.128.20.22</t>
  </si>
  <si>
    <t>PHR4KD53R1</t>
  </si>
  <si>
    <t>68:28:cf:ce:f4:be</t>
  </si>
  <si>
    <t>Cafetería - Planta Alta</t>
  </si>
  <si>
    <t>Talleres - Planta Industrial</t>
  </si>
  <si>
    <t>AP-FMG-TLL11-21</t>
  </si>
  <si>
    <t>128.128.20.21</t>
  </si>
  <si>
    <t>PHR4KD53R5</t>
  </si>
  <si>
    <t>68:28:cf:ce:f2:a0</t>
  </si>
  <si>
    <t>Planta Industrial, Oficina Talleres</t>
  </si>
  <si>
    <t>AP-FMG-PLT22-35</t>
  </si>
  <si>
    <t>128.128.20.35</t>
  </si>
  <si>
    <t>PHR4KD53RB</t>
  </si>
  <si>
    <t>68:28:cf:cf:01:88</t>
  </si>
  <si>
    <t>Sala Transformación</t>
  </si>
  <si>
    <t>AP-FMG-SATRANF-29</t>
  </si>
  <si>
    <t>128.128.20.29</t>
  </si>
  <si>
    <t>PHR4KD53RJ</t>
  </si>
  <si>
    <t>68:28:cf:cf:0b:2e</t>
  </si>
  <si>
    <t>AP-FMG-FIN21-31</t>
  </si>
  <si>
    <t>128.128.20.31</t>
  </si>
  <si>
    <t>PHR4KD53RM</t>
  </si>
  <si>
    <t>68:28:cf:cf:11:c4</t>
  </si>
  <si>
    <t>Bodega Electrónica</t>
  </si>
  <si>
    <t>AP-FMG-TLL18-27</t>
  </si>
  <si>
    <t>128.128.20.28</t>
  </si>
  <si>
    <t>PHR4KD53RQ</t>
  </si>
  <si>
    <t>68:28:cf:cf:11:ba</t>
  </si>
  <si>
    <t>Coworking - Eléctricos</t>
  </si>
  <si>
    <t>AP-FMG-CRT23-36</t>
  </si>
  <si>
    <t>128.128.20.36</t>
  </si>
  <si>
    <t>PHR4KD53RY</t>
  </si>
  <si>
    <t>68:28:cf:cf:11:b8</t>
  </si>
  <si>
    <t>AP-FMG-COM-38</t>
  </si>
  <si>
    <t>128.128.20.38</t>
  </si>
  <si>
    <t>PHR8KD51RZ</t>
  </si>
  <si>
    <t>68:28:cf:cf:f5:82</t>
  </si>
  <si>
    <t>AIR-AP18321-A-K9</t>
  </si>
  <si>
    <t>128.128.20.11</t>
  </si>
  <si>
    <t>KWC23080161</t>
  </si>
  <si>
    <t>94:64:24:cc:c0:4e</t>
  </si>
  <si>
    <t>No existe</t>
  </si>
  <si>
    <t>Pedro Carbo, Sabanilla</t>
  </si>
  <si>
    <t>AP_SABANILLA_01</t>
  </si>
  <si>
    <t xml:space="preserve">Comedor </t>
  </si>
  <si>
    <t>Galpon1 - Universo</t>
  </si>
  <si>
    <t>128.128.10.22</t>
  </si>
  <si>
    <t>CNK9KD54TP</t>
  </si>
  <si>
    <t>e8:26:89:ca:7f:64</t>
  </si>
  <si>
    <t>Bodega #1 - Ecuabulk</t>
  </si>
  <si>
    <t>Galpon2 - Universo</t>
  </si>
  <si>
    <t>128.128.10.25</t>
  </si>
  <si>
    <t>CNKBKD51LG</t>
  </si>
  <si>
    <t>e8:26:89:cb:06:2e</t>
  </si>
  <si>
    <t>Bodega #2 - Ecuabulk</t>
  </si>
  <si>
    <t>LLAVE GYE</t>
  </si>
  <si>
    <t>AP-LLAVE-GYE-01</t>
  </si>
  <si>
    <t>192.168.250.238</t>
  </si>
  <si>
    <t>VNRYKWC09W</t>
  </si>
  <si>
    <t>48:00:20:c7:cc:9c</t>
  </si>
  <si>
    <t>Ruijie</t>
  </si>
  <si>
    <t>AP820-L(V3)</t>
  </si>
  <si>
    <t>G1RU62D26503B</t>
  </si>
  <si>
    <t>AP820-L(V2)</t>
  </si>
  <si>
    <t>G1RP3F6020125</t>
  </si>
  <si>
    <t>G1QPBCJ042389</t>
  </si>
  <si>
    <t>192.168.105.246</t>
  </si>
  <si>
    <t>G1RP3F601835C</t>
  </si>
  <si>
    <t>192.168.105.251</t>
  </si>
  <si>
    <t>G1RP3F602044A</t>
  </si>
  <si>
    <t>BIGBOX</t>
  </si>
  <si>
    <t>192.168.105.121</t>
  </si>
  <si>
    <t>AP810-L</t>
  </si>
  <si>
    <t>ZAT62QY001202</t>
  </si>
  <si>
    <t>NUEVO</t>
  </si>
  <si>
    <t>192.168.1.252</t>
  </si>
  <si>
    <t>RG-RAP2200(E)</t>
  </si>
  <si>
    <t>G1RP7SG14158C</t>
  </si>
  <si>
    <t>Oficina - Bodega Dalkasa</t>
  </si>
  <si>
    <t>Dentro de Rack 
Pendiente Instalación</t>
  </si>
  <si>
    <t>LLAVE QUITO</t>
  </si>
  <si>
    <t>G1RP3F6020150</t>
  </si>
  <si>
    <t>RAP2200(F)</t>
  </si>
  <si>
    <t>G1RU63Z016122</t>
  </si>
  <si>
    <t>SAN ISIDRO</t>
  </si>
  <si>
    <t>Fortinet</t>
  </si>
  <si>
    <t>FortiAP 231F 802.11a/ac/ax/b/g/n 2x2 MIMO Indoor Wireless Access Point</t>
  </si>
  <si>
    <t>FP231FTF23053866</t>
  </si>
  <si>
    <t>FP231FTF23052104</t>
  </si>
  <si>
    <t>FP231FTF23054128</t>
  </si>
  <si>
    <t>FP231FTF23052110</t>
  </si>
  <si>
    <t>FP231FTF23054129</t>
  </si>
  <si>
    <t>VILLA EL SALVADOR</t>
  </si>
  <si>
    <t>AP-VES-ALMACEN-15</t>
  </si>
  <si>
    <t>192.168.196.15</t>
  </si>
  <si>
    <t>PHRCKD53FM</t>
  </si>
  <si>
    <t>50:e4:e0:c3:4d:c2</t>
  </si>
  <si>
    <t>AP-VES-TALLER-14</t>
  </si>
  <si>
    <t>192.168.196.14</t>
  </si>
  <si>
    <t>PHRCKD53RF</t>
  </si>
  <si>
    <t>50:e4:e0:c3:51:6a</t>
  </si>
  <si>
    <t>Servidor </t>
  </si>
  <si>
    <t>IP</t>
  </si>
  <si>
    <t>Usuario</t>
  </si>
  <si>
    <t>Contraseña actual</t>
  </si>
  <si>
    <t xml:space="preserve">Acceso </t>
  </si>
  <si>
    <t>VM-FADMETAL-LITO01</t>
  </si>
  <si>
    <t>PAM</t>
  </si>
  <si>
    <t>VM-FADMETAL-LITO01 // ILO</t>
  </si>
  <si>
    <t>192.168.231.104</t>
  </si>
  <si>
    <t>ECUNEFADAUTO01</t>
  </si>
  <si>
    <t>192.168.231.106</t>
  </si>
  <si>
    <t>Cuenta Desactivada // Synergy Gestión.</t>
  </si>
  <si>
    <t>VM-FADMETAL-LITO02</t>
  </si>
  <si>
    <t>VM-FADMETAL-LITO02 // ILO</t>
  </si>
  <si>
    <t>192.168.231.105</t>
  </si>
  <si>
    <t>ILO desconectado, por punto de red fallido. Pendiente de cambio</t>
  </si>
  <si>
    <t>ECUNEFADIMA01</t>
  </si>
  <si>
    <t>192.168.231.107</t>
  </si>
  <si>
    <t>FORTISRA</t>
  </si>
  <si>
    <t>172.20.204.80</t>
  </si>
  <si>
    <t>Contraseña única por reeinstalación</t>
  </si>
  <si>
    <t>VM-FortiSRA</t>
  </si>
  <si>
    <t>172.20.204.81</t>
  </si>
  <si>
    <t>LANSWEEPER</t>
  </si>
  <si>
    <t>Gestión de Netmetrix contraseña cambiada por ellos </t>
  </si>
  <si>
    <t>LOGOTRONIC // ILO</t>
  </si>
  <si>
    <t>172.20.204.153</t>
  </si>
  <si>
    <t>Cambio de contraseña de ILO</t>
  </si>
  <si>
    <t>ECCORPGYE01  // ILO</t>
  </si>
  <si>
    <t>192.168.84.81</t>
  </si>
  <si>
    <t>ECFADMTGYE01 // ILO</t>
  </si>
  <si>
    <t>172.20.204.101</t>
  </si>
  <si>
    <t>Sistema / Plataforma</t>
  </si>
  <si>
    <t>Detalle</t>
  </si>
  <si>
    <t>Nivel de Permiso</t>
  </si>
  <si>
    <t>Responsable de Aprobar</t>
  </si>
  <si>
    <t>Link</t>
  </si>
  <si>
    <t xml:space="preserve">Contraseña </t>
  </si>
  <si>
    <t>PLANIO</t>
  </si>
  <si>
    <t>Mesa de Servicio SSC</t>
  </si>
  <si>
    <t>Administracion N2</t>
  </si>
  <si>
    <t>Admin Infraestructura</t>
  </si>
  <si>
    <t>https://plan1.safeswisscloud.ch/projects/vilaseca/</t>
  </si>
  <si>
    <t xml:space="preserve">Definir </t>
  </si>
  <si>
    <t>VCLOUD</t>
  </si>
  <si>
    <t>Consola Administración VMs SSC (Lectura)</t>
  </si>
  <si>
    <t>https://vcloud.ewcs.ch/login/?service=tenant:vilaseca&amp;redirectTo=%2Ftenant%2Fvilaseca</t>
  </si>
  <si>
    <t>Conexión RDP/SSH Servidores/Switch</t>
  </si>
  <si>
    <t>https://pmpgvl.synergyecuador.com/</t>
  </si>
  <si>
    <t>Event Log Analizer</t>
  </si>
  <si>
    <t>Visor de Eventos Seguridad (Lectura)</t>
  </si>
  <si>
    <t>Visor Controladora de Dominio (Lectura)</t>
  </si>
  <si>
    <t>https://manager.grupovilaseca.com/home.do</t>
  </si>
  <si>
    <t>Consola Cisco AP</t>
  </si>
  <si>
    <t>Consola de administración</t>
  </si>
  <si>
    <t>Solo Lectura (Viewer)</t>
  </si>
  <si>
    <t>https://200.24.209.190/screens/frameset.html</t>
  </si>
  <si>
    <t xml:space="preserve">Consola Aruba AP </t>
  </si>
  <si>
    <t xml:space="preserve">Definir por el negocio </t>
  </si>
  <si>
    <t>Consola Ruji</t>
  </si>
  <si>
    <t>cloud-la.ruijienetworks.com</t>
  </si>
  <si>
    <t>Wifire</t>
  </si>
  <si>
    <t>Generar Token Aruba SSI Invitados</t>
  </si>
  <si>
    <t>app.wifire.me</t>
  </si>
  <si>
    <t>Linkfy</t>
  </si>
  <si>
    <t>Generar Token Cisco SSI Invitados</t>
  </si>
  <si>
    <t>https://tefec.linkyfi.com/portal/auth/loginPage</t>
  </si>
  <si>
    <t>Servidor PAM</t>
  </si>
  <si>
    <t>https://gvc023.grupovilaseca.com/group.htm?id=0&amp;tabid=1</t>
  </si>
  <si>
    <t>EntraID</t>
  </si>
  <si>
    <t>Entra ID</t>
  </si>
  <si>
    <t>https://entra.microsoft.com/#home</t>
  </si>
  <si>
    <t xml:space="preserve">Endpoint Central </t>
  </si>
  <si>
    <t>Consola de administración desktops</t>
  </si>
  <si>
    <t>https://endpointcentral.manageengine.com/webclient#/uems/home/summary</t>
  </si>
  <si>
    <t xml:space="preserve">Central SkyBuilding </t>
  </si>
  <si>
    <t xml:space="preserve">Central Telefonica </t>
  </si>
  <si>
    <t>https://192.168.86.254:8089</t>
  </si>
  <si>
    <t>OpenVox</t>
  </si>
  <si>
    <t>192.168.86.253</t>
  </si>
  <si>
    <t xml:space="preserve">Central Ecuabarnices </t>
  </si>
  <si>
    <t>https://192.168.24.189/index.php?menu=pbxconfig</t>
  </si>
  <si>
    <t>Central Llave GYE</t>
  </si>
  <si>
    <t>192.168.120.12:8089</t>
  </si>
  <si>
    <t>Central Ecuaimco GYE</t>
  </si>
  <si>
    <t>192.168.120.11:8089</t>
  </si>
  <si>
    <t>Acronis</t>
  </si>
  <si>
    <t>Central de backup</t>
  </si>
  <si>
    <t>us5-cloud.acronis.com/login</t>
  </si>
  <si>
    <t>MODELO</t>
  </si>
  <si>
    <t>VLAN</t>
  </si>
  <si>
    <t>SNMP</t>
  </si>
  <si>
    <t>PE</t>
  </si>
  <si>
    <t>EC</t>
  </si>
  <si>
    <t>SUCURSAL</t>
  </si>
  <si>
    <t>SEMVRA BABAHOYO</t>
  </si>
  <si>
    <t>LA LLAVE - ECUAIMCO</t>
  </si>
  <si>
    <t>SEMVRA SKY BUILDING</t>
  </si>
  <si>
    <t>ECUAPATRIA SKY BUILDING</t>
  </si>
  <si>
    <t>COOP. METROPOLITANA SKY BUILDING</t>
  </si>
  <si>
    <t>INMOVILA _ SKY BUILDING</t>
  </si>
  <si>
    <t xml:space="preserve">VILANOVA </t>
  </si>
  <si>
    <t>BONAVILA</t>
  </si>
  <si>
    <t>FADESA METALES UIO</t>
  </si>
  <si>
    <t xml:space="preserve">EC_GYE_UNE_SW_DIST_ECUABARNICES </t>
  </si>
  <si>
    <t xml:space="preserve">EC_GYE_UNE_SW_ACCESO_ECUABARNICES </t>
  </si>
  <si>
    <t xml:space="preserve">EC_GYE_UNE_RO_TELEFONICA_ECUABARNICES </t>
  </si>
  <si>
    <t>EC_MAN_UNE_SW_CORE_FADESA METALES</t>
  </si>
  <si>
    <t>EC_MAN_UNE_SW_DIST_FADESA METALES</t>
  </si>
  <si>
    <t>EC_MAN_UNE_SW__FADESA METALES</t>
  </si>
  <si>
    <t>EC_MAN_UNE_SW_ANILLO_FADESA METALES</t>
  </si>
  <si>
    <t>EC_MAN_UNE_SW_ACCESO_FADESA METALES</t>
  </si>
  <si>
    <t>VOZ-IP</t>
  </si>
  <si>
    <t>EC_MAN_UNE_SW_VOZ-IP_FADESA METALES</t>
  </si>
  <si>
    <t>EC_MAN_UNE_SW_LUM_FADESA METALES</t>
  </si>
  <si>
    <t>EC_MAN_UNE_RO_TELEFONICA_FADESA METALES</t>
  </si>
  <si>
    <t>2530-8G-CC2</t>
  </si>
  <si>
    <t>EC_MAN_UNE_SW_2530-8G-CC2_FADESA METALES</t>
  </si>
  <si>
    <t>5130-24G-CC2</t>
  </si>
  <si>
    <t>EC_MAN_UNE_SW_5130-24G-CC2_FADESA METALES</t>
  </si>
  <si>
    <t>HP-6000</t>
  </si>
  <si>
    <t>EC_MAN_UNE_SW_HP-6000_FADESA METALES</t>
  </si>
  <si>
    <t>EC_GYE_UNE_SW_CORE_FADESA METALES</t>
  </si>
  <si>
    <t>TELF-PRIN</t>
  </si>
  <si>
    <t>EC_GYE_UNE_RO_TELF-PRIN_FADESA METALES</t>
  </si>
  <si>
    <t>10.87.0.4</t>
  </si>
  <si>
    <t>TELF-BACK</t>
  </si>
  <si>
    <t>EC_GYE_UNE_RO_TELF-BACK_FADESA METALES</t>
  </si>
  <si>
    <t>EC_GYE_UNE_SW__FADESA METALES</t>
  </si>
  <si>
    <t>CORE-ANILLO</t>
  </si>
  <si>
    <t>EC_GYE_UNE_SW_CORE-ANILLO_FADESA METALES</t>
  </si>
  <si>
    <t>EC_GYE_UNE_SW_RRHH_HP_FADESA METALES</t>
  </si>
  <si>
    <t>EC_GYE_UNE_SW_SPARE_FADESA METALES</t>
  </si>
  <si>
    <t>EC_GYE_UNE_SW_A_FADESA METALES</t>
  </si>
  <si>
    <t>EC_GYE_UNE_SW_B_FADESA METALES</t>
  </si>
  <si>
    <t>EC_GYE_UNE_SW_C_FADESA METALES</t>
  </si>
  <si>
    <t>EC_GYE_UNE_SW_D_FADESA METALES</t>
  </si>
  <si>
    <t>EC_GYE_UNE_SW_E_FADESA METALES</t>
  </si>
  <si>
    <t>EC_GYE_UNE_SW_F_FADESA METALES</t>
  </si>
  <si>
    <t>EC_GYE_UNE_SW_G_FADESA METALES</t>
  </si>
  <si>
    <t>EC_GYE_UNE_SW_ACCESO_FADESA METALES</t>
  </si>
  <si>
    <t>EC_GYE_UNE_SW_SPA DIST_FADESA METALES</t>
  </si>
  <si>
    <t>EC_GYE_UNE_SW_EMB_FADESA METALES</t>
  </si>
  <si>
    <t>CAF-SWI</t>
  </si>
  <si>
    <t>EC_GYE_UNE_SW_CAF-SWI_FADESA METALES</t>
  </si>
  <si>
    <t>CAF-SW2</t>
  </si>
  <si>
    <t>EC_GYE_UNE_SW_CAF-SW2_FADESA METALES</t>
  </si>
  <si>
    <t>REPRO-ACCESO</t>
  </si>
  <si>
    <t>EC_GYE_UNE_SW_REPRO-ACCESO_FADESA METALES</t>
  </si>
  <si>
    <t>LITO-ACCESO</t>
  </si>
  <si>
    <t>EC_GYE_UNE_SW_LITO-ACCESO_FADESA METALES</t>
  </si>
  <si>
    <t>EC_GYE_UNE_SW_DIST_CAM_FADESA METALES</t>
  </si>
  <si>
    <t>EC_GYE_UNE_SW_SA1_FADESA METALES</t>
  </si>
  <si>
    <t>EC_GYE_UNE_SW_BOD-2_FAD MET EL UNIVERSO</t>
  </si>
  <si>
    <t>EC_GYE_UNE_RO_TELEFONICA_FAD MET EL UNIVERSO</t>
  </si>
  <si>
    <t>PE_CAL_UNE_SW__FADESA CALLAO</t>
  </si>
  <si>
    <t>EC_GYE_UNE_SW_CORE_FADESA PLAST</t>
  </si>
  <si>
    <t>EC_GYE_UNE_SW_DIST_FADESA PLAST</t>
  </si>
  <si>
    <t>CORE_BACK</t>
  </si>
  <si>
    <t>EC_GYE_UNE_SW_CORE_BACK_FADESA PLAST</t>
  </si>
  <si>
    <t>Cisco C1111</t>
  </si>
  <si>
    <t>PRIN</t>
  </si>
  <si>
    <t>EC_GYE_UNE_RO_PRIN_FADESA PLAST</t>
  </si>
  <si>
    <t>BACK</t>
  </si>
  <si>
    <t>EC_GYE_UNE_RO_BACK_FADESA PLAST</t>
  </si>
  <si>
    <t>EC_UIO_UNE_SW_CORE_FADESA METALES</t>
  </si>
  <si>
    <t>EC_UIO_UNE_SW_DIST_FADESA METALES</t>
  </si>
  <si>
    <t>EC_GYE_UNE_SW_ACCESO_FADESA PLAST</t>
  </si>
  <si>
    <t>EC_GYE_UNE_SW_ACCESO_FADESA PLAST JUTECERO</t>
  </si>
  <si>
    <t>EC_GYE_UNE_RO_PRIN_FADESA PLAST JUTECERO</t>
  </si>
  <si>
    <t>EC_GYE_UNE_RO_BACK_FADESA PLAST JUTECERO</t>
  </si>
  <si>
    <t>EC_GYE_UNA_SW_CORE_SEMVRA DAULE</t>
  </si>
  <si>
    <t>EC_GYE_UNA_SW_DIST_SEMVRA DAULE</t>
  </si>
  <si>
    <t>EC_GYE_UNA_SW_ACCESO_SEMVRA DAULE</t>
  </si>
  <si>
    <t>EC_GYE_UNA_SW_CORE_BAKCUP_SEMVRA DAULE</t>
  </si>
  <si>
    <t>EC_GYE_UNA_RO_TELEFONICA_SEMVRA DAULE</t>
  </si>
  <si>
    <t>EC_GYE_UNA_RO_CNT_SEMVRA DAULE</t>
  </si>
  <si>
    <t>EC_GYE_UNA_RO_MIKRO_SEMVRA DAULE</t>
  </si>
  <si>
    <t>EC_GYE_UNA_RO_ZYXEL_SEMVRA DAULE</t>
  </si>
  <si>
    <t>EC_GYE_UNA_SW_CORE_CHIVERIA</t>
  </si>
  <si>
    <t>EC_GYE_UNA_SW_DIST_NO_ADM_CHIVERIA</t>
  </si>
  <si>
    <t>EC_GYE_UNA_SW_DIST_CHIVERIA</t>
  </si>
  <si>
    <t>EC_GYE_UNA_SW_ACCESO_SEMVRA ECU</t>
  </si>
  <si>
    <t>EC_GYE_UNA_RO_PRIN_CHIVERIA</t>
  </si>
  <si>
    <t>ROUT</t>
  </si>
  <si>
    <t>EC_GYE_UNA_RO_ROUT_CHIVERIA</t>
  </si>
  <si>
    <t>EC_GYE_UNA_RO_ACCESO_CHIVERIA</t>
  </si>
  <si>
    <t>EC_GYE_UNA_SW_CORE_SEMVRA BABAHOYO</t>
  </si>
  <si>
    <t>EC_GYE_UNA_SW_DISTRIBUCION_SEMVRA BABAHOYO</t>
  </si>
  <si>
    <t>EC_GYE_UNA_SW_ACCESO_SEMVRA BABAHOYO</t>
  </si>
  <si>
    <t>SEMVRA SABANILA</t>
  </si>
  <si>
    <t>EC_GYE_UNA_SW_CORE_SEMVRA SABANILA</t>
  </si>
  <si>
    <t>EC_GYE_UNA_RO_PRIN_SEMVRA SABANILA</t>
  </si>
  <si>
    <t>SEMVRA CHIVERIA</t>
  </si>
  <si>
    <t>EC_UIO_UNA_SW_CORE_SEMVRA CHIVERIA</t>
  </si>
  <si>
    <t>EC_UIO_UNS_SW_CORE_LA LLAVE</t>
  </si>
  <si>
    <t>ACCE</t>
  </si>
  <si>
    <t>EC_UIO_UNS_SW_ACCE_LA LLAVE</t>
  </si>
  <si>
    <t>EC_UIO_UNS_SW_DIST_LA LLAVE</t>
  </si>
  <si>
    <t>DIST_NOADM</t>
  </si>
  <si>
    <t>EC_UIO_UNS_SW_DIST_NOADM_LA LLAVE</t>
  </si>
  <si>
    <t>ROUTPRIN</t>
  </si>
  <si>
    <t>EC_UIO_UNS_RO_ROUTPRIN_LA LLAVE</t>
  </si>
  <si>
    <t>ROUTBACK</t>
  </si>
  <si>
    <t>EC_UIO_UNS_RO_ROUTBACK_LA LLAVE</t>
  </si>
  <si>
    <t>LIM</t>
  </si>
  <si>
    <t>LA LLAVE-SAN ISIDRO</t>
  </si>
  <si>
    <t>PE_LIM_UNS_SW_ACCE_LA LLAVE-SAN ISIDRO</t>
  </si>
  <si>
    <t>PE_LIM_UNS_SW_DIST_LA LLAVE-SAN ISIDRO</t>
  </si>
  <si>
    <t>VES</t>
  </si>
  <si>
    <t>LA LLAVE VES</t>
  </si>
  <si>
    <t>PE_VES_UNS_SW_DIST_LA LLAVE VES</t>
  </si>
  <si>
    <t>EC_GYE_UNS_SW_CORE_LA LLAVE - ECUAIMCO</t>
  </si>
  <si>
    <t>HP-5130-48G-4SFP+ JG934A</t>
  </si>
  <si>
    <t>EC_GYE_UNS_SW_DIST_LA LLAVE - ECUAIMCO</t>
  </si>
  <si>
    <t>EC_GYE_UNS_SW_ACCE_LA LLAVE - ECUAIMCO</t>
  </si>
  <si>
    <t>EC_GYE_UNS_SW_CORE_DALKASA</t>
  </si>
  <si>
    <t>EC_GYE_UNS_RO_ROUTPRIN_DALKASA</t>
  </si>
  <si>
    <t>EC_GYE_UNS_RO_ROUTBACK_DALKASA</t>
  </si>
  <si>
    <t>EC_GYE_CORP_SW_CORE_SEMVRA SKY BUILDING</t>
  </si>
  <si>
    <t>A01-STACK</t>
  </si>
  <si>
    <t>EC_GYE_CORP_SW_A01-STACK_SEMVRA SKY BUILDING</t>
  </si>
  <si>
    <t>A02-STACK</t>
  </si>
  <si>
    <t>EC_GYE_CORP_SW_A02-STACK_SEMVRA SKY BUILDING</t>
  </si>
  <si>
    <t>EC_GYE_CORP_RO__SEMVRA SKY BUILDING</t>
  </si>
  <si>
    <t>EC_GYE_CORP_SW__ECUAPATRIA SKY BUILDING</t>
  </si>
  <si>
    <t>EC_GYE_CORP_SW__Coop. Metropolitana Sky Building</t>
  </si>
  <si>
    <t>EC_GYE_UNI_SW__Inmovila _ Sky Building</t>
  </si>
  <si>
    <t xml:space="preserve">EC_GYE_UNI_SW__Vilanova </t>
  </si>
  <si>
    <t>EC_GYE_UNI_SW__Bonavila</t>
  </si>
  <si>
    <t>EC_UIO_UNE_SW_DIST_Fadesa Metales UIO</t>
  </si>
  <si>
    <t>EC_UIO_UNE_RO_PRIN_Fadesa Metales UIO</t>
  </si>
  <si>
    <t>EC_UIO_UNE_RO_BACK_Fadesa Metales UIO</t>
  </si>
  <si>
    <t>SUIZ</t>
  </si>
  <si>
    <t>PAIS</t>
  </si>
  <si>
    <t>CIUDAD</t>
  </si>
  <si>
    <t>HOSTGROUP</t>
  </si>
  <si>
    <t>TIPO</t>
  </si>
  <si>
    <t>AREA</t>
  </si>
  <si>
    <t>VISIBLENAME</t>
  </si>
  <si>
    <t>SECCION</t>
  </si>
  <si>
    <t>PROPIETARIO</t>
  </si>
  <si>
    <t>HOSTNAME</t>
  </si>
  <si>
    <t>DEPARTAMENTO</t>
  </si>
  <si>
    <t>SO</t>
  </si>
  <si>
    <t>CPU</t>
  </si>
  <si>
    <t>RAM</t>
  </si>
  <si>
    <t>DISK</t>
  </si>
  <si>
    <t>UBICACIÓN</t>
  </si>
  <si>
    <t>PORPIETARIO</t>
  </si>
  <si>
    <t>ZABBIXAGENTE</t>
  </si>
  <si>
    <t>SERVICIO</t>
  </si>
  <si>
    <t>OBSERVACIONES</t>
  </si>
  <si>
    <t>UMBRALES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</si>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</sst>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scheme val="minor"/>
    </font>
    <font>
      <b/>
      <sz val="9"/>
      <color rgb="FFF2F2F2"/>
      <name val="Arial"/>
    </font>
    <font>
      <sz val="11"/>
      <color theme="1"/>
      <name val="Aptos Narrow"/>
    </font>
    <font>
      <sz val="9"/>
      <color theme="1"/>
      <name val="Aptos Narrow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</font>
    <font>
      <sz val="11"/>
      <name val="Aptos Narrow"/>
    </font>
    <font>
      <u/>
      <sz val="10"/>
      <color theme="1"/>
      <name val="Roboto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Roboto"/>
    </font>
    <font>
      <sz val="13"/>
      <color theme="1"/>
      <name val="Aptos Narrow"/>
    </font>
    <font>
      <sz val="13"/>
      <color theme="1"/>
      <name val="Calibri"/>
    </font>
    <font>
      <sz val="11"/>
      <color theme="1"/>
      <name val="Aptos Narrow"/>
      <scheme val="minor"/>
    </font>
    <font>
      <sz val="11"/>
      <color rgb="FF000000"/>
      <name val="Arial"/>
    </font>
    <font>
      <sz val="12"/>
      <color theme="1"/>
      <name val="Arial"/>
    </font>
    <font>
      <sz val="8"/>
      <color rgb="FFFFFFFF"/>
      <name val="Arial"/>
    </font>
    <font>
      <u/>
      <sz val="11"/>
      <color theme="10"/>
      <name val="Aptos Narrow"/>
    </font>
    <font>
      <u/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F2F2F2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sz val="11"/>
      <color theme="1"/>
      <name val="Aptos Narrow"/>
      <charset val="1"/>
    </font>
    <font>
      <b/>
      <sz val="11"/>
      <color rgb="FFFFFFFF"/>
      <name val="Arial"/>
      <family val="2"/>
    </font>
    <font>
      <sz val="11"/>
      <color rgb="FF000000"/>
      <name val="Aptos Narrow"/>
      <scheme val="minor"/>
    </font>
    <font>
      <sz val="11"/>
      <color rgb="FF242424"/>
      <name val="Aptos Narrow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  <fill>
      <patternFill patternType="solid">
        <fgColor rgb="FF45B0E1"/>
        <bgColor rgb="FF45B0E1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D93D9"/>
        <bgColor rgb="FF4D93D9"/>
      </patternFill>
    </fill>
    <fill>
      <patternFill patternType="solid">
        <fgColor rgb="FF002060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9292"/>
        <bgColor rgb="FF000000"/>
      </patternFill>
    </fill>
    <fill>
      <patternFill patternType="solid">
        <fgColor rgb="FFD86DCD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0" fillId="12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3" fontId="4" fillId="5" borderId="1" xfId="0" applyNumberFormat="1" applyFont="1" applyFill="1" applyBorder="1" applyAlignment="1">
      <alignment horizontal="center" vertical="top"/>
    </xf>
    <xf numFmtId="0" fontId="3" fillId="0" borderId="1" xfId="0" applyFont="1" applyBorder="1"/>
    <xf numFmtId="3" fontId="4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0" fillId="18" borderId="0" xfId="0" applyFill="1"/>
    <xf numFmtId="0" fontId="2" fillId="18" borderId="1" xfId="0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 readingOrder="1"/>
    </xf>
    <xf numFmtId="0" fontId="0" fillId="16" borderId="9" xfId="0" applyFill="1" applyBorder="1"/>
    <xf numFmtId="0" fontId="10" fillId="18" borderId="1" xfId="0" quotePrefix="1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9" fillId="12" borderId="6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 wrapText="1" readingOrder="1"/>
    </xf>
    <xf numFmtId="0" fontId="22" fillId="2" borderId="5" xfId="0" applyFont="1" applyFill="1" applyBorder="1" applyAlignment="1">
      <alignment horizontal="center" vertical="center" wrapText="1" readingOrder="1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9" fillId="19" borderId="1" xfId="0" applyFont="1" applyFill="1" applyBorder="1"/>
    <xf numFmtId="0" fontId="0" fillId="19" borderId="0" xfId="0" applyFill="1"/>
    <xf numFmtId="3" fontId="2" fillId="20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0" fontId="2" fillId="18" borderId="1" xfId="0" quotePrefix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0" fillId="18" borderId="0" xfId="0" quotePrefix="1" applyFill="1"/>
    <xf numFmtId="0" fontId="10" fillId="21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1" xfId="0" applyBorder="1"/>
    <xf numFmtId="0" fontId="10" fillId="12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wrapText="1"/>
    </xf>
    <xf numFmtId="0" fontId="9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2" fillId="18" borderId="6" xfId="0" applyFont="1" applyFill="1" applyBorder="1" applyAlignment="1">
      <alignment horizontal="center"/>
    </xf>
    <xf numFmtId="49" fontId="16" fillId="18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/>
    </xf>
    <xf numFmtId="0" fontId="35" fillId="19" borderId="0" xfId="0" applyFont="1" applyFill="1" applyAlignment="1">
      <alignment readingOrder="1"/>
    </xf>
    <xf numFmtId="0" fontId="0" fillId="18" borderId="0" xfId="0" applyFill="1" applyAlignment="1">
      <alignment horizontal="center"/>
    </xf>
    <xf numFmtId="0" fontId="9" fillId="12" borderId="6" xfId="0" applyFont="1" applyFill="1" applyBorder="1" applyAlignment="1">
      <alignment horizontal="center" wrapText="1"/>
    </xf>
    <xf numFmtId="49" fontId="16" fillId="22" borderId="1" xfId="0" applyNumberFormat="1" applyFont="1" applyFill="1" applyBorder="1" applyAlignment="1">
      <alignment horizontal="center" vertical="center"/>
    </xf>
    <xf numFmtId="49" fontId="16" fillId="23" borderId="1" xfId="0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1" fillId="1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2" fillId="18" borderId="8" xfId="0" applyFont="1" applyFill="1" applyBorder="1" applyAlignment="1">
      <alignment vertic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/>
    </xf>
    <xf numFmtId="0" fontId="27" fillId="25" borderId="1" xfId="0" applyFont="1" applyFill="1" applyBorder="1"/>
    <xf numFmtId="0" fontId="26" fillId="25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6" fillId="25" borderId="1" xfId="0" applyNumberFormat="1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6" fillId="25" borderId="5" xfId="0" applyFont="1" applyFill="1" applyBorder="1" applyAlignment="1">
      <alignment horizontal="center" vertical="center" wrapText="1"/>
    </xf>
    <xf numFmtId="0" fontId="26" fillId="25" borderId="7" xfId="0" applyFont="1" applyFill="1" applyBorder="1" applyAlignment="1">
      <alignment horizontal="center" vertical="center" wrapText="1"/>
    </xf>
    <xf numFmtId="0" fontId="27" fillId="25" borderId="13" xfId="0" applyFont="1" applyFill="1" applyBorder="1" applyAlignment="1">
      <alignment horizontal="center" vertical="center"/>
    </xf>
    <xf numFmtId="0" fontId="27" fillId="25" borderId="14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27" borderId="5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26" fillId="28" borderId="5" xfId="0" applyFont="1" applyFill="1" applyBorder="1" applyAlignment="1">
      <alignment horizontal="center" vertical="center"/>
    </xf>
    <xf numFmtId="0" fontId="27" fillId="27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7" xfId="0" applyFont="1" applyBorder="1"/>
    <xf numFmtId="0" fontId="26" fillId="25" borderId="6" xfId="0" applyFont="1" applyFill="1" applyBorder="1" applyAlignment="1">
      <alignment horizontal="center" vertical="center"/>
    </xf>
    <xf numFmtId="0" fontId="26" fillId="26" borderId="5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/>
    </xf>
    <xf numFmtId="0" fontId="27" fillId="25" borderId="7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27" fillId="12" borderId="0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1" fontId="27" fillId="25" borderId="1" xfId="0" applyNumberFormat="1" applyFont="1" applyFill="1" applyBorder="1" applyAlignment="1">
      <alignment horizontal="center" vertical="center"/>
    </xf>
    <xf numFmtId="0" fontId="27" fillId="25" borderId="5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6" fillId="25" borderId="0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9292"/>
      <color rgb="FF401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.ruiz@innovasystel.com" id="{E0A9C9C2-1994-4611-829D-A4290024BADD}" userId="S::urn:spo:guest#axel.ruiz@innovasystel.com::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9" dT="2026-02-05T03:30:53.41" personId="{E0A9C9C2-1994-4611-829D-A4290024BADD}" id="{B1091D2F-9D89-4DE5-84AD-C6082A0767ED}">
    <text>Validar IP con Javier si es 181.188.209.107 ó 10.85.02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dpointcentral.manageengine.com/webclient" TargetMode="External"/><Relationship Id="rId3" Type="http://schemas.openxmlformats.org/officeDocument/2006/relationships/hyperlink" Target="https://pmpgvl.synergyecuador.com/" TargetMode="External"/><Relationship Id="rId7" Type="http://schemas.openxmlformats.org/officeDocument/2006/relationships/hyperlink" Target="https://entra.microsoft.com/" TargetMode="External"/><Relationship Id="rId2" Type="http://schemas.openxmlformats.org/officeDocument/2006/relationships/hyperlink" Target="https://vcloud.ewcs.ch/login/?service=tenant:vilaseca&amp;redirectTo=%2Ftenant%2Fvilaseca" TargetMode="External"/><Relationship Id="rId1" Type="http://schemas.openxmlformats.org/officeDocument/2006/relationships/hyperlink" Target="https://plan1.safeswisscloud.ch/projects/vilaseca/" TargetMode="External"/><Relationship Id="rId6" Type="http://schemas.openxmlformats.org/officeDocument/2006/relationships/hyperlink" Target="https://gvc023.grupovilaseca.com/group.htm?id=0&amp;tabid=1" TargetMode="External"/><Relationship Id="rId11" Type="http://schemas.openxmlformats.org/officeDocument/2006/relationships/hyperlink" Target="https://192.168.24.189/index.php?menu=pbxconfig" TargetMode="External"/><Relationship Id="rId5" Type="http://schemas.openxmlformats.org/officeDocument/2006/relationships/hyperlink" Target="https://200.24.209.190/screens/frameset.html" TargetMode="External"/><Relationship Id="rId10" Type="http://schemas.openxmlformats.org/officeDocument/2006/relationships/hyperlink" Target="http://192.168.86.253/" TargetMode="External"/><Relationship Id="rId4" Type="http://schemas.openxmlformats.org/officeDocument/2006/relationships/hyperlink" Target="https://manager.grupovilaseca.com/home.do" TargetMode="External"/><Relationship Id="rId9" Type="http://schemas.openxmlformats.org/officeDocument/2006/relationships/hyperlink" Target="https://192.168.86.254:8089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F807-1426-411A-804F-251A4F4B4B9F}">
  <dimension ref="A1:C27"/>
  <sheetViews>
    <sheetView showGridLines="0" workbookViewId="0">
      <selection activeCell="A2" sqref="A2"/>
    </sheetView>
  </sheetViews>
  <sheetFormatPr baseColWidth="10" defaultColWidth="11.42578125" defaultRowHeight="15"/>
  <cols>
    <col min="1" max="1" width="49" customWidth="1"/>
    <col min="2" max="2" width="53.5703125" customWidth="1"/>
    <col min="3" max="3" width="44" customWidth="1"/>
  </cols>
  <sheetData>
    <row r="1" spans="1:3">
      <c r="A1" s="77" t="s">
        <v>0</v>
      </c>
      <c r="B1" s="77" t="s">
        <v>1</v>
      </c>
      <c r="C1" s="77" t="s">
        <v>2</v>
      </c>
    </row>
    <row r="2" spans="1:3" ht="30">
      <c r="A2" s="78" t="s">
        <v>3</v>
      </c>
      <c r="B2" s="116" t="s">
        <v>4</v>
      </c>
      <c r="C2" s="117" t="s">
        <v>5</v>
      </c>
    </row>
    <row r="3" spans="1:3">
      <c r="A3" s="78" t="s">
        <v>6</v>
      </c>
      <c r="B3" s="117" t="s">
        <v>7</v>
      </c>
      <c r="C3" s="117"/>
    </row>
    <row r="4" spans="1:3">
      <c r="A4" s="78" t="s">
        <v>8</v>
      </c>
      <c r="B4" s="117"/>
      <c r="C4" s="117"/>
    </row>
    <row r="5" spans="1:3">
      <c r="A5" s="78" t="s">
        <v>9</v>
      </c>
      <c r="B5" s="117" t="s">
        <v>10</v>
      </c>
      <c r="C5" s="117"/>
    </row>
    <row r="6" spans="1:3">
      <c r="A6" s="78" t="s">
        <v>11</v>
      </c>
      <c r="B6" s="117" t="s">
        <v>12</v>
      </c>
      <c r="C6" s="117"/>
    </row>
    <row r="7" spans="1:3">
      <c r="A7" s="78" t="s">
        <v>13</v>
      </c>
      <c r="B7" s="117"/>
      <c r="C7" s="117"/>
    </row>
    <row r="8" spans="1:3">
      <c r="A8" s="78" t="s">
        <v>14</v>
      </c>
      <c r="B8" s="117"/>
      <c r="C8" s="117"/>
    </row>
    <row r="9" spans="1:3">
      <c r="A9" s="78" t="s">
        <v>15</v>
      </c>
      <c r="B9" s="117"/>
      <c r="C9" s="117"/>
    </row>
    <row r="10" spans="1:3">
      <c r="A10" s="78" t="s">
        <v>16</v>
      </c>
      <c r="B10" s="117"/>
      <c r="C10" s="117"/>
    </row>
    <row r="11" spans="1:3">
      <c r="A11" s="78" t="s">
        <v>17</v>
      </c>
      <c r="B11" s="117"/>
      <c r="C11" s="117"/>
    </row>
    <row r="12" spans="1:3">
      <c r="A12" s="78" t="s">
        <v>18</v>
      </c>
      <c r="B12" s="117"/>
      <c r="C12" s="117"/>
    </row>
    <row r="13" spans="1:3">
      <c r="A13" s="78" t="s">
        <v>19</v>
      </c>
      <c r="B13" s="117"/>
      <c r="C13" s="117"/>
    </row>
    <row r="14" spans="1:3">
      <c r="A14" s="78" t="s">
        <v>20</v>
      </c>
      <c r="B14" s="117"/>
      <c r="C14" s="117"/>
    </row>
    <row r="15" spans="1:3">
      <c r="A15" s="78" t="s">
        <v>21</v>
      </c>
      <c r="B15" s="117"/>
      <c r="C15" s="117"/>
    </row>
    <row r="16" spans="1:3">
      <c r="A16" s="78" t="s">
        <v>22</v>
      </c>
      <c r="B16" s="117"/>
      <c r="C16" s="117"/>
    </row>
    <row r="17" spans="1:3">
      <c r="A17" s="78" t="s">
        <v>23</v>
      </c>
      <c r="B17" s="117"/>
      <c r="C17" s="117"/>
    </row>
    <row r="18" spans="1:3">
      <c r="A18" s="78" t="s">
        <v>24</v>
      </c>
      <c r="B18" s="117"/>
      <c r="C18" s="117"/>
    </row>
    <row r="19" spans="1:3">
      <c r="A19" s="78" t="s">
        <v>25</v>
      </c>
      <c r="B19" s="117"/>
      <c r="C19" s="117"/>
    </row>
    <row r="20" spans="1:3" ht="105">
      <c r="A20" s="78" t="s">
        <v>26</v>
      </c>
      <c r="B20" s="116" t="s">
        <v>27</v>
      </c>
      <c r="C20" s="117"/>
    </row>
    <row r="21" spans="1:3">
      <c r="A21" s="78" t="s">
        <v>28</v>
      </c>
      <c r="B21" s="117"/>
      <c r="C21" s="117"/>
    </row>
    <row r="22" spans="1:3">
      <c r="A22" s="78" t="s">
        <v>29</v>
      </c>
      <c r="B22" s="117"/>
      <c r="C22" s="117"/>
    </row>
    <row r="23" spans="1:3">
      <c r="A23" s="78" t="s">
        <v>30</v>
      </c>
      <c r="B23" s="117"/>
      <c r="C23" s="117"/>
    </row>
    <row r="24" spans="1:3">
      <c r="A24" s="78" t="s">
        <v>31</v>
      </c>
      <c r="B24" s="117"/>
      <c r="C24" s="117"/>
    </row>
    <row r="25" spans="1:3">
      <c r="A25" s="78" t="s">
        <v>32</v>
      </c>
      <c r="B25" s="117"/>
      <c r="C25" s="117"/>
    </row>
    <row r="26" spans="1:3">
      <c r="A26" s="78" t="s">
        <v>33</v>
      </c>
      <c r="B26" s="117"/>
      <c r="C26" s="117"/>
    </row>
    <row r="27" spans="1:3">
      <c r="A27" s="78" t="s">
        <v>34</v>
      </c>
      <c r="B27" s="117"/>
      <c r="C27" s="1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D4C2-1D02-4E00-A58B-EA38A3D0A7AB}">
  <dimension ref="A1:W155"/>
  <sheetViews>
    <sheetView tabSelected="1" topLeftCell="A5" workbookViewId="0">
      <selection activeCell="W5" sqref="W1:Y1048576"/>
    </sheetView>
  </sheetViews>
  <sheetFormatPr baseColWidth="10" defaultRowHeight="15"/>
  <cols>
    <col min="1" max="1" width="7.7109375" style="67" bestFit="1" customWidth="1"/>
    <col min="2" max="2" width="9.5703125" style="67" bestFit="1" customWidth="1"/>
    <col min="3" max="3" width="12.140625" style="67" bestFit="1" customWidth="1"/>
    <col min="4" max="4" width="30.85546875" style="67" bestFit="1" customWidth="1"/>
    <col min="5" max="5" width="11.28515625" style="67" bestFit="1" customWidth="1"/>
    <col min="6" max="6" width="51.5703125" style="67" customWidth="1"/>
    <col min="7" max="7" width="8.85546875" style="67" bestFit="1" customWidth="1"/>
    <col min="8" max="8" width="5.5703125" style="67" bestFit="1" customWidth="1"/>
    <col min="9" max="9" width="44.5703125" style="67" bestFit="1" customWidth="1"/>
    <col min="10" max="10" width="16.5703125" style="67" bestFit="1" customWidth="1"/>
    <col min="11" max="11" width="69.28515625" style="67" bestFit="1" customWidth="1"/>
    <col min="12" max="12" width="50.85546875" style="72" customWidth="1"/>
    <col min="13" max="13" width="46.7109375" style="67" bestFit="1" customWidth="1"/>
    <col min="14" max="14" width="48.42578125" style="67" bestFit="1" customWidth="1"/>
    <col min="15" max="15" width="22.5703125" style="67" bestFit="1" customWidth="1"/>
    <col min="16" max="16" width="82.140625" style="67" bestFit="1" customWidth="1"/>
    <col min="17" max="17" width="11.140625" style="67" bestFit="1" customWidth="1"/>
    <col min="18" max="18" width="19" style="67" bestFit="1" customWidth="1"/>
    <col min="19" max="19" width="48.42578125" style="67" bestFit="1" customWidth="1"/>
    <col min="20" max="20" width="15.7109375" style="67" bestFit="1" customWidth="1"/>
    <col min="21" max="21" width="48.42578125" style="67" bestFit="1" customWidth="1"/>
    <col min="22" max="22" width="15.7109375" style="67" bestFit="1" customWidth="1"/>
    <col min="23" max="16384" width="11.42578125" style="67"/>
  </cols>
  <sheetData>
    <row r="1" spans="1:23" ht="30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2222</v>
      </c>
      <c r="H1" s="197" t="s">
        <v>2223</v>
      </c>
      <c r="I1" s="198" t="s">
        <v>598</v>
      </c>
      <c r="J1" s="197" t="s">
        <v>1986</v>
      </c>
      <c r="K1" s="197" t="s">
        <v>2224</v>
      </c>
      <c r="L1" s="197" t="s">
        <v>2076</v>
      </c>
      <c r="M1" s="197" t="s">
        <v>2225</v>
      </c>
      <c r="N1" s="197" t="s">
        <v>2074</v>
      </c>
      <c r="O1" s="197" t="s">
        <v>1420</v>
      </c>
      <c r="P1" s="197" t="s">
        <v>2075</v>
      </c>
      <c r="Q1" s="197" t="s">
        <v>259</v>
      </c>
      <c r="R1" s="197" t="s">
        <v>2226</v>
      </c>
      <c r="S1" s="197" t="s">
        <v>1416</v>
      </c>
      <c r="T1" s="197" t="s">
        <v>597</v>
      </c>
      <c r="U1" s="197" t="s">
        <v>599</v>
      </c>
      <c r="V1" s="197" t="s">
        <v>600</v>
      </c>
    </row>
    <row r="2" spans="1:23" ht="15.75">
      <c r="A2" s="216">
        <v>1</v>
      </c>
      <c r="B2" s="202" t="s">
        <v>2078</v>
      </c>
      <c r="C2" s="202" t="s">
        <v>601</v>
      </c>
      <c r="D2" s="200" t="s">
        <v>603</v>
      </c>
      <c r="E2" s="202" t="s">
        <v>69</v>
      </c>
      <c r="F2" s="202" t="str">
        <f>_xlfn.CONCAT(B2,"_",C2,"_",D2,"_",E2)</f>
        <v>EC_GYE_ECUABARNICES _UNE</v>
      </c>
      <c r="G2" s="200" t="s">
        <v>604</v>
      </c>
      <c r="H2" s="202" t="s">
        <v>602</v>
      </c>
      <c r="I2" s="203" t="s">
        <v>2089</v>
      </c>
      <c r="J2" s="200" t="s">
        <v>607</v>
      </c>
      <c r="K2" s="200" t="str">
        <f>_xlfn.CONCAT(I2,"-",J2)</f>
        <v>EC_GYE_UNE_SW_DIST_ECUABARNICES -192.168.24.50</v>
      </c>
      <c r="L2" s="61" t="s">
        <v>1408</v>
      </c>
      <c r="M2" s="200" t="s">
        <v>362</v>
      </c>
      <c r="N2" s="200" t="s">
        <v>605</v>
      </c>
      <c r="O2" s="201" t="s">
        <v>606</v>
      </c>
      <c r="P2" s="202" t="s">
        <v>608</v>
      </c>
      <c r="Q2" s="202" t="s">
        <v>609</v>
      </c>
      <c r="R2" s="202" t="s">
        <v>610</v>
      </c>
      <c r="S2" s="200" t="s">
        <v>605</v>
      </c>
      <c r="T2" s="200" t="s">
        <v>611</v>
      </c>
      <c r="U2" s="200" t="s">
        <v>612</v>
      </c>
      <c r="V2" s="202" t="s">
        <v>613</v>
      </c>
    </row>
    <row r="3" spans="1:23" ht="15.75">
      <c r="A3" s="216">
        <v>2</v>
      </c>
      <c r="B3" s="202" t="s">
        <v>2078</v>
      </c>
      <c r="C3" s="202" t="s">
        <v>601</v>
      </c>
      <c r="D3" s="200" t="s">
        <v>603</v>
      </c>
      <c r="E3" s="202" t="s">
        <v>69</v>
      </c>
      <c r="F3" s="202" t="str">
        <f>_xlfn.CONCAT(B3,"_",C3,"_",D3,"_",E3)</f>
        <v>EC_GYE_ECUABARNICES _UNE</v>
      </c>
      <c r="G3" s="200" t="s">
        <v>604</v>
      </c>
      <c r="H3" s="202" t="s">
        <v>602</v>
      </c>
      <c r="I3" s="203" t="s">
        <v>2090</v>
      </c>
      <c r="J3" s="200" t="s">
        <v>616</v>
      </c>
      <c r="K3" s="200" t="str">
        <f>_xlfn.CONCAT(I3,"-",J3)</f>
        <v>EC_GYE_UNE_SW_ACCESO_ECUABARNICES -192.168.24.51</v>
      </c>
      <c r="L3" s="61" t="s">
        <v>1408</v>
      </c>
      <c r="M3" s="200" t="s">
        <v>362</v>
      </c>
      <c r="N3" s="200" t="s">
        <v>614</v>
      </c>
      <c r="O3" s="204" t="s">
        <v>615</v>
      </c>
      <c r="P3" s="202" t="s">
        <v>608</v>
      </c>
      <c r="Q3" s="202" t="s">
        <v>609</v>
      </c>
      <c r="R3" s="202" t="s">
        <v>610</v>
      </c>
      <c r="S3" s="200" t="s">
        <v>614</v>
      </c>
      <c r="T3" s="200" t="s">
        <v>617</v>
      </c>
      <c r="U3" s="200" t="s">
        <v>618</v>
      </c>
      <c r="V3" s="202" t="s">
        <v>619</v>
      </c>
    </row>
    <row r="4" spans="1:23" ht="15.75">
      <c r="A4" s="216">
        <v>3</v>
      </c>
      <c r="B4" s="202" t="s">
        <v>2078</v>
      </c>
      <c r="C4" s="202" t="s">
        <v>601</v>
      </c>
      <c r="D4" s="200" t="s">
        <v>603</v>
      </c>
      <c r="E4" s="202" t="s">
        <v>69</v>
      </c>
      <c r="F4" s="202" t="str">
        <f>_xlfn.CONCAT(B4,"_",C4,"_",D4,"_",E4)</f>
        <v>EC_GYE_ECUABARNICES _UNE</v>
      </c>
      <c r="G4" s="200" t="s">
        <v>604</v>
      </c>
      <c r="H4" s="202" t="s">
        <v>602</v>
      </c>
      <c r="I4" s="203" t="s">
        <v>2090</v>
      </c>
      <c r="J4" s="200" t="s">
        <v>622</v>
      </c>
      <c r="K4" s="200" t="str">
        <f>_xlfn.CONCAT(I4,"-",J4)</f>
        <v>EC_GYE_UNE_SW_ACCESO_ECUABARNICES -192.168.24.53</v>
      </c>
      <c r="L4" s="61" t="s">
        <v>1408</v>
      </c>
      <c r="M4" s="200" t="s">
        <v>609</v>
      </c>
      <c r="N4" s="200" t="s">
        <v>620</v>
      </c>
      <c r="O4" s="204" t="s">
        <v>621</v>
      </c>
      <c r="P4" s="202" t="s">
        <v>608</v>
      </c>
      <c r="Q4" s="202" t="s">
        <v>609</v>
      </c>
      <c r="R4" s="202" t="s">
        <v>610</v>
      </c>
      <c r="S4" s="200" t="s">
        <v>620</v>
      </c>
      <c r="T4" s="200" t="s">
        <v>617</v>
      </c>
      <c r="U4" s="200" t="s">
        <v>620</v>
      </c>
      <c r="V4" s="202"/>
    </row>
    <row r="5" spans="1:23" ht="15.75">
      <c r="A5" s="216">
        <v>4</v>
      </c>
      <c r="B5" s="202" t="s">
        <v>2078</v>
      </c>
      <c r="C5" s="202" t="s">
        <v>601</v>
      </c>
      <c r="D5" s="200" t="s">
        <v>603</v>
      </c>
      <c r="E5" s="202" t="s">
        <v>69</v>
      </c>
      <c r="F5" s="202" t="str">
        <f>_xlfn.CONCAT(B5,"_",C5,"_",D5,"_",E5)</f>
        <v>EC_GYE_ECUABARNICES _UNE</v>
      </c>
      <c r="G5" s="200" t="s">
        <v>604</v>
      </c>
      <c r="H5" s="202" t="s">
        <v>602</v>
      </c>
      <c r="I5" s="203" t="s">
        <v>2090</v>
      </c>
      <c r="J5" s="200" t="s">
        <v>625</v>
      </c>
      <c r="K5" s="200" t="str">
        <f>_xlfn.CONCAT(I5,"-",J5)</f>
        <v>EC_GYE_UNE_SW_ACCESO_ECUABARNICES -192.168.24.52</v>
      </c>
      <c r="L5" s="61" t="s">
        <v>1408</v>
      </c>
      <c r="M5" s="200" t="s">
        <v>609</v>
      </c>
      <c r="N5" s="200" t="s">
        <v>623</v>
      </c>
      <c r="O5" s="204" t="s">
        <v>624</v>
      </c>
      <c r="P5" s="202" t="s">
        <v>608</v>
      </c>
      <c r="Q5" s="202" t="s">
        <v>609</v>
      </c>
      <c r="R5" s="202" t="s">
        <v>610</v>
      </c>
      <c r="S5" s="200" t="s">
        <v>623</v>
      </c>
      <c r="T5" s="200" t="s">
        <v>617</v>
      </c>
      <c r="U5" s="200" t="s">
        <v>623</v>
      </c>
      <c r="V5" s="202"/>
      <c r="W5" s="67" t="s">
        <v>2239</v>
      </c>
    </row>
    <row r="6" spans="1:23" ht="15.75">
      <c r="A6" s="216">
        <v>5</v>
      </c>
      <c r="B6" s="202" t="s">
        <v>2078</v>
      </c>
      <c r="C6" s="202" t="s">
        <v>601</v>
      </c>
      <c r="D6" s="200" t="s">
        <v>603</v>
      </c>
      <c r="E6" s="202" t="s">
        <v>69</v>
      </c>
      <c r="F6" s="202" t="str">
        <f>_xlfn.CONCAT(B6,"_",C6,"_",D6,"_",E6)</f>
        <v>EC_GYE_ECUABARNICES _UNE</v>
      </c>
      <c r="G6" s="200" t="s">
        <v>604</v>
      </c>
      <c r="H6" s="202" t="s">
        <v>602</v>
      </c>
      <c r="I6" s="203" t="s">
        <v>2090</v>
      </c>
      <c r="J6" s="200" t="s">
        <v>628</v>
      </c>
      <c r="K6" s="200" t="str">
        <f>_xlfn.CONCAT(I6,"-",J6)</f>
        <v>EC_GYE_UNE_SW_ACCESO_ECUABARNICES -192.168.24.59</v>
      </c>
      <c r="L6" s="61" t="s">
        <v>1408</v>
      </c>
      <c r="M6" s="200" t="s">
        <v>626</v>
      </c>
      <c r="N6" s="200" t="s">
        <v>623</v>
      </c>
      <c r="O6" s="204" t="s">
        <v>627</v>
      </c>
      <c r="P6" s="202" t="s">
        <v>608</v>
      </c>
      <c r="Q6" s="202" t="s">
        <v>609</v>
      </c>
      <c r="R6" s="202" t="s">
        <v>610</v>
      </c>
      <c r="S6" s="200" t="s">
        <v>623</v>
      </c>
      <c r="T6" s="200" t="s">
        <v>617</v>
      </c>
      <c r="U6" s="200" t="s">
        <v>623</v>
      </c>
      <c r="V6" s="202" t="s">
        <v>629</v>
      </c>
    </row>
    <row r="7" spans="1:23" ht="31.5">
      <c r="A7" s="216">
        <v>7</v>
      </c>
      <c r="B7" s="202" t="s">
        <v>2078</v>
      </c>
      <c r="C7" s="202" t="s">
        <v>601</v>
      </c>
      <c r="D7" s="200" t="s">
        <v>603</v>
      </c>
      <c r="E7" s="202" t="s">
        <v>69</v>
      </c>
      <c r="F7" s="202" t="str">
        <f>_xlfn.CONCAT(B7,"_",C7,"_",D7,"_",E7)</f>
        <v>EC_GYE_ECUABARNICES _UNE</v>
      </c>
      <c r="G7" s="200" t="s">
        <v>630</v>
      </c>
      <c r="H7" s="202" t="s">
        <v>602</v>
      </c>
      <c r="I7" s="203" t="s">
        <v>2091</v>
      </c>
      <c r="J7" s="200"/>
      <c r="K7" s="200" t="str">
        <f>_xlfn.CONCAT(I7,"-",J7)</f>
        <v>EC_GYE_UNE_RO_TELEFONICA_ECUABARNICES -</v>
      </c>
      <c r="L7" s="61" t="s">
        <v>1408</v>
      </c>
      <c r="M7" s="200" t="s">
        <v>362</v>
      </c>
      <c r="N7" s="205" t="s">
        <v>631</v>
      </c>
      <c r="O7" s="200" t="s">
        <v>632</v>
      </c>
      <c r="P7" s="202"/>
      <c r="Q7" s="202" t="s">
        <v>609</v>
      </c>
      <c r="R7" s="202" t="s">
        <v>633</v>
      </c>
      <c r="S7" s="200" t="s">
        <v>631</v>
      </c>
      <c r="T7" s="200" t="s">
        <v>634</v>
      </c>
      <c r="U7" s="200" t="s">
        <v>631</v>
      </c>
      <c r="V7" s="202"/>
    </row>
    <row r="8" spans="1:23" ht="15.75">
      <c r="A8" s="216">
        <v>8</v>
      </c>
      <c r="B8" s="202" t="s">
        <v>2078</v>
      </c>
      <c r="C8" s="202" t="s">
        <v>635</v>
      </c>
      <c r="D8" s="200" t="s">
        <v>636</v>
      </c>
      <c r="E8" s="202" t="s">
        <v>69</v>
      </c>
      <c r="F8" s="202" t="str">
        <f>_xlfn.CONCAT(B8,"_",C8,"_",D8,"_",E8)</f>
        <v>EC_MAN_FADESA METALES_UNE</v>
      </c>
      <c r="G8" s="200" t="s">
        <v>604</v>
      </c>
      <c r="H8" s="202" t="s">
        <v>602</v>
      </c>
      <c r="I8" s="203" t="s">
        <v>2092</v>
      </c>
      <c r="J8" s="200" t="s">
        <v>640</v>
      </c>
      <c r="K8" s="200" t="str">
        <f>_xlfn.CONCAT(I8,"-",J8)</f>
        <v>EC_MAN_UNE_SW_CORE_FADESA METALES-192.168.211.50</v>
      </c>
      <c r="L8" s="61" t="s">
        <v>1408</v>
      </c>
      <c r="M8" s="200" t="s">
        <v>637</v>
      </c>
      <c r="N8" s="200" t="s">
        <v>638</v>
      </c>
      <c r="O8" s="204" t="s">
        <v>639</v>
      </c>
      <c r="P8" s="202" t="s">
        <v>641</v>
      </c>
      <c r="Q8" s="202" t="s">
        <v>609</v>
      </c>
      <c r="R8" s="202" t="s">
        <v>610</v>
      </c>
      <c r="S8" s="200" t="s">
        <v>642</v>
      </c>
      <c r="T8" s="200" t="s">
        <v>643</v>
      </c>
      <c r="U8" s="200" t="s">
        <v>644</v>
      </c>
      <c r="V8" s="246" t="s">
        <v>645</v>
      </c>
    </row>
    <row r="9" spans="1:23" ht="15.75">
      <c r="A9" s="216">
        <v>9</v>
      </c>
      <c r="B9" s="202" t="s">
        <v>2078</v>
      </c>
      <c r="C9" s="202" t="s">
        <v>635</v>
      </c>
      <c r="D9" s="200" t="s">
        <v>636</v>
      </c>
      <c r="E9" s="206" t="s">
        <v>69</v>
      </c>
      <c r="F9" s="202" t="str">
        <f>_xlfn.CONCAT(B9,"_",C9,"_",D9,"_",E9)</f>
        <v>EC_MAN_FADESA METALES_UNE</v>
      </c>
      <c r="G9" s="97" t="s">
        <v>604</v>
      </c>
      <c r="H9" s="206" t="s">
        <v>602</v>
      </c>
      <c r="I9" s="203" t="s">
        <v>2093</v>
      </c>
      <c r="J9" s="97" t="s">
        <v>640</v>
      </c>
      <c r="K9" s="200" t="str">
        <f>_xlfn.CONCAT(I9,"-",J9)</f>
        <v>EC_MAN_UNE_SW_DIST_FADESA METALES-192.168.211.50</v>
      </c>
      <c r="L9" s="61" t="s">
        <v>1408</v>
      </c>
      <c r="M9" s="97" t="s">
        <v>646</v>
      </c>
      <c r="N9" s="97" t="s">
        <v>638</v>
      </c>
      <c r="O9" s="204" t="s">
        <v>647</v>
      </c>
      <c r="P9" s="206" t="s">
        <v>641</v>
      </c>
      <c r="Q9" s="206" t="s">
        <v>609</v>
      </c>
      <c r="R9" s="206" t="s">
        <v>610</v>
      </c>
      <c r="S9" s="97" t="s">
        <v>642</v>
      </c>
      <c r="T9" s="97" t="s">
        <v>611</v>
      </c>
      <c r="U9" s="97" t="s">
        <v>642</v>
      </c>
      <c r="V9" s="206"/>
    </row>
    <row r="10" spans="1:23" ht="15.75">
      <c r="A10" s="216">
        <v>10</v>
      </c>
      <c r="B10" s="202" t="s">
        <v>2078</v>
      </c>
      <c r="C10" s="202" t="s">
        <v>635</v>
      </c>
      <c r="D10" s="200" t="s">
        <v>636</v>
      </c>
      <c r="E10" s="206" t="s">
        <v>69</v>
      </c>
      <c r="F10" s="202" t="str">
        <f>_xlfn.CONCAT(B10,"_",C10,"_",D10,"_",E10)</f>
        <v>EC_MAN_FADESA METALES_UNE</v>
      </c>
      <c r="G10" s="97" t="s">
        <v>604</v>
      </c>
      <c r="H10" s="206" t="s">
        <v>602</v>
      </c>
      <c r="I10" s="203" t="s">
        <v>2094</v>
      </c>
      <c r="J10" s="97" t="s">
        <v>640</v>
      </c>
      <c r="K10" s="200" t="str">
        <f>_xlfn.CONCAT(I10,"-",J10)</f>
        <v>EC_MAN_UNE_SW__FADESA METALES-192.168.211.50</v>
      </c>
      <c r="L10" s="61" t="s">
        <v>1408</v>
      </c>
      <c r="M10" s="97" t="s">
        <v>648</v>
      </c>
      <c r="N10" s="97" t="s">
        <v>638</v>
      </c>
      <c r="O10" s="204" t="s">
        <v>649</v>
      </c>
      <c r="P10" s="206" t="s">
        <v>641</v>
      </c>
      <c r="Q10" s="206" t="s">
        <v>609</v>
      </c>
      <c r="R10" s="206" t="s">
        <v>610</v>
      </c>
      <c r="S10" s="97" t="s">
        <v>642</v>
      </c>
      <c r="T10" s="97"/>
      <c r="U10" s="97" t="s">
        <v>642</v>
      </c>
      <c r="V10" s="206"/>
    </row>
    <row r="11" spans="1:23" ht="15.75">
      <c r="A11" s="216">
        <v>11</v>
      </c>
      <c r="B11" s="202" t="s">
        <v>2078</v>
      </c>
      <c r="C11" s="202" t="s">
        <v>635</v>
      </c>
      <c r="D11" s="200" t="s">
        <v>636</v>
      </c>
      <c r="E11" s="202" t="s">
        <v>69</v>
      </c>
      <c r="F11" s="202" t="str">
        <f>_xlfn.CONCAT(B11,"_",C11,"_",D11,"_",E11)</f>
        <v>EC_MAN_FADESA METALES_UNE</v>
      </c>
      <c r="G11" s="200" t="s">
        <v>604</v>
      </c>
      <c r="H11" s="202" t="s">
        <v>602</v>
      </c>
      <c r="I11" s="203" t="s">
        <v>2094</v>
      </c>
      <c r="J11" s="200" t="s">
        <v>640</v>
      </c>
      <c r="K11" s="200" t="str">
        <f>_xlfn.CONCAT(I11,"-",J11)</f>
        <v>EC_MAN_UNE_SW__FADESA METALES-192.168.211.50</v>
      </c>
      <c r="L11" s="61" t="s">
        <v>1408</v>
      </c>
      <c r="M11" s="200" t="s">
        <v>650</v>
      </c>
      <c r="N11" s="200" t="s">
        <v>638</v>
      </c>
      <c r="O11" s="204" t="s">
        <v>651</v>
      </c>
      <c r="P11" s="202" t="s">
        <v>641</v>
      </c>
      <c r="Q11" s="202" t="s">
        <v>609</v>
      </c>
      <c r="R11" s="202" t="s">
        <v>610</v>
      </c>
      <c r="S11" s="200" t="s">
        <v>642</v>
      </c>
      <c r="T11" s="200"/>
      <c r="U11" s="200" t="s">
        <v>642</v>
      </c>
      <c r="V11" s="202" t="s">
        <v>652</v>
      </c>
    </row>
    <row r="12" spans="1:23" ht="31.5">
      <c r="A12" s="216">
        <v>12</v>
      </c>
      <c r="B12" s="202" t="s">
        <v>2078</v>
      </c>
      <c r="C12" s="202" t="s">
        <v>635</v>
      </c>
      <c r="D12" s="200" t="s">
        <v>636</v>
      </c>
      <c r="E12" s="202" t="s">
        <v>69</v>
      </c>
      <c r="F12" s="202" t="str">
        <f>_xlfn.CONCAT(B12,"_",C12,"_",D12,"_",E12)</f>
        <v>EC_MAN_FADESA METALES_UNE</v>
      </c>
      <c r="G12" s="200" t="s">
        <v>604</v>
      </c>
      <c r="H12" s="202" t="s">
        <v>602</v>
      </c>
      <c r="I12" s="203" t="s">
        <v>2095</v>
      </c>
      <c r="J12" s="200" t="s">
        <v>640</v>
      </c>
      <c r="K12" s="200" t="str">
        <f>_xlfn.CONCAT(I12,"-",J12)</f>
        <v>EC_MAN_UNE_SW_ANILLO_FADESA METALES-192.168.211.50</v>
      </c>
      <c r="L12" s="61" t="s">
        <v>1408</v>
      </c>
      <c r="M12" s="200" t="s">
        <v>637</v>
      </c>
      <c r="N12" s="200" t="s">
        <v>653</v>
      </c>
      <c r="O12" s="207" t="s">
        <v>654</v>
      </c>
      <c r="P12" s="202" t="s">
        <v>641</v>
      </c>
      <c r="Q12" s="202" t="s">
        <v>609</v>
      </c>
      <c r="R12" s="202" t="s">
        <v>610</v>
      </c>
      <c r="S12" s="200" t="s">
        <v>642</v>
      </c>
      <c r="T12" s="208" t="s">
        <v>655</v>
      </c>
      <c r="U12" s="200" t="s">
        <v>656</v>
      </c>
      <c r="V12" s="246" t="s">
        <v>657</v>
      </c>
    </row>
    <row r="13" spans="1:23" ht="31.5">
      <c r="A13" s="216">
        <v>13</v>
      </c>
      <c r="B13" s="202" t="s">
        <v>2078</v>
      </c>
      <c r="C13" s="202" t="s">
        <v>635</v>
      </c>
      <c r="D13" s="200" t="s">
        <v>636</v>
      </c>
      <c r="E13" s="202" t="s">
        <v>69</v>
      </c>
      <c r="F13" s="202" t="str">
        <f>_xlfn.CONCAT(B13,"_",C13,"_",D13,"_",E13)</f>
        <v>EC_MAN_FADESA METALES_UNE</v>
      </c>
      <c r="G13" s="200" t="s">
        <v>604</v>
      </c>
      <c r="H13" s="202" t="s">
        <v>602</v>
      </c>
      <c r="I13" s="203" t="s">
        <v>2096</v>
      </c>
      <c r="J13" s="200" t="s">
        <v>660</v>
      </c>
      <c r="K13" s="200" t="str">
        <f>_xlfn.CONCAT(I13,"-",J13)</f>
        <v>EC_MAN_UNE_SW_ACCESO_FADESA METALES-192.168.211.51</v>
      </c>
      <c r="L13" s="61" t="s">
        <v>1408</v>
      </c>
      <c r="M13" s="200" t="s">
        <v>637</v>
      </c>
      <c r="N13" s="200" t="s">
        <v>658</v>
      </c>
      <c r="O13" s="204" t="s">
        <v>659</v>
      </c>
      <c r="P13" s="202" t="s">
        <v>641</v>
      </c>
      <c r="Q13" s="202" t="s">
        <v>609</v>
      </c>
      <c r="R13" s="202" t="s">
        <v>610</v>
      </c>
      <c r="S13" s="200" t="s">
        <v>661</v>
      </c>
      <c r="T13" s="200" t="s">
        <v>617</v>
      </c>
      <c r="U13" s="200" t="s">
        <v>617</v>
      </c>
      <c r="V13" s="202" t="s">
        <v>662</v>
      </c>
    </row>
    <row r="14" spans="1:23" ht="15.75">
      <c r="A14" s="216">
        <v>14</v>
      </c>
      <c r="B14" s="202" t="s">
        <v>2078</v>
      </c>
      <c r="C14" s="202" t="s">
        <v>635</v>
      </c>
      <c r="D14" s="200" t="s">
        <v>636</v>
      </c>
      <c r="E14" s="202" t="s">
        <v>69</v>
      </c>
      <c r="F14" s="202" t="str">
        <f>_xlfn.CONCAT(B14,"_",C14,"_",D14,"_",E14)</f>
        <v>EC_MAN_FADESA METALES_UNE</v>
      </c>
      <c r="G14" s="200" t="s">
        <v>604</v>
      </c>
      <c r="H14" s="202" t="s">
        <v>602</v>
      </c>
      <c r="I14" s="203" t="s">
        <v>2098</v>
      </c>
      <c r="J14" s="200" t="s">
        <v>665</v>
      </c>
      <c r="K14" s="200" t="str">
        <f>_xlfn.CONCAT(I14,"-",J14)</f>
        <v>EC_MAN_UNE_SW_VOZ-IP_FADESA METALES-192.168.211.52</v>
      </c>
      <c r="L14" s="61" t="s">
        <v>1408</v>
      </c>
      <c r="M14" s="200" t="s">
        <v>637</v>
      </c>
      <c r="N14" s="200" t="s">
        <v>663</v>
      </c>
      <c r="O14" s="204" t="s">
        <v>664</v>
      </c>
      <c r="P14" s="202" t="s">
        <v>641</v>
      </c>
      <c r="Q14" s="202" t="s">
        <v>609</v>
      </c>
      <c r="R14" s="202" t="s">
        <v>610</v>
      </c>
      <c r="S14" s="200" t="s">
        <v>666</v>
      </c>
      <c r="T14" s="200" t="s">
        <v>2097</v>
      </c>
      <c r="U14" s="200" t="s">
        <v>667</v>
      </c>
      <c r="V14" s="202" t="s">
        <v>668</v>
      </c>
    </row>
    <row r="15" spans="1:23" ht="15.75">
      <c r="A15" s="216">
        <v>15</v>
      </c>
      <c r="B15" s="202" t="s">
        <v>2078</v>
      </c>
      <c r="C15" s="202" t="s">
        <v>635</v>
      </c>
      <c r="D15" s="200" t="s">
        <v>636</v>
      </c>
      <c r="E15" s="202" t="s">
        <v>69</v>
      </c>
      <c r="F15" s="202" t="str">
        <f>_xlfn.CONCAT(B15,"_",C15,"_",D15,"_",E15)</f>
        <v>EC_MAN_FADESA METALES_UNE</v>
      </c>
      <c r="G15" s="200" t="s">
        <v>604</v>
      </c>
      <c r="H15" s="202" t="s">
        <v>602</v>
      </c>
      <c r="I15" s="203" t="s">
        <v>2099</v>
      </c>
      <c r="J15" s="200" t="s">
        <v>671</v>
      </c>
      <c r="K15" s="200" t="str">
        <f>_xlfn.CONCAT(I15,"-",J15)</f>
        <v>EC_MAN_UNE_SW_LUM_FADESA METALES-192.168.211.53</v>
      </c>
      <c r="L15" s="61" t="s">
        <v>1408</v>
      </c>
      <c r="M15" s="200" t="s">
        <v>637</v>
      </c>
      <c r="N15" s="200" t="s">
        <v>669</v>
      </c>
      <c r="O15" s="204" t="s">
        <v>670</v>
      </c>
      <c r="P15" s="202" t="s">
        <v>641</v>
      </c>
      <c r="Q15" s="202" t="s">
        <v>609</v>
      </c>
      <c r="R15" s="202" t="s">
        <v>610</v>
      </c>
      <c r="S15" s="200" t="s">
        <v>672</v>
      </c>
      <c r="T15" s="200" t="s">
        <v>673</v>
      </c>
      <c r="U15" s="200" t="s">
        <v>674</v>
      </c>
      <c r="V15" s="202" t="s">
        <v>675</v>
      </c>
    </row>
    <row r="16" spans="1:23" ht="31.5">
      <c r="A16" s="216">
        <v>16</v>
      </c>
      <c r="B16" s="202" t="s">
        <v>2078</v>
      </c>
      <c r="C16" s="202" t="s">
        <v>635</v>
      </c>
      <c r="D16" s="200" t="s">
        <v>636</v>
      </c>
      <c r="E16" s="202" t="s">
        <v>69</v>
      </c>
      <c r="F16" s="202" t="str">
        <f>_xlfn.CONCAT(B16,"_",C16,"_",D16,"_",E16)</f>
        <v>EC_MAN_FADESA METALES_UNE</v>
      </c>
      <c r="G16" s="200" t="s">
        <v>604</v>
      </c>
      <c r="H16" s="202" t="s">
        <v>602</v>
      </c>
      <c r="I16" s="203" t="s">
        <v>2096</v>
      </c>
      <c r="J16" s="200" t="s">
        <v>678</v>
      </c>
      <c r="K16" s="200" t="str">
        <f>_xlfn.CONCAT(I16,"-",J16)</f>
        <v>EC_MAN_UNE_SW_ACCESO_FADESA METALES-192.168.211.54</v>
      </c>
      <c r="L16" s="61" t="s">
        <v>1408</v>
      </c>
      <c r="M16" s="200" t="s">
        <v>637</v>
      </c>
      <c r="N16" s="200" t="s">
        <v>676</v>
      </c>
      <c r="O16" s="204" t="s">
        <v>677</v>
      </c>
      <c r="P16" s="202" t="s">
        <v>641</v>
      </c>
      <c r="Q16" s="202" t="s">
        <v>609</v>
      </c>
      <c r="R16" s="202" t="s">
        <v>610</v>
      </c>
      <c r="S16" s="200" t="s">
        <v>679</v>
      </c>
      <c r="T16" s="200" t="s">
        <v>617</v>
      </c>
      <c r="U16" s="200" t="s">
        <v>617</v>
      </c>
      <c r="V16" s="202" t="s">
        <v>680</v>
      </c>
    </row>
    <row r="17" spans="1:22" ht="31.5">
      <c r="A17" s="216">
        <v>17</v>
      </c>
      <c r="B17" s="202" t="s">
        <v>2078</v>
      </c>
      <c r="C17" s="202" t="s">
        <v>635</v>
      </c>
      <c r="D17" s="200" t="s">
        <v>636</v>
      </c>
      <c r="E17" s="202" t="s">
        <v>69</v>
      </c>
      <c r="F17" s="202" t="str">
        <f>_xlfn.CONCAT(B17,"_",C17,"_",D17,"_",E17)</f>
        <v>EC_MAN_FADESA METALES_UNE</v>
      </c>
      <c r="G17" s="200" t="s">
        <v>630</v>
      </c>
      <c r="H17" s="202" t="s">
        <v>602</v>
      </c>
      <c r="I17" s="203" t="s">
        <v>2100</v>
      </c>
      <c r="J17" s="200" t="s">
        <v>1409</v>
      </c>
      <c r="K17" s="200" t="str">
        <f>_xlfn.CONCAT(I17,"-",J17)</f>
        <v xml:space="preserve">EC_MAN_UNE_RO_TELEFONICA_FADESA METALES-10.85.0.3 </v>
      </c>
      <c r="L17" s="61" t="s">
        <v>1408</v>
      </c>
      <c r="M17" s="200" t="s">
        <v>637</v>
      </c>
      <c r="N17" s="200" t="s">
        <v>681</v>
      </c>
      <c r="O17" s="200"/>
      <c r="P17" s="202"/>
      <c r="Q17" s="202" t="s">
        <v>609</v>
      </c>
      <c r="R17" s="202" t="s">
        <v>682</v>
      </c>
      <c r="S17" s="200"/>
      <c r="T17" s="200" t="s">
        <v>634</v>
      </c>
      <c r="U17" s="200"/>
      <c r="V17" s="202"/>
    </row>
    <row r="18" spans="1:22" ht="31.5">
      <c r="A18" s="216">
        <v>18</v>
      </c>
      <c r="B18" s="202" t="s">
        <v>2078</v>
      </c>
      <c r="C18" s="202" t="s">
        <v>635</v>
      </c>
      <c r="D18" s="200" t="s">
        <v>636</v>
      </c>
      <c r="E18" s="202" t="s">
        <v>69</v>
      </c>
      <c r="F18" s="202" t="str">
        <f>_xlfn.CONCAT(B18,"_",C18,"_",D18,"_",E18)</f>
        <v>EC_MAN_FADESA METALES_UNE</v>
      </c>
      <c r="G18" s="200" t="s">
        <v>630</v>
      </c>
      <c r="H18" s="202" t="s">
        <v>602</v>
      </c>
      <c r="I18" s="203" t="s">
        <v>2100</v>
      </c>
      <c r="J18" s="200" t="s">
        <v>1410</v>
      </c>
      <c r="K18" s="200" t="str">
        <f>_xlfn.CONCAT(I18,"-",J18)</f>
        <v>EC_MAN_UNE_RO_TELEFONICA_FADESA METALES-10.85.0.4</v>
      </c>
      <c r="L18" s="61" t="s">
        <v>1408</v>
      </c>
      <c r="M18" s="200" t="s">
        <v>637</v>
      </c>
      <c r="N18" s="200" t="s">
        <v>683</v>
      </c>
      <c r="O18" s="200" t="s">
        <v>684</v>
      </c>
      <c r="P18" s="202"/>
      <c r="Q18" s="202" t="s">
        <v>609</v>
      </c>
      <c r="R18" s="202" t="s">
        <v>682</v>
      </c>
      <c r="S18" s="200"/>
      <c r="T18" s="200" t="s">
        <v>634</v>
      </c>
      <c r="U18" s="200" t="s">
        <v>685</v>
      </c>
      <c r="V18" s="202"/>
    </row>
    <row r="19" spans="1:22" ht="31.5">
      <c r="A19" s="216">
        <v>19</v>
      </c>
      <c r="B19" s="202" t="s">
        <v>2078</v>
      </c>
      <c r="C19" s="202" t="s">
        <v>635</v>
      </c>
      <c r="D19" s="200" t="s">
        <v>636</v>
      </c>
      <c r="E19" s="202" t="s">
        <v>69</v>
      </c>
      <c r="F19" s="202" t="str">
        <f>_xlfn.CONCAT(B19,"_",C19,"_",D19,"_",E19)</f>
        <v>EC_MAN_FADESA METALES_UNE</v>
      </c>
      <c r="G19" s="200" t="s">
        <v>604</v>
      </c>
      <c r="H19" s="202" t="s">
        <v>602</v>
      </c>
      <c r="I19" s="203" t="s">
        <v>2102</v>
      </c>
      <c r="J19" s="200" t="s">
        <v>688</v>
      </c>
      <c r="K19" s="200" t="str">
        <f>_xlfn.CONCAT(I19,"-",J19)</f>
        <v>EC_MAN_UNE_SW_2530-8G-CC2_FADESA METALES-192.168.211.55</v>
      </c>
      <c r="L19" s="61" t="s">
        <v>1408</v>
      </c>
      <c r="M19" s="200" t="s">
        <v>648</v>
      </c>
      <c r="N19" s="200" t="s">
        <v>686</v>
      </c>
      <c r="O19" s="204" t="s">
        <v>687</v>
      </c>
      <c r="P19" s="202" t="s">
        <v>689</v>
      </c>
      <c r="Q19" s="202" t="s">
        <v>609</v>
      </c>
      <c r="R19" s="202" t="s">
        <v>610</v>
      </c>
      <c r="S19" s="200" t="s">
        <v>690</v>
      </c>
      <c r="T19" s="200" t="s">
        <v>2101</v>
      </c>
      <c r="U19" s="200" t="s">
        <v>690</v>
      </c>
      <c r="V19" s="202"/>
    </row>
    <row r="20" spans="1:22" ht="31.5">
      <c r="A20" s="216">
        <v>20</v>
      </c>
      <c r="B20" s="202" t="s">
        <v>2078</v>
      </c>
      <c r="C20" s="202" t="s">
        <v>635</v>
      </c>
      <c r="D20" s="200" t="s">
        <v>636</v>
      </c>
      <c r="E20" s="206" t="s">
        <v>69</v>
      </c>
      <c r="F20" s="202" t="str">
        <f>_xlfn.CONCAT(B20,"_",C20,"_",D20,"_",E20)</f>
        <v>EC_MAN_FADESA METALES_UNE</v>
      </c>
      <c r="G20" s="97" t="s">
        <v>604</v>
      </c>
      <c r="H20" s="206" t="s">
        <v>602</v>
      </c>
      <c r="I20" s="203" t="s">
        <v>2104</v>
      </c>
      <c r="J20" s="97" t="s">
        <v>693</v>
      </c>
      <c r="K20" s="200" t="str">
        <f>_xlfn.CONCAT(I20,"-",J20)</f>
        <v>EC_MAN_UNE_SW_5130-24G-CC2_FADESA METALES-192.168.211.56</v>
      </c>
      <c r="L20" s="61" t="s">
        <v>1408</v>
      </c>
      <c r="M20" s="97" t="s">
        <v>648</v>
      </c>
      <c r="N20" s="97" t="s">
        <v>691</v>
      </c>
      <c r="O20" s="204" t="s">
        <v>692</v>
      </c>
      <c r="P20" s="206" t="s">
        <v>641</v>
      </c>
      <c r="Q20" s="206" t="s">
        <v>609</v>
      </c>
      <c r="R20" s="206" t="s">
        <v>610</v>
      </c>
      <c r="S20" s="97" t="s">
        <v>694</v>
      </c>
      <c r="T20" s="242" t="s">
        <v>2103</v>
      </c>
      <c r="U20" s="97" t="s">
        <v>694</v>
      </c>
      <c r="V20" s="206"/>
    </row>
    <row r="21" spans="1:22" ht="31.5">
      <c r="A21" s="216">
        <v>21</v>
      </c>
      <c r="B21" s="202" t="s">
        <v>2078</v>
      </c>
      <c r="C21" s="202" t="s">
        <v>635</v>
      </c>
      <c r="D21" s="200" t="s">
        <v>636</v>
      </c>
      <c r="E21" s="210" t="s">
        <v>69</v>
      </c>
      <c r="F21" s="202" t="str">
        <f>_xlfn.CONCAT(B21,"_",C21,"_",D21,"_",E21)</f>
        <v>EC_MAN_FADESA METALES_UNE</v>
      </c>
      <c r="G21" s="209" t="s">
        <v>604</v>
      </c>
      <c r="H21" s="210" t="s">
        <v>602</v>
      </c>
      <c r="I21" s="203" t="s">
        <v>2106</v>
      </c>
      <c r="J21" s="209" t="s">
        <v>697</v>
      </c>
      <c r="K21" s="200" t="str">
        <f>_xlfn.CONCAT(I21,"-",J21)</f>
        <v>EC_MAN_UNE_SW_HP-6000_FADESA METALES-192.168.211.57</v>
      </c>
      <c r="L21" s="61" t="s">
        <v>1408</v>
      </c>
      <c r="M21" s="209" t="s">
        <v>646</v>
      </c>
      <c r="N21" s="209" t="s">
        <v>695</v>
      </c>
      <c r="O21" s="204" t="s">
        <v>696</v>
      </c>
      <c r="P21" s="210" t="s">
        <v>641</v>
      </c>
      <c r="Q21" s="210" t="s">
        <v>609</v>
      </c>
      <c r="R21" s="210" t="s">
        <v>610</v>
      </c>
      <c r="S21" s="209" t="s">
        <v>698</v>
      </c>
      <c r="T21" s="209" t="s">
        <v>2105</v>
      </c>
      <c r="U21" s="209" t="s">
        <v>698</v>
      </c>
      <c r="V21" s="210"/>
    </row>
    <row r="22" spans="1:22" ht="15.75">
      <c r="A22" s="216">
        <v>23</v>
      </c>
      <c r="B22" s="202" t="s">
        <v>2078</v>
      </c>
      <c r="C22" s="202" t="s">
        <v>601</v>
      </c>
      <c r="D22" s="200" t="s">
        <v>636</v>
      </c>
      <c r="E22" s="99" t="s">
        <v>69</v>
      </c>
      <c r="F22" s="202" t="str">
        <f>_xlfn.CONCAT(B22,"_",C22,"_",D22,"_",E22)</f>
        <v>EC_GYE_FADESA METALES_UNE</v>
      </c>
      <c r="G22" s="98" t="s">
        <v>604</v>
      </c>
      <c r="H22" s="99" t="s">
        <v>602</v>
      </c>
      <c r="I22" s="203" t="s">
        <v>2107</v>
      </c>
      <c r="J22" s="98" t="s">
        <v>702</v>
      </c>
      <c r="K22" s="200" t="str">
        <f>_xlfn.CONCAT(I22,"-",J22)</f>
        <v>EC_GYE_UNE_SW_CORE_FADESA METALES-172.20.208.62</v>
      </c>
      <c r="L22" s="61" t="s">
        <v>1408</v>
      </c>
      <c r="M22" s="98" t="s">
        <v>699</v>
      </c>
      <c r="N22" s="98" t="s">
        <v>700</v>
      </c>
      <c r="O22" s="204" t="s">
        <v>701</v>
      </c>
      <c r="P22" s="99"/>
      <c r="Q22" s="99" t="s">
        <v>609</v>
      </c>
      <c r="R22" s="99" t="s">
        <v>610</v>
      </c>
      <c r="S22" s="99"/>
      <c r="T22" s="99" t="s">
        <v>643</v>
      </c>
      <c r="U22" s="98" t="s">
        <v>644</v>
      </c>
      <c r="V22" s="99"/>
    </row>
    <row r="23" spans="1:22" ht="31.5">
      <c r="A23" s="216">
        <v>24</v>
      </c>
      <c r="B23" s="202" t="s">
        <v>2078</v>
      </c>
      <c r="C23" s="202" t="s">
        <v>601</v>
      </c>
      <c r="D23" s="200" t="s">
        <v>636</v>
      </c>
      <c r="E23" s="99" t="s">
        <v>69</v>
      </c>
      <c r="F23" s="202" t="str">
        <f>_xlfn.CONCAT(B23,"_",C23,"_",D23,"_",E23)</f>
        <v>EC_GYE_FADESA METALES_UNE</v>
      </c>
      <c r="G23" s="98" t="s">
        <v>630</v>
      </c>
      <c r="H23" s="99" t="s">
        <v>602</v>
      </c>
      <c r="I23" s="203" t="s">
        <v>2109</v>
      </c>
      <c r="J23" s="98" t="s">
        <v>1411</v>
      </c>
      <c r="K23" s="200" t="str">
        <f>_xlfn.CONCAT(I23,"-",J23)</f>
        <v>EC_GYE_UNE_RO_TELF-PRIN_FADESA METALES-10.87.0.3</v>
      </c>
      <c r="L23" s="61" t="s">
        <v>1408</v>
      </c>
      <c r="M23" s="98" t="s">
        <v>699</v>
      </c>
      <c r="N23" s="98" t="s">
        <v>683</v>
      </c>
      <c r="O23" s="98" t="s">
        <v>703</v>
      </c>
      <c r="P23" s="99"/>
      <c r="Q23" s="99" t="s">
        <v>609</v>
      </c>
      <c r="R23" s="99" t="s">
        <v>682</v>
      </c>
      <c r="S23" s="99"/>
      <c r="T23" s="99" t="s">
        <v>2108</v>
      </c>
      <c r="U23" s="98" t="s">
        <v>704</v>
      </c>
      <c r="V23" s="99"/>
    </row>
    <row r="24" spans="1:22" ht="31.5">
      <c r="A24" s="223">
        <v>25</v>
      </c>
      <c r="B24" s="202" t="s">
        <v>2078</v>
      </c>
      <c r="C24" s="247" t="s">
        <v>601</v>
      </c>
      <c r="D24" s="211" t="s">
        <v>636</v>
      </c>
      <c r="E24" s="180" t="s">
        <v>69</v>
      </c>
      <c r="F24" s="202" t="str">
        <f>_xlfn.CONCAT(B24,"_",C24,"_",D24,"_",E24)</f>
        <v>EC_GYE_FADESA METALES_UNE</v>
      </c>
      <c r="G24" s="225" t="s">
        <v>630</v>
      </c>
      <c r="H24" s="180" t="s">
        <v>602</v>
      </c>
      <c r="I24" s="221" t="s">
        <v>2112</v>
      </c>
      <c r="J24" s="225" t="s">
        <v>2110</v>
      </c>
      <c r="K24" s="200" t="str">
        <f>_xlfn.CONCAT(I24,"-",J24)</f>
        <v>EC_GYE_UNE_RO_TELF-BACK_FADESA METALES-10.87.0.4</v>
      </c>
      <c r="L24" s="61" t="s">
        <v>1408</v>
      </c>
      <c r="M24" s="225" t="s">
        <v>699</v>
      </c>
      <c r="N24" s="225" t="s">
        <v>683</v>
      </c>
      <c r="O24" s="225" t="s">
        <v>706</v>
      </c>
      <c r="P24" s="180"/>
      <c r="Q24" s="180" t="s">
        <v>609</v>
      </c>
      <c r="R24" s="180" t="s">
        <v>682</v>
      </c>
      <c r="S24" s="180"/>
      <c r="T24" s="180" t="s">
        <v>2111</v>
      </c>
      <c r="U24" s="225" t="s">
        <v>704</v>
      </c>
      <c r="V24" s="180"/>
    </row>
    <row r="25" spans="1:22" ht="15.75">
      <c r="A25" s="216">
        <v>26</v>
      </c>
      <c r="B25" s="202" t="s">
        <v>2078</v>
      </c>
      <c r="C25" s="202" t="s">
        <v>601</v>
      </c>
      <c r="D25" s="200" t="s">
        <v>636</v>
      </c>
      <c r="E25" s="99" t="s">
        <v>69</v>
      </c>
      <c r="F25" s="202" t="str">
        <f>_xlfn.CONCAT(B25,"_",C25,"_",D25,"_",E25)</f>
        <v>EC_GYE_FADESA METALES_UNE</v>
      </c>
      <c r="G25" s="98" t="s">
        <v>604</v>
      </c>
      <c r="H25" s="99" t="s">
        <v>602</v>
      </c>
      <c r="I25" s="203" t="s">
        <v>2113</v>
      </c>
      <c r="J25" s="98" t="s">
        <v>702</v>
      </c>
      <c r="K25" s="200" t="str">
        <f>_xlfn.CONCAT(I25,"-",J25)</f>
        <v>EC_GYE_UNE_SW__FADESA METALES-172.20.208.62</v>
      </c>
      <c r="L25" s="61" t="s">
        <v>1408</v>
      </c>
      <c r="M25" s="98" t="s">
        <v>699</v>
      </c>
      <c r="N25" s="98" t="s">
        <v>700</v>
      </c>
      <c r="O25" s="204" t="s">
        <v>708</v>
      </c>
      <c r="P25" s="99"/>
      <c r="Q25" s="99" t="s">
        <v>609</v>
      </c>
      <c r="R25" s="99" t="s">
        <v>610</v>
      </c>
      <c r="S25" s="99"/>
      <c r="T25" s="99"/>
      <c r="U25" s="98" t="s">
        <v>709</v>
      </c>
      <c r="V25" s="99"/>
    </row>
    <row r="26" spans="1:22" ht="15.75">
      <c r="A26" s="243">
        <v>30</v>
      </c>
      <c r="B26" s="202" t="s">
        <v>2078</v>
      </c>
      <c r="C26" s="202" t="s">
        <v>601</v>
      </c>
      <c r="D26" s="200" t="s">
        <v>636</v>
      </c>
      <c r="E26" s="213" t="s">
        <v>69</v>
      </c>
      <c r="F26" s="202" t="str">
        <f>_xlfn.CONCAT(B26,"_",C26,"_",D26,"_",E26)</f>
        <v>EC_GYE_FADESA METALES_UNE</v>
      </c>
      <c r="G26" s="212" t="s">
        <v>604</v>
      </c>
      <c r="H26" s="213" t="s">
        <v>602</v>
      </c>
      <c r="I26" s="203" t="s">
        <v>2113</v>
      </c>
      <c r="J26" s="212" t="s">
        <v>712</v>
      </c>
      <c r="K26" s="200" t="str">
        <f>_xlfn.CONCAT(I26,"-",J26)</f>
        <v>EC_GYE_UNE_SW__FADESA METALES-172.20.208.61</v>
      </c>
      <c r="L26" s="61" t="s">
        <v>1408</v>
      </c>
      <c r="M26" s="212" t="s">
        <v>710</v>
      </c>
      <c r="N26" s="212" t="s">
        <v>700</v>
      </c>
      <c r="O26" s="204" t="s">
        <v>711</v>
      </c>
      <c r="P26" s="213" t="s">
        <v>713</v>
      </c>
      <c r="Q26" s="213" t="s">
        <v>609</v>
      </c>
      <c r="R26" s="213" t="s">
        <v>610</v>
      </c>
      <c r="S26" s="212" t="s">
        <v>714</v>
      </c>
      <c r="T26" s="212"/>
      <c r="U26" s="212" t="s">
        <v>714</v>
      </c>
      <c r="V26" s="213"/>
    </row>
    <row r="27" spans="1:22" ht="15.75">
      <c r="A27" s="216">
        <v>31</v>
      </c>
      <c r="B27" s="202" t="s">
        <v>2078</v>
      </c>
      <c r="C27" s="202" t="s">
        <v>601</v>
      </c>
      <c r="D27" s="200" t="s">
        <v>636</v>
      </c>
      <c r="E27" s="99" t="s">
        <v>69</v>
      </c>
      <c r="F27" s="202" t="str">
        <f>_xlfn.CONCAT(B27,"_",C27,"_",D27,"_",E27)</f>
        <v>EC_GYE_FADESA METALES_UNE</v>
      </c>
      <c r="G27" s="98" t="s">
        <v>604</v>
      </c>
      <c r="H27" s="99" t="s">
        <v>602</v>
      </c>
      <c r="I27" s="203" t="s">
        <v>2113</v>
      </c>
      <c r="J27" s="98" t="s">
        <v>718</v>
      </c>
      <c r="K27" s="200" t="str">
        <f>_xlfn.CONCAT(I27,"-",J27)</f>
        <v>EC_GYE_UNE_SW__FADESA METALES-172.20.108.118</v>
      </c>
      <c r="L27" s="61" t="s">
        <v>1408</v>
      </c>
      <c r="M27" s="98" t="s">
        <v>715</v>
      </c>
      <c r="N27" s="98" t="s">
        <v>716</v>
      </c>
      <c r="O27" s="204" t="s">
        <v>717</v>
      </c>
      <c r="P27" s="99" t="s">
        <v>713</v>
      </c>
      <c r="Q27" s="99" t="s">
        <v>609</v>
      </c>
      <c r="R27" s="99" t="s">
        <v>610</v>
      </c>
      <c r="S27" s="98" t="s">
        <v>716</v>
      </c>
      <c r="T27" s="98"/>
      <c r="U27" s="98" t="s">
        <v>716</v>
      </c>
      <c r="V27" s="99" t="s">
        <v>719</v>
      </c>
    </row>
    <row r="28" spans="1:22" ht="31.5">
      <c r="A28" s="223">
        <v>32</v>
      </c>
      <c r="B28" s="202" t="s">
        <v>2078</v>
      </c>
      <c r="C28" s="247" t="s">
        <v>601</v>
      </c>
      <c r="D28" s="211" t="s">
        <v>636</v>
      </c>
      <c r="E28" s="180" t="s">
        <v>69</v>
      </c>
      <c r="F28" s="202" t="str">
        <f>_xlfn.CONCAT(B28,"_",C28,"_",D28,"_",E28)</f>
        <v>EC_GYE_FADESA METALES_UNE</v>
      </c>
      <c r="G28" s="225" t="s">
        <v>604</v>
      </c>
      <c r="H28" s="180" t="s">
        <v>602</v>
      </c>
      <c r="I28" s="221" t="s">
        <v>2115</v>
      </c>
      <c r="J28" s="225" t="s">
        <v>722</v>
      </c>
      <c r="K28" s="200" t="str">
        <f>_xlfn.CONCAT(I28,"-",J28)</f>
        <v>EC_GYE_UNE_SW_CORE-ANILLO_FADESA METALES-172.20.108.200</v>
      </c>
      <c r="L28" s="61" t="s">
        <v>1408</v>
      </c>
      <c r="M28" s="225" t="s">
        <v>699</v>
      </c>
      <c r="N28" s="225" t="s">
        <v>720</v>
      </c>
      <c r="O28" s="226" t="s">
        <v>721</v>
      </c>
      <c r="P28" s="180" t="s">
        <v>713</v>
      </c>
      <c r="Q28" s="180" t="s">
        <v>609</v>
      </c>
      <c r="R28" s="180" t="s">
        <v>610</v>
      </c>
      <c r="S28" s="225" t="s">
        <v>720</v>
      </c>
      <c r="T28" s="225" t="s">
        <v>2114</v>
      </c>
      <c r="U28" s="225" t="s">
        <v>723</v>
      </c>
      <c r="V28" s="180"/>
    </row>
    <row r="29" spans="1:22" ht="31.5">
      <c r="A29" s="223">
        <v>39</v>
      </c>
      <c r="B29" s="202" t="s">
        <v>2078</v>
      </c>
      <c r="C29" s="247" t="s">
        <v>601</v>
      </c>
      <c r="D29" s="211" t="s">
        <v>636</v>
      </c>
      <c r="E29" s="180" t="s">
        <v>69</v>
      </c>
      <c r="F29" s="202" t="str">
        <f>_xlfn.CONCAT(B29,"_",C29,"_",D29,"_",E29)</f>
        <v>EC_GYE_FADESA METALES_UNE</v>
      </c>
      <c r="G29" s="225" t="s">
        <v>604</v>
      </c>
      <c r="H29" s="180" t="s">
        <v>602</v>
      </c>
      <c r="I29" s="221" t="s">
        <v>2116</v>
      </c>
      <c r="J29" s="225" t="s">
        <v>727</v>
      </c>
      <c r="K29" s="200" t="str">
        <f>_xlfn.CONCAT(I29,"-",J29)</f>
        <v>EC_GYE_UNE_SW_RRHH_HP_FADESA METALES-172.20.108.102</v>
      </c>
      <c r="L29" s="61" t="s">
        <v>1408</v>
      </c>
      <c r="M29" s="225" t="s">
        <v>725</v>
      </c>
      <c r="N29" s="225" t="s">
        <v>716</v>
      </c>
      <c r="O29" s="226" t="s">
        <v>726</v>
      </c>
      <c r="P29" s="180" t="s">
        <v>713</v>
      </c>
      <c r="Q29" s="180" t="s">
        <v>609</v>
      </c>
      <c r="R29" s="180" t="s">
        <v>610</v>
      </c>
      <c r="S29" s="225" t="s">
        <v>716</v>
      </c>
      <c r="T29" s="225" t="s">
        <v>728</v>
      </c>
      <c r="U29" s="225" t="s">
        <v>716</v>
      </c>
      <c r="V29" s="180" t="s">
        <v>729</v>
      </c>
    </row>
    <row r="30" spans="1:22" ht="15.75">
      <c r="A30" s="216">
        <v>40</v>
      </c>
      <c r="B30" s="202" t="s">
        <v>2078</v>
      </c>
      <c r="C30" s="202" t="s">
        <v>601</v>
      </c>
      <c r="D30" s="200" t="s">
        <v>636</v>
      </c>
      <c r="E30" s="99" t="s">
        <v>69</v>
      </c>
      <c r="F30" s="202" t="str">
        <f>_xlfn.CONCAT(B30,"_",C30,"_",D30,"_",E30)</f>
        <v>EC_GYE_FADESA METALES_UNE</v>
      </c>
      <c r="G30" s="98" t="s">
        <v>604</v>
      </c>
      <c r="H30" s="99" t="s">
        <v>602</v>
      </c>
      <c r="I30" s="203" t="s">
        <v>2117</v>
      </c>
      <c r="J30" s="98" t="s">
        <v>731</v>
      </c>
      <c r="K30" s="200" t="str">
        <f>_xlfn.CONCAT(I30,"-",J30)</f>
        <v>EC_GYE_UNE_SW_SPARE_FADESA METALES-Por definir</v>
      </c>
      <c r="L30" s="61" t="s">
        <v>1408</v>
      </c>
      <c r="M30" s="98" t="s">
        <v>699</v>
      </c>
      <c r="N30" s="98" t="s">
        <v>724</v>
      </c>
      <c r="O30" s="207" t="s">
        <v>730</v>
      </c>
      <c r="P30" s="99" t="s">
        <v>713</v>
      </c>
      <c r="Q30" s="99" t="s">
        <v>609</v>
      </c>
      <c r="R30" s="99" t="s">
        <v>610</v>
      </c>
      <c r="S30" s="98" t="s">
        <v>724</v>
      </c>
      <c r="T30" s="98" t="s">
        <v>732</v>
      </c>
      <c r="U30" s="98" t="s">
        <v>733</v>
      </c>
      <c r="V30" s="99"/>
    </row>
    <row r="31" spans="1:22" ht="15.75">
      <c r="A31" s="216">
        <v>41</v>
      </c>
      <c r="B31" s="202" t="s">
        <v>2078</v>
      </c>
      <c r="C31" s="202" t="s">
        <v>601</v>
      </c>
      <c r="D31" s="200" t="s">
        <v>636</v>
      </c>
      <c r="E31" s="99" t="s">
        <v>69</v>
      </c>
      <c r="F31" s="202" t="str">
        <f>_xlfn.CONCAT(B31,"_",C31,"_",D31,"_",E31)</f>
        <v>EC_GYE_FADESA METALES_UNE</v>
      </c>
      <c r="G31" s="98" t="s">
        <v>604</v>
      </c>
      <c r="H31" s="99" t="s">
        <v>602</v>
      </c>
      <c r="I31" s="203" t="s">
        <v>2118</v>
      </c>
      <c r="J31" s="98" t="s">
        <v>736</v>
      </c>
      <c r="K31" s="200" t="str">
        <f>_xlfn.CONCAT(I31,"-",J31)</f>
        <v>EC_GYE_UNE_SW_A_FADESA METALES-172.20.108.201</v>
      </c>
      <c r="L31" s="61" t="s">
        <v>1408</v>
      </c>
      <c r="M31" s="98" t="s">
        <v>699</v>
      </c>
      <c r="N31" s="98" t="s">
        <v>734</v>
      </c>
      <c r="O31" s="204" t="s">
        <v>735</v>
      </c>
      <c r="P31" s="99" t="s">
        <v>713</v>
      </c>
      <c r="Q31" s="99" t="s">
        <v>609</v>
      </c>
      <c r="R31" s="99" t="s">
        <v>610</v>
      </c>
      <c r="S31" s="98" t="s">
        <v>734</v>
      </c>
      <c r="T31" s="98" t="s">
        <v>737</v>
      </c>
      <c r="U31" s="98" t="s">
        <v>738</v>
      </c>
      <c r="V31" s="99" t="s">
        <v>739</v>
      </c>
    </row>
    <row r="32" spans="1:22" ht="15.75">
      <c r="A32" s="216">
        <v>42</v>
      </c>
      <c r="B32" s="202" t="s">
        <v>2078</v>
      </c>
      <c r="C32" s="202" t="s">
        <v>601</v>
      </c>
      <c r="D32" s="200" t="s">
        <v>636</v>
      </c>
      <c r="E32" s="99" t="s">
        <v>69</v>
      </c>
      <c r="F32" s="202" t="str">
        <f>_xlfn.CONCAT(B32,"_",C32,"_",D32,"_",E32)</f>
        <v>EC_GYE_FADESA METALES_UNE</v>
      </c>
      <c r="G32" s="98" t="s">
        <v>604</v>
      </c>
      <c r="H32" s="99" t="s">
        <v>602</v>
      </c>
      <c r="I32" s="203" t="s">
        <v>2119</v>
      </c>
      <c r="J32" s="98" t="s">
        <v>741</v>
      </c>
      <c r="K32" s="200" t="str">
        <f>_xlfn.CONCAT(I32,"-",J32)</f>
        <v>EC_GYE_UNE_SW_B_FADESA METALES-172.20.108.202</v>
      </c>
      <c r="L32" s="61" t="s">
        <v>1408</v>
      </c>
      <c r="M32" s="98" t="s">
        <v>699</v>
      </c>
      <c r="N32" s="98" t="s">
        <v>734</v>
      </c>
      <c r="O32" s="204" t="s">
        <v>740</v>
      </c>
      <c r="P32" s="99" t="s">
        <v>713</v>
      </c>
      <c r="Q32" s="99" t="s">
        <v>609</v>
      </c>
      <c r="R32" s="99" t="s">
        <v>610</v>
      </c>
      <c r="S32" s="98" t="s">
        <v>734</v>
      </c>
      <c r="T32" s="98" t="s">
        <v>742</v>
      </c>
      <c r="U32" s="98" t="s">
        <v>743</v>
      </c>
      <c r="V32" s="99" t="s">
        <v>744</v>
      </c>
    </row>
    <row r="33" spans="1:22" ht="15.75">
      <c r="A33" s="216">
        <v>43</v>
      </c>
      <c r="B33" s="202" t="s">
        <v>2078</v>
      </c>
      <c r="C33" s="202" t="s">
        <v>601</v>
      </c>
      <c r="D33" s="200" t="s">
        <v>636</v>
      </c>
      <c r="E33" s="99" t="s">
        <v>69</v>
      </c>
      <c r="F33" s="202" t="str">
        <f>_xlfn.CONCAT(B33,"_",C33,"_",D33,"_",E33)</f>
        <v>EC_GYE_FADESA METALES_UNE</v>
      </c>
      <c r="G33" s="98" t="s">
        <v>604</v>
      </c>
      <c r="H33" s="99" t="s">
        <v>602</v>
      </c>
      <c r="I33" s="203" t="s">
        <v>2120</v>
      </c>
      <c r="J33" s="98" t="s">
        <v>746</v>
      </c>
      <c r="K33" s="200" t="str">
        <f>_xlfn.CONCAT(I33,"-",J33)</f>
        <v>EC_GYE_UNE_SW_C_FADESA METALES-172.20.108.203</v>
      </c>
      <c r="L33" s="61" t="s">
        <v>1408</v>
      </c>
      <c r="M33" s="98" t="s">
        <v>699</v>
      </c>
      <c r="N33" s="98" t="s">
        <v>734</v>
      </c>
      <c r="O33" s="204" t="s">
        <v>745</v>
      </c>
      <c r="P33" s="99" t="s">
        <v>713</v>
      </c>
      <c r="Q33" s="99" t="s">
        <v>609</v>
      </c>
      <c r="R33" s="99" t="s">
        <v>610</v>
      </c>
      <c r="S33" s="98" t="s">
        <v>734</v>
      </c>
      <c r="T33" s="98" t="s">
        <v>747</v>
      </c>
      <c r="U33" s="98" t="s">
        <v>748</v>
      </c>
      <c r="V33" s="99" t="s">
        <v>749</v>
      </c>
    </row>
    <row r="34" spans="1:22" ht="15.75">
      <c r="A34" s="216">
        <v>44</v>
      </c>
      <c r="B34" s="202" t="s">
        <v>2078</v>
      </c>
      <c r="C34" s="202" t="s">
        <v>601</v>
      </c>
      <c r="D34" s="200" t="s">
        <v>636</v>
      </c>
      <c r="E34" s="99" t="s">
        <v>69</v>
      </c>
      <c r="F34" s="202" t="str">
        <f>_xlfn.CONCAT(B34,"_",C34,"_",D34,"_",E34)</f>
        <v>EC_GYE_FADESA METALES_UNE</v>
      </c>
      <c r="G34" s="98" t="s">
        <v>604</v>
      </c>
      <c r="H34" s="99" t="s">
        <v>602</v>
      </c>
      <c r="I34" s="203" t="s">
        <v>2121</v>
      </c>
      <c r="J34" s="98" t="s">
        <v>751</v>
      </c>
      <c r="K34" s="200" t="str">
        <f>_xlfn.CONCAT(I34,"-",J34)</f>
        <v>EC_GYE_UNE_SW_D_FADESA METALES-172.20.108.204</v>
      </c>
      <c r="L34" s="61" t="s">
        <v>1408</v>
      </c>
      <c r="M34" s="98" t="s">
        <v>699</v>
      </c>
      <c r="N34" s="98" t="s">
        <v>734</v>
      </c>
      <c r="O34" s="204" t="s">
        <v>750</v>
      </c>
      <c r="P34" s="99" t="s">
        <v>713</v>
      </c>
      <c r="Q34" s="99" t="s">
        <v>609</v>
      </c>
      <c r="R34" s="99" t="s">
        <v>610</v>
      </c>
      <c r="S34" s="98" t="s">
        <v>734</v>
      </c>
      <c r="T34" s="98" t="s">
        <v>752</v>
      </c>
      <c r="U34" s="98" t="s">
        <v>753</v>
      </c>
      <c r="V34" s="99" t="s">
        <v>754</v>
      </c>
    </row>
    <row r="35" spans="1:22" ht="15.75">
      <c r="A35" s="216">
        <v>45</v>
      </c>
      <c r="B35" s="202" t="s">
        <v>2078</v>
      </c>
      <c r="C35" s="202" t="s">
        <v>601</v>
      </c>
      <c r="D35" s="200" t="s">
        <v>636</v>
      </c>
      <c r="E35" s="99" t="s">
        <v>69</v>
      </c>
      <c r="F35" s="202" t="str">
        <f>_xlfn.CONCAT(B35,"_",C35,"_",D35,"_",E35)</f>
        <v>EC_GYE_FADESA METALES_UNE</v>
      </c>
      <c r="G35" s="98" t="s">
        <v>604</v>
      </c>
      <c r="H35" s="99" t="s">
        <v>602</v>
      </c>
      <c r="I35" s="203" t="s">
        <v>2122</v>
      </c>
      <c r="J35" s="98" t="s">
        <v>756</v>
      </c>
      <c r="K35" s="200" t="str">
        <f>_xlfn.CONCAT(I35,"-",J35)</f>
        <v>EC_GYE_UNE_SW_E_FADESA METALES-172.20.108.205</v>
      </c>
      <c r="L35" s="61" t="s">
        <v>1408</v>
      </c>
      <c r="M35" s="98" t="s">
        <v>699</v>
      </c>
      <c r="N35" s="98" t="s">
        <v>734</v>
      </c>
      <c r="O35" s="204" t="s">
        <v>755</v>
      </c>
      <c r="P35" s="99" t="s">
        <v>713</v>
      </c>
      <c r="Q35" s="99" t="s">
        <v>609</v>
      </c>
      <c r="R35" s="99" t="s">
        <v>610</v>
      </c>
      <c r="S35" s="98" t="s">
        <v>734</v>
      </c>
      <c r="T35" s="98" t="s">
        <v>757</v>
      </c>
      <c r="U35" s="98" t="s">
        <v>758</v>
      </c>
      <c r="V35" s="99" t="s">
        <v>759</v>
      </c>
    </row>
    <row r="36" spans="1:22" ht="15.75">
      <c r="A36" s="216">
        <v>46</v>
      </c>
      <c r="B36" s="202" t="s">
        <v>2078</v>
      </c>
      <c r="C36" s="202" t="s">
        <v>601</v>
      </c>
      <c r="D36" s="200" t="s">
        <v>636</v>
      </c>
      <c r="E36" s="99" t="s">
        <v>69</v>
      </c>
      <c r="F36" s="202" t="str">
        <f>_xlfn.CONCAT(B36,"_",C36,"_",D36,"_",E36)</f>
        <v>EC_GYE_FADESA METALES_UNE</v>
      </c>
      <c r="G36" s="98" t="s">
        <v>604</v>
      </c>
      <c r="H36" s="99" t="s">
        <v>602</v>
      </c>
      <c r="I36" s="203" t="s">
        <v>2123</v>
      </c>
      <c r="J36" s="98" t="s">
        <v>761</v>
      </c>
      <c r="K36" s="200" t="str">
        <f>_xlfn.CONCAT(I36,"-",J36)</f>
        <v>EC_GYE_UNE_SW_F_FADESA METALES-172.20.108.206</v>
      </c>
      <c r="L36" s="61" t="s">
        <v>1408</v>
      </c>
      <c r="M36" s="98" t="s">
        <v>699</v>
      </c>
      <c r="N36" s="98" t="s">
        <v>734</v>
      </c>
      <c r="O36" s="204" t="s">
        <v>760</v>
      </c>
      <c r="P36" s="99" t="s">
        <v>713</v>
      </c>
      <c r="Q36" s="99" t="s">
        <v>609</v>
      </c>
      <c r="R36" s="99" t="s">
        <v>610</v>
      </c>
      <c r="S36" s="98" t="s">
        <v>734</v>
      </c>
      <c r="T36" s="98" t="s">
        <v>762</v>
      </c>
      <c r="U36" s="98" t="s">
        <v>763</v>
      </c>
      <c r="V36" s="99" t="s">
        <v>764</v>
      </c>
    </row>
    <row r="37" spans="1:22" ht="15.75">
      <c r="A37" s="216">
        <v>47</v>
      </c>
      <c r="B37" s="202" t="s">
        <v>2078</v>
      </c>
      <c r="C37" s="202" t="s">
        <v>601</v>
      </c>
      <c r="D37" s="200" t="s">
        <v>636</v>
      </c>
      <c r="E37" s="99" t="s">
        <v>69</v>
      </c>
      <c r="F37" s="202" t="str">
        <f>_xlfn.CONCAT(B37,"_",C37,"_",D37,"_",E37)</f>
        <v>EC_GYE_FADESA METALES_UNE</v>
      </c>
      <c r="G37" s="98" t="s">
        <v>604</v>
      </c>
      <c r="H37" s="99" t="s">
        <v>602</v>
      </c>
      <c r="I37" s="203" t="s">
        <v>2124</v>
      </c>
      <c r="J37" s="98" t="s">
        <v>767</v>
      </c>
      <c r="K37" s="200" t="str">
        <f>_xlfn.CONCAT(I37,"-",J37)</f>
        <v>EC_GYE_UNE_SW_G_FADESA METALES-172.20.108.207</v>
      </c>
      <c r="L37" s="61" t="s">
        <v>1408</v>
      </c>
      <c r="M37" s="98" t="s">
        <v>699</v>
      </c>
      <c r="N37" s="98" t="s">
        <v>765</v>
      </c>
      <c r="O37" s="204" t="s">
        <v>766</v>
      </c>
      <c r="P37" s="99" t="s">
        <v>713</v>
      </c>
      <c r="Q37" s="99" t="s">
        <v>609</v>
      </c>
      <c r="R37" s="99" t="s">
        <v>610</v>
      </c>
      <c r="S37" s="98" t="s">
        <v>768</v>
      </c>
      <c r="T37" s="98" t="s">
        <v>769</v>
      </c>
      <c r="U37" s="98" t="s">
        <v>770</v>
      </c>
      <c r="V37" s="99" t="s">
        <v>771</v>
      </c>
    </row>
    <row r="38" spans="1:22" ht="15.75">
      <c r="A38" s="223">
        <v>48</v>
      </c>
      <c r="B38" s="202" t="s">
        <v>2078</v>
      </c>
      <c r="C38" s="247" t="s">
        <v>601</v>
      </c>
      <c r="D38" s="211" t="s">
        <v>636</v>
      </c>
      <c r="E38" s="180" t="s">
        <v>69</v>
      </c>
      <c r="F38" s="202" t="str">
        <f>_xlfn.CONCAT(B38,"_",C38,"_",D38,"_",E38)</f>
        <v>EC_GYE_FADESA METALES_UNE</v>
      </c>
      <c r="G38" s="225" t="s">
        <v>604</v>
      </c>
      <c r="H38" s="180" t="s">
        <v>602</v>
      </c>
      <c r="I38" s="221" t="s">
        <v>2125</v>
      </c>
      <c r="J38" s="225" t="s">
        <v>774</v>
      </c>
      <c r="K38" s="200" t="str">
        <f>_xlfn.CONCAT(I38,"-",J38)</f>
        <v>EC_GYE_UNE_SW_ACCESO_FADESA METALES-172.20.108.208</v>
      </c>
      <c r="L38" s="61" t="s">
        <v>1408</v>
      </c>
      <c r="M38" s="225" t="s">
        <v>772</v>
      </c>
      <c r="N38" s="225" t="s">
        <v>734</v>
      </c>
      <c r="O38" s="226" t="s">
        <v>773</v>
      </c>
      <c r="P38" s="180" t="s">
        <v>713</v>
      </c>
      <c r="Q38" s="180" t="s">
        <v>609</v>
      </c>
      <c r="R38" s="180" t="s">
        <v>610</v>
      </c>
      <c r="S38" s="225" t="s">
        <v>734</v>
      </c>
      <c r="T38" s="225" t="s">
        <v>617</v>
      </c>
      <c r="U38" s="225" t="s">
        <v>734</v>
      </c>
      <c r="V38" s="180" t="s">
        <v>775</v>
      </c>
    </row>
    <row r="39" spans="1:22" ht="31.5">
      <c r="A39" s="223">
        <v>49</v>
      </c>
      <c r="B39" s="202" t="s">
        <v>2078</v>
      </c>
      <c r="C39" s="247" t="s">
        <v>601</v>
      </c>
      <c r="D39" s="211" t="s">
        <v>636</v>
      </c>
      <c r="E39" s="180" t="s">
        <v>69</v>
      </c>
      <c r="F39" s="202" t="str">
        <f>_xlfn.CONCAT(B39,"_",C39,"_",D39,"_",E39)</f>
        <v>EC_GYE_FADESA METALES_UNE</v>
      </c>
      <c r="G39" s="225" t="s">
        <v>604</v>
      </c>
      <c r="H39" s="180" t="s">
        <v>602</v>
      </c>
      <c r="I39" s="221" t="s">
        <v>2126</v>
      </c>
      <c r="J39" s="225" t="s">
        <v>777</v>
      </c>
      <c r="K39" s="200" t="str">
        <f>_xlfn.CONCAT(I39,"-",J39)</f>
        <v xml:space="preserve">EC_GYE_UNE_SW_SPA DIST_FADESA METALES-Por definir </v>
      </c>
      <c r="L39" s="61" t="s">
        <v>1408</v>
      </c>
      <c r="M39" s="225" t="s">
        <v>699</v>
      </c>
      <c r="N39" s="225" t="s">
        <v>734</v>
      </c>
      <c r="O39" s="229" t="s">
        <v>776</v>
      </c>
      <c r="P39" s="180" t="s">
        <v>713</v>
      </c>
      <c r="Q39" s="180" t="s">
        <v>609</v>
      </c>
      <c r="R39" s="180" t="s">
        <v>610</v>
      </c>
      <c r="S39" s="225" t="s">
        <v>734</v>
      </c>
      <c r="T39" s="225" t="s">
        <v>778</v>
      </c>
      <c r="U39" s="225" t="s">
        <v>734</v>
      </c>
      <c r="V39" s="180" t="s">
        <v>779</v>
      </c>
    </row>
    <row r="40" spans="1:22" ht="15.75">
      <c r="A40" s="216">
        <v>50</v>
      </c>
      <c r="B40" s="202" t="s">
        <v>2078</v>
      </c>
      <c r="C40" s="202" t="s">
        <v>601</v>
      </c>
      <c r="D40" s="200" t="s">
        <v>636</v>
      </c>
      <c r="E40" s="99" t="s">
        <v>69</v>
      </c>
      <c r="F40" s="202" t="str">
        <f>_xlfn.CONCAT(B40,"_",C40,"_",D40,"_",E40)</f>
        <v>EC_GYE_FADESA METALES_UNE</v>
      </c>
      <c r="G40" s="98" t="s">
        <v>604</v>
      </c>
      <c r="H40" s="99" t="s">
        <v>602</v>
      </c>
      <c r="I40" s="203" t="s">
        <v>2113</v>
      </c>
      <c r="J40" s="98" t="s">
        <v>783</v>
      </c>
      <c r="K40" s="200" t="str">
        <f>_xlfn.CONCAT(I40,"-",J40)</f>
        <v>EC_GYE_UNE_SW__FADESA METALES-172.20.108.128</v>
      </c>
      <c r="L40" s="61" t="s">
        <v>1408</v>
      </c>
      <c r="M40" s="98" t="s">
        <v>780</v>
      </c>
      <c r="N40" s="98" t="s">
        <v>781</v>
      </c>
      <c r="O40" s="204" t="s">
        <v>782</v>
      </c>
      <c r="P40" s="99" t="s">
        <v>713</v>
      </c>
      <c r="Q40" s="99" t="s">
        <v>609</v>
      </c>
      <c r="R40" s="99" t="s">
        <v>610</v>
      </c>
      <c r="S40" s="98" t="s">
        <v>784</v>
      </c>
      <c r="T40" s="98"/>
      <c r="U40" s="98" t="s">
        <v>784</v>
      </c>
      <c r="V40" s="99"/>
    </row>
    <row r="41" spans="1:22" ht="15.75">
      <c r="A41" s="223">
        <v>51</v>
      </c>
      <c r="B41" s="202" t="s">
        <v>2078</v>
      </c>
      <c r="C41" s="247" t="s">
        <v>601</v>
      </c>
      <c r="D41" s="211" t="s">
        <v>636</v>
      </c>
      <c r="E41" s="180" t="s">
        <v>69</v>
      </c>
      <c r="F41" s="202" t="str">
        <f>_xlfn.CONCAT(B41,"_",C41,"_",D41,"_",E41)</f>
        <v>EC_GYE_FADESA METALES_UNE</v>
      </c>
      <c r="G41" s="225" t="s">
        <v>604</v>
      </c>
      <c r="H41" s="180" t="s">
        <v>602</v>
      </c>
      <c r="I41" s="221" t="s">
        <v>2127</v>
      </c>
      <c r="J41" s="225" t="s">
        <v>787</v>
      </c>
      <c r="K41" s="200" t="str">
        <f>_xlfn.CONCAT(I41,"-",J41)</f>
        <v>EC_GYE_UNE_SW_EMB_FADESA METALES-172.20.108.119</v>
      </c>
      <c r="L41" s="61" t="s">
        <v>1408</v>
      </c>
      <c r="M41" s="225" t="s">
        <v>785</v>
      </c>
      <c r="N41" s="225" t="s">
        <v>734</v>
      </c>
      <c r="O41" s="226" t="s">
        <v>786</v>
      </c>
      <c r="P41" s="180" t="s">
        <v>713</v>
      </c>
      <c r="Q41" s="180" t="s">
        <v>609</v>
      </c>
      <c r="R41" s="180" t="s">
        <v>610</v>
      </c>
      <c r="S41" s="225" t="s">
        <v>734</v>
      </c>
      <c r="T41" s="225" t="s">
        <v>788</v>
      </c>
      <c r="U41" s="225" t="s">
        <v>734</v>
      </c>
      <c r="V41" s="180" t="s">
        <v>789</v>
      </c>
    </row>
    <row r="42" spans="1:22" ht="31.5">
      <c r="A42" s="216">
        <v>52</v>
      </c>
      <c r="B42" s="202" t="s">
        <v>2078</v>
      </c>
      <c r="C42" s="202" t="s">
        <v>601</v>
      </c>
      <c r="D42" s="200" t="s">
        <v>636</v>
      </c>
      <c r="E42" s="99" t="s">
        <v>69</v>
      </c>
      <c r="F42" s="202" t="str">
        <f>_xlfn.CONCAT(B42,"_",C42,"_",D42,"_",E42)</f>
        <v>EC_GYE_FADESA METALES_UNE</v>
      </c>
      <c r="G42" s="98" t="s">
        <v>604</v>
      </c>
      <c r="H42" s="99" t="s">
        <v>602</v>
      </c>
      <c r="I42" s="203" t="s">
        <v>2129</v>
      </c>
      <c r="J42" s="98" t="s">
        <v>793</v>
      </c>
      <c r="K42" s="200" t="str">
        <f>_xlfn.CONCAT(I42,"-",J42)</f>
        <v>EC_GYE_UNE_SW_CAF-SWI_FADESA METALES-172.20.108.126</v>
      </c>
      <c r="L42" s="61" t="s">
        <v>1408</v>
      </c>
      <c r="M42" s="98" t="s">
        <v>790</v>
      </c>
      <c r="N42" s="98" t="s">
        <v>791</v>
      </c>
      <c r="O42" s="204" t="s">
        <v>792</v>
      </c>
      <c r="P42" s="99" t="s">
        <v>713</v>
      </c>
      <c r="Q42" s="99" t="s">
        <v>609</v>
      </c>
      <c r="R42" s="99" t="s">
        <v>610</v>
      </c>
      <c r="S42" s="98" t="s">
        <v>794</v>
      </c>
      <c r="T42" s="98" t="s">
        <v>2128</v>
      </c>
      <c r="U42" s="98" t="s">
        <v>794</v>
      </c>
      <c r="V42" s="99" t="s">
        <v>795</v>
      </c>
    </row>
    <row r="43" spans="1:22" ht="31.5">
      <c r="A43" s="216">
        <v>53</v>
      </c>
      <c r="B43" s="202" t="s">
        <v>2078</v>
      </c>
      <c r="C43" s="202" t="s">
        <v>601</v>
      </c>
      <c r="D43" s="200" t="s">
        <v>636</v>
      </c>
      <c r="E43" s="99" t="s">
        <v>69</v>
      </c>
      <c r="F43" s="202" t="str">
        <f>_xlfn.CONCAT(B43,"_",C43,"_",D43,"_",E43)</f>
        <v>EC_GYE_FADESA METALES_UNE</v>
      </c>
      <c r="G43" s="98" t="s">
        <v>604</v>
      </c>
      <c r="H43" s="99" t="s">
        <v>602</v>
      </c>
      <c r="I43" s="203" t="s">
        <v>2131</v>
      </c>
      <c r="J43" s="98" t="s">
        <v>799</v>
      </c>
      <c r="K43" s="200" t="str">
        <f>_xlfn.CONCAT(I43,"-",J43)</f>
        <v>EC_GYE_UNE_SW_CAF-SW2_FADESA METALES-172.20.108.129</v>
      </c>
      <c r="L43" s="61" t="s">
        <v>1408</v>
      </c>
      <c r="M43" s="98" t="s">
        <v>796</v>
      </c>
      <c r="N43" s="98" t="s">
        <v>797</v>
      </c>
      <c r="O43" s="204" t="s">
        <v>798</v>
      </c>
      <c r="P43" s="99" t="s">
        <v>713</v>
      </c>
      <c r="Q43" s="99" t="s">
        <v>609</v>
      </c>
      <c r="R43" s="99" t="s">
        <v>610</v>
      </c>
      <c r="S43" s="98" t="s">
        <v>800</v>
      </c>
      <c r="T43" s="98" t="s">
        <v>2130</v>
      </c>
      <c r="U43" s="98" t="s">
        <v>800</v>
      </c>
      <c r="V43" s="99" t="s">
        <v>801</v>
      </c>
    </row>
    <row r="44" spans="1:22" ht="31.5">
      <c r="A44" s="216">
        <v>54</v>
      </c>
      <c r="B44" s="202" t="s">
        <v>2078</v>
      </c>
      <c r="C44" s="202" t="s">
        <v>601</v>
      </c>
      <c r="D44" s="200" t="s">
        <v>636</v>
      </c>
      <c r="E44" s="99" t="s">
        <v>69</v>
      </c>
      <c r="F44" s="202" t="str">
        <f>_xlfn.CONCAT(B44,"_",C44,"_",D44,"_",E44)</f>
        <v>EC_GYE_FADESA METALES_UNE</v>
      </c>
      <c r="G44" s="98" t="s">
        <v>604</v>
      </c>
      <c r="H44" s="99" t="s">
        <v>602</v>
      </c>
      <c r="I44" s="203" t="s">
        <v>2133</v>
      </c>
      <c r="J44" s="98" t="s">
        <v>805</v>
      </c>
      <c r="K44" s="200" t="str">
        <f>_xlfn.CONCAT(I44,"-",J44)</f>
        <v>EC_GYE_UNE_SW_REPRO-ACCESO_FADESA METALES-172.20.108.82</v>
      </c>
      <c r="L44" s="61" t="s">
        <v>1408</v>
      </c>
      <c r="M44" s="98" t="s">
        <v>802</v>
      </c>
      <c r="N44" s="98" t="s">
        <v>803</v>
      </c>
      <c r="O44" s="204" t="s">
        <v>804</v>
      </c>
      <c r="P44" s="99" t="s">
        <v>713</v>
      </c>
      <c r="Q44" s="99" t="s">
        <v>609</v>
      </c>
      <c r="R44" s="99" t="s">
        <v>610</v>
      </c>
      <c r="S44" s="98" t="s">
        <v>800</v>
      </c>
      <c r="T44" s="98" t="s">
        <v>2132</v>
      </c>
      <c r="U44" s="98" t="s">
        <v>800</v>
      </c>
      <c r="V44" s="99"/>
    </row>
    <row r="45" spans="1:22" ht="31.5">
      <c r="A45" s="216">
        <v>55</v>
      </c>
      <c r="B45" s="202" t="s">
        <v>2078</v>
      </c>
      <c r="C45" s="202" t="s">
        <v>601</v>
      </c>
      <c r="D45" s="200" t="s">
        <v>636</v>
      </c>
      <c r="E45" s="99" t="s">
        <v>69</v>
      </c>
      <c r="F45" s="202" t="str">
        <f>_xlfn.CONCAT(B45,"_",C45,"_",D45,"_",E45)</f>
        <v>EC_GYE_FADESA METALES_UNE</v>
      </c>
      <c r="G45" s="98" t="s">
        <v>604</v>
      </c>
      <c r="H45" s="99" t="s">
        <v>602</v>
      </c>
      <c r="I45" s="203" t="s">
        <v>2135</v>
      </c>
      <c r="J45" s="98" t="s">
        <v>808</v>
      </c>
      <c r="K45" s="200" t="str">
        <f>_xlfn.CONCAT(I45,"-",J45)</f>
        <v>EC_GYE_UNE_SW_LITO-ACCESO_FADESA METALES-172.20.108.213</v>
      </c>
      <c r="L45" s="61" t="s">
        <v>1408</v>
      </c>
      <c r="M45" s="98" t="s">
        <v>780</v>
      </c>
      <c r="N45" s="98" t="s">
        <v>806</v>
      </c>
      <c r="O45" s="204" t="s">
        <v>807</v>
      </c>
      <c r="P45" s="99" t="s">
        <v>713</v>
      </c>
      <c r="Q45" s="99" t="s">
        <v>609</v>
      </c>
      <c r="R45" s="99" t="s">
        <v>610</v>
      </c>
      <c r="S45" s="98" t="s">
        <v>806</v>
      </c>
      <c r="T45" s="98" t="s">
        <v>2134</v>
      </c>
      <c r="U45" s="98" t="s">
        <v>806</v>
      </c>
      <c r="V45" s="99"/>
    </row>
    <row r="46" spans="1:22" ht="31.5">
      <c r="A46" s="216">
        <v>56</v>
      </c>
      <c r="B46" s="202" t="s">
        <v>2078</v>
      </c>
      <c r="C46" s="202" t="s">
        <v>601</v>
      </c>
      <c r="D46" s="200" t="s">
        <v>636</v>
      </c>
      <c r="E46" s="99" t="s">
        <v>69</v>
      </c>
      <c r="F46" s="202" t="str">
        <f>_xlfn.CONCAT(B46,"_",C46,"_",D46,"_",E46)</f>
        <v>EC_GYE_FADESA METALES_UNE</v>
      </c>
      <c r="G46" s="98" t="s">
        <v>604</v>
      </c>
      <c r="H46" s="99" t="s">
        <v>602</v>
      </c>
      <c r="I46" s="203" t="s">
        <v>2136</v>
      </c>
      <c r="J46" s="98" t="s">
        <v>811</v>
      </c>
      <c r="K46" s="200" t="str">
        <f>_xlfn.CONCAT(I46,"-",J46)</f>
        <v>EC_GYE_UNE_SW_DIST_CAM_FADESA METALES-172.20.108.211</v>
      </c>
      <c r="L46" s="61" t="s">
        <v>1408</v>
      </c>
      <c r="M46" s="98" t="s">
        <v>809</v>
      </c>
      <c r="N46" s="98" t="s">
        <v>791</v>
      </c>
      <c r="O46" s="204" t="s">
        <v>810</v>
      </c>
      <c r="P46" s="99" t="s">
        <v>713</v>
      </c>
      <c r="Q46" s="99" t="s">
        <v>609</v>
      </c>
      <c r="R46" s="99" t="s">
        <v>610</v>
      </c>
      <c r="S46" s="98" t="s">
        <v>794</v>
      </c>
      <c r="T46" s="98" t="s">
        <v>812</v>
      </c>
      <c r="U46" s="98" t="s">
        <v>794</v>
      </c>
      <c r="V46" s="99" t="s">
        <v>813</v>
      </c>
    </row>
    <row r="47" spans="1:22" ht="15.75">
      <c r="A47" s="216">
        <v>57</v>
      </c>
      <c r="B47" s="202" t="s">
        <v>2078</v>
      </c>
      <c r="C47" s="202" t="s">
        <v>601</v>
      </c>
      <c r="D47" s="200" t="s">
        <v>636</v>
      </c>
      <c r="E47" s="99" t="s">
        <v>69</v>
      </c>
      <c r="F47" s="202" t="str">
        <f>_xlfn.CONCAT(B47,"_",C47,"_",D47,"_",E47)</f>
        <v>EC_GYE_FADESA METALES_UNE</v>
      </c>
      <c r="G47" s="98" t="s">
        <v>604</v>
      </c>
      <c r="H47" s="99" t="s">
        <v>602</v>
      </c>
      <c r="I47" s="203" t="s">
        <v>2137</v>
      </c>
      <c r="J47" s="98" t="s">
        <v>818</v>
      </c>
      <c r="K47" s="200" t="str">
        <f>_xlfn.CONCAT(I47,"-",J47)</f>
        <v>EC_GYE_UNE_SW_SA1_FADESA METALES-172.20.108.209</v>
      </c>
      <c r="L47" s="61" t="s">
        <v>1408</v>
      </c>
      <c r="M47" s="98" t="s">
        <v>815</v>
      </c>
      <c r="N47" s="98" t="s">
        <v>816</v>
      </c>
      <c r="O47" s="204" t="s">
        <v>817</v>
      </c>
      <c r="P47" s="99" t="s">
        <v>713</v>
      </c>
      <c r="Q47" s="99" t="s">
        <v>609</v>
      </c>
      <c r="R47" s="99" t="s">
        <v>610</v>
      </c>
      <c r="S47" s="98" t="s">
        <v>816</v>
      </c>
      <c r="T47" s="98" t="s">
        <v>819</v>
      </c>
      <c r="U47" s="98" t="s">
        <v>816</v>
      </c>
      <c r="V47" s="99"/>
    </row>
    <row r="48" spans="1:22" ht="15.75">
      <c r="A48" s="243">
        <v>58</v>
      </c>
      <c r="B48" s="202" t="s">
        <v>2078</v>
      </c>
      <c r="C48" s="202" t="s">
        <v>601</v>
      </c>
      <c r="D48" s="200" t="s">
        <v>636</v>
      </c>
      <c r="E48" s="213" t="s">
        <v>69</v>
      </c>
      <c r="F48" s="202" t="str">
        <f>_xlfn.CONCAT(B48,"_",C48,"_",D48,"_",E48)</f>
        <v>EC_GYE_FADESA METALES_UNE</v>
      </c>
      <c r="G48" s="212" t="s">
        <v>604</v>
      </c>
      <c r="H48" s="213" t="s">
        <v>602</v>
      </c>
      <c r="I48" s="203" t="s">
        <v>2113</v>
      </c>
      <c r="J48" s="212" t="s">
        <v>823</v>
      </c>
      <c r="K48" s="200" t="str">
        <f>_xlfn.CONCAT(I48,"-",J48)</f>
        <v>EC_GYE_UNE_SW__FADESA METALES-172.20.202.17</v>
      </c>
      <c r="L48" s="61" t="s">
        <v>1408</v>
      </c>
      <c r="M48" s="212" t="s">
        <v>820</v>
      </c>
      <c r="N48" s="212" t="s">
        <v>821</v>
      </c>
      <c r="O48" s="204" t="s">
        <v>822</v>
      </c>
      <c r="P48" s="213" t="s">
        <v>713</v>
      </c>
      <c r="Q48" s="213" t="s">
        <v>609</v>
      </c>
      <c r="R48" s="213" t="s">
        <v>610</v>
      </c>
      <c r="S48" s="212" t="s">
        <v>821</v>
      </c>
      <c r="T48" s="212"/>
      <c r="U48" s="212" t="s">
        <v>821</v>
      </c>
      <c r="V48" s="213"/>
    </row>
    <row r="49" spans="1:22" ht="31.5">
      <c r="A49" s="216">
        <v>59</v>
      </c>
      <c r="B49" s="202" t="s">
        <v>2078</v>
      </c>
      <c r="C49" s="202" t="s">
        <v>601</v>
      </c>
      <c r="D49" s="181" t="s">
        <v>824</v>
      </c>
      <c r="E49" s="99" t="s">
        <v>69</v>
      </c>
      <c r="F49" s="202" t="str">
        <f>_xlfn.CONCAT(B49,"_",C49,"_",D49,"_",E49)</f>
        <v>EC_GYE_FAD MET EL UNIVERSO_UNE</v>
      </c>
      <c r="G49" s="99" t="s">
        <v>604</v>
      </c>
      <c r="H49" s="99" t="s">
        <v>602</v>
      </c>
      <c r="I49" s="203" t="s">
        <v>2138</v>
      </c>
      <c r="J49" s="99" t="s">
        <v>828</v>
      </c>
      <c r="K49" s="200" t="str">
        <f>_xlfn.CONCAT(I49,"-",J49)</f>
        <v>EC_GYE_UNE_SW_BOD-2_FAD MET EL UNIVERSO-192.168.34.50</v>
      </c>
      <c r="L49" s="61" t="s">
        <v>1408</v>
      </c>
      <c r="M49" s="99" t="s">
        <v>825</v>
      </c>
      <c r="N49" s="98" t="s">
        <v>826</v>
      </c>
      <c r="O49" s="214" t="s">
        <v>827</v>
      </c>
      <c r="P49" s="99" t="s">
        <v>829</v>
      </c>
      <c r="Q49" s="99" t="s">
        <v>609</v>
      </c>
      <c r="R49" s="99" t="s">
        <v>610</v>
      </c>
      <c r="S49" s="99" t="s">
        <v>830</v>
      </c>
      <c r="T49" s="99" t="s">
        <v>831</v>
      </c>
      <c r="U49" s="99" t="s">
        <v>830</v>
      </c>
      <c r="V49" s="99"/>
    </row>
    <row r="50" spans="1:22" ht="31.5">
      <c r="A50" s="216">
        <v>60</v>
      </c>
      <c r="B50" s="202" t="s">
        <v>2078</v>
      </c>
      <c r="C50" s="202" t="s">
        <v>601</v>
      </c>
      <c r="D50" s="181" t="s">
        <v>824</v>
      </c>
      <c r="E50" s="99" t="s">
        <v>69</v>
      </c>
      <c r="F50" s="202" t="str">
        <f>_xlfn.CONCAT(B50,"_",C50,"_",D50,"_",E50)</f>
        <v>EC_GYE_FAD MET EL UNIVERSO_UNE</v>
      </c>
      <c r="G50" s="99" t="s">
        <v>630</v>
      </c>
      <c r="H50" s="99" t="s">
        <v>602</v>
      </c>
      <c r="I50" s="203" t="s">
        <v>2139</v>
      </c>
      <c r="J50" s="99" t="s">
        <v>834</v>
      </c>
      <c r="K50" s="200" t="str">
        <f>_xlfn.CONCAT(I50,"-",J50)</f>
        <v>EC_GYE_UNE_RO_TELEFONICA_FAD MET EL UNIVERSO-192.168.34.23</v>
      </c>
      <c r="L50" s="61" t="s">
        <v>1408</v>
      </c>
      <c r="M50" s="99" t="s">
        <v>825</v>
      </c>
      <c r="N50" s="99" t="s">
        <v>832</v>
      </c>
      <c r="O50" s="99" t="s">
        <v>833</v>
      </c>
      <c r="P50" s="99"/>
      <c r="Q50" s="99" t="s">
        <v>609</v>
      </c>
      <c r="R50" s="99" t="s">
        <v>682</v>
      </c>
      <c r="S50" s="99"/>
      <c r="T50" s="99" t="s">
        <v>634</v>
      </c>
      <c r="U50" s="99" t="s">
        <v>835</v>
      </c>
      <c r="V50" s="99"/>
    </row>
    <row r="51" spans="1:22" ht="31.5">
      <c r="A51" s="216">
        <v>61</v>
      </c>
      <c r="B51" s="202" t="s">
        <v>2078</v>
      </c>
      <c r="C51" s="202" t="s">
        <v>601</v>
      </c>
      <c r="D51" s="181" t="s">
        <v>824</v>
      </c>
      <c r="E51" s="99" t="s">
        <v>69</v>
      </c>
      <c r="F51" s="202" t="str">
        <f>_xlfn.CONCAT(B51,"_",C51,"_",D51,"_",E51)</f>
        <v>EC_GYE_FAD MET EL UNIVERSO_UNE</v>
      </c>
      <c r="G51" s="99" t="s">
        <v>630</v>
      </c>
      <c r="H51" s="99" t="s">
        <v>602</v>
      </c>
      <c r="I51" s="203" t="s">
        <v>2139</v>
      </c>
      <c r="J51" s="99" t="s">
        <v>837</v>
      </c>
      <c r="K51" s="200" t="str">
        <f>_xlfn.CONCAT(I51,"-",J51)</f>
        <v>EC_GYE_UNE_RO_TELEFONICA_FAD MET EL UNIVERSO-192.168.34.24</v>
      </c>
      <c r="L51" s="61" t="s">
        <v>1408</v>
      </c>
      <c r="M51" s="99" t="s">
        <v>825</v>
      </c>
      <c r="N51" s="99" t="s">
        <v>832</v>
      </c>
      <c r="O51" s="99" t="s">
        <v>836</v>
      </c>
      <c r="P51" s="99"/>
      <c r="Q51" s="99" t="s">
        <v>609</v>
      </c>
      <c r="R51" s="99" t="s">
        <v>682</v>
      </c>
      <c r="S51" s="99"/>
      <c r="T51" s="99" t="s">
        <v>634</v>
      </c>
      <c r="U51" s="99" t="s">
        <v>838</v>
      </c>
      <c r="V51" s="99"/>
    </row>
    <row r="52" spans="1:22" ht="15.75">
      <c r="A52" s="216">
        <v>71</v>
      </c>
      <c r="B52" s="202" t="s">
        <v>2078</v>
      </c>
      <c r="C52" s="99" t="s">
        <v>601</v>
      </c>
      <c r="D52" s="99" t="s">
        <v>861</v>
      </c>
      <c r="E52" s="99" t="s">
        <v>69</v>
      </c>
      <c r="F52" s="202" t="str">
        <f>_xlfn.CONCAT(B52,"_",C52,"_",D52,"_",E52)</f>
        <v>EC_GYE_FADESA PLAST_UNE</v>
      </c>
      <c r="G52" s="99" t="s">
        <v>604</v>
      </c>
      <c r="H52" s="99" t="s">
        <v>602</v>
      </c>
      <c r="I52" s="203" t="s">
        <v>2141</v>
      </c>
      <c r="J52" s="99" t="s">
        <v>865</v>
      </c>
      <c r="K52" s="200" t="str">
        <f>_xlfn.CONCAT(I52,"-",J52)</f>
        <v>EC_GYE_UNE_SW_CORE_FADESA PLAST-192.168.31.50</v>
      </c>
      <c r="L52" s="61" t="s">
        <v>1408</v>
      </c>
      <c r="M52" s="99" t="s">
        <v>862</v>
      </c>
      <c r="N52" s="97" t="s">
        <v>863</v>
      </c>
      <c r="O52" s="214" t="s">
        <v>864</v>
      </c>
      <c r="P52" s="99" t="s">
        <v>866</v>
      </c>
      <c r="Q52" s="99" t="s">
        <v>609</v>
      </c>
      <c r="R52" s="99" t="s">
        <v>610</v>
      </c>
      <c r="S52" s="99" t="s">
        <v>863</v>
      </c>
      <c r="T52" s="99" t="s">
        <v>643</v>
      </c>
      <c r="U52" s="99" t="s">
        <v>867</v>
      </c>
      <c r="V52" s="99" t="s">
        <v>868</v>
      </c>
    </row>
    <row r="53" spans="1:22" ht="15.75">
      <c r="A53" s="216">
        <v>72</v>
      </c>
      <c r="B53" s="202" t="s">
        <v>2078</v>
      </c>
      <c r="C53" s="99" t="s">
        <v>601</v>
      </c>
      <c r="D53" s="99" t="s">
        <v>861</v>
      </c>
      <c r="E53" s="99" t="s">
        <v>69</v>
      </c>
      <c r="F53" s="202" t="str">
        <f>_xlfn.CONCAT(B53,"_",C53,"_",D53,"_",E53)</f>
        <v>EC_GYE_FADESA PLAST_UNE</v>
      </c>
      <c r="G53" s="99" t="s">
        <v>604</v>
      </c>
      <c r="H53" s="99" t="s">
        <v>602</v>
      </c>
      <c r="I53" s="203" t="s">
        <v>2142</v>
      </c>
      <c r="J53" s="99" t="s">
        <v>871</v>
      </c>
      <c r="K53" s="200" t="str">
        <f>_xlfn.CONCAT(I53,"-",J53)</f>
        <v>EC_GYE_UNE_SW_DIST_FADESA PLAST-192.168.31.63</v>
      </c>
      <c r="L53" s="61" t="s">
        <v>1408</v>
      </c>
      <c r="M53" s="99" t="s">
        <v>862</v>
      </c>
      <c r="N53" s="97" t="s">
        <v>869</v>
      </c>
      <c r="O53" s="214" t="s">
        <v>870</v>
      </c>
      <c r="P53" s="99" t="s">
        <v>866</v>
      </c>
      <c r="Q53" s="99" t="s">
        <v>609</v>
      </c>
      <c r="R53" s="99" t="s">
        <v>610</v>
      </c>
      <c r="S53" s="99" t="s">
        <v>872</v>
      </c>
      <c r="T53" s="99" t="s">
        <v>611</v>
      </c>
      <c r="U53" s="99" t="s">
        <v>873</v>
      </c>
      <c r="V53" s="99" t="s">
        <v>874</v>
      </c>
    </row>
    <row r="54" spans="1:22" ht="15.75">
      <c r="A54" s="216">
        <v>73</v>
      </c>
      <c r="B54" s="202" t="s">
        <v>2078</v>
      </c>
      <c r="C54" s="99" t="s">
        <v>601</v>
      </c>
      <c r="D54" s="99" t="s">
        <v>861</v>
      </c>
      <c r="E54" s="99" t="s">
        <v>69</v>
      </c>
      <c r="F54" s="202" t="str">
        <f>_xlfn.CONCAT(B54,"_",C54,"_",D54,"_",E54)</f>
        <v>EC_GYE_FADESA PLAST_UNE</v>
      </c>
      <c r="G54" s="99" t="s">
        <v>604</v>
      </c>
      <c r="H54" s="99" t="s">
        <v>602</v>
      </c>
      <c r="I54" s="203" t="s">
        <v>2142</v>
      </c>
      <c r="J54" s="99" t="s">
        <v>877</v>
      </c>
      <c r="K54" s="200" t="str">
        <f>_xlfn.CONCAT(I54,"-",J54)</f>
        <v>EC_GYE_UNE_SW_DIST_FADESA PLAST-192.168.31.53</v>
      </c>
      <c r="L54" s="61" t="s">
        <v>1408</v>
      </c>
      <c r="M54" s="99" t="s">
        <v>862</v>
      </c>
      <c r="N54" s="97" t="s">
        <v>875</v>
      </c>
      <c r="O54" s="214" t="s">
        <v>876</v>
      </c>
      <c r="P54" s="99" t="s">
        <v>866</v>
      </c>
      <c r="Q54" s="99" t="s">
        <v>609</v>
      </c>
      <c r="R54" s="99" t="s">
        <v>610</v>
      </c>
      <c r="S54" s="99" t="s">
        <v>875</v>
      </c>
      <c r="T54" s="99" t="s">
        <v>611</v>
      </c>
      <c r="U54" s="99" t="s">
        <v>878</v>
      </c>
      <c r="V54" s="99" t="s">
        <v>879</v>
      </c>
    </row>
    <row r="55" spans="1:22" ht="15.75">
      <c r="A55" s="216">
        <v>74</v>
      </c>
      <c r="B55" s="202" t="s">
        <v>2078</v>
      </c>
      <c r="C55" s="99" t="s">
        <v>601</v>
      </c>
      <c r="D55" s="99" t="s">
        <v>861</v>
      </c>
      <c r="E55" s="99" t="s">
        <v>69</v>
      </c>
      <c r="F55" s="202" t="str">
        <f>_xlfn.CONCAT(B55,"_",C55,"_",D55,"_",E55)</f>
        <v>EC_GYE_FADESA PLAST_UNE</v>
      </c>
      <c r="G55" s="99" t="s">
        <v>604</v>
      </c>
      <c r="H55" s="99" t="s">
        <v>602</v>
      </c>
      <c r="I55" s="203" t="s">
        <v>2142</v>
      </c>
      <c r="J55" s="99" t="s">
        <v>883</v>
      </c>
      <c r="K55" s="200" t="str">
        <f>_xlfn.CONCAT(I55,"-",J55)</f>
        <v>EC_GYE_UNE_SW_DIST_FADESA PLAST-192.168.31.52</v>
      </c>
      <c r="L55" s="61" t="s">
        <v>1408</v>
      </c>
      <c r="M55" s="99" t="s">
        <v>880</v>
      </c>
      <c r="N55" s="97" t="s">
        <v>881</v>
      </c>
      <c r="O55" s="214" t="s">
        <v>882</v>
      </c>
      <c r="P55" s="99" t="s">
        <v>866</v>
      </c>
      <c r="Q55" s="99" t="s">
        <v>609</v>
      </c>
      <c r="R55" s="99" t="s">
        <v>610</v>
      </c>
      <c r="S55" s="99" t="s">
        <v>881</v>
      </c>
      <c r="T55" s="99" t="s">
        <v>611</v>
      </c>
      <c r="U55" s="99" t="s">
        <v>881</v>
      </c>
      <c r="V55" s="99" t="s">
        <v>884</v>
      </c>
    </row>
    <row r="56" spans="1:22" ht="15.75">
      <c r="A56" s="216">
        <v>75</v>
      </c>
      <c r="B56" s="202" t="s">
        <v>2078</v>
      </c>
      <c r="C56" s="99" t="s">
        <v>601</v>
      </c>
      <c r="D56" s="99" t="s">
        <v>861</v>
      </c>
      <c r="E56" s="99" t="s">
        <v>69</v>
      </c>
      <c r="F56" s="202" t="str">
        <f>_xlfn.CONCAT(B56,"_",C56,"_",D56,"_",E56)</f>
        <v>EC_GYE_FADESA PLAST_UNE</v>
      </c>
      <c r="G56" s="99" t="s">
        <v>604</v>
      </c>
      <c r="H56" s="99" t="s">
        <v>602</v>
      </c>
      <c r="I56" s="203" t="s">
        <v>2142</v>
      </c>
      <c r="J56" s="99" t="s">
        <v>888</v>
      </c>
      <c r="K56" s="200" t="str">
        <f>_xlfn.CONCAT(I56,"-",J56)</f>
        <v>EC_GYE_UNE_SW_DIST_FADESA PLAST-192.168.31.51</v>
      </c>
      <c r="L56" s="61" t="s">
        <v>1408</v>
      </c>
      <c r="M56" s="99" t="s">
        <v>885</v>
      </c>
      <c r="N56" s="97" t="s">
        <v>886</v>
      </c>
      <c r="O56" s="214" t="s">
        <v>887</v>
      </c>
      <c r="P56" s="99" t="s">
        <v>866</v>
      </c>
      <c r="Q56" s="99" t="s">
        <v>609</v>
      </c>
      <c r="R56" s="99" t="s">
        <v>610</v>
      </c>
      <c r="S56" s="99" t="s">
        <v>886</v>
      </c>
      <c r="T56" s="99" t="s">
        <v>611</v>
      </c>
      <c r="U56" s="99" t="s">
        <v>886</v>
      </c>
      <c r="V56" s="99" t="s">
        <v>889</v>
      </c>
    </row>
    <row r="57" spans="1:22" ht="15.75">
      <c r="A57" s="216">
        <v>76</v>
      </c>
      <c r="B57" s="202" t="s">
        <v>2078</v>
      </c>
      <c r="C57" s="99" t="s">
        <v>601</v>
      </c>
      <c r="D57" s="99" t="s">
        <v>861</v>
      </c>
      <c r="E57" s="99" t="s">
        <v>69</v>
      </c>
      <c r="F57" s="202" t="str">
        <f>_xlfn.CONCAT(B57,"_",C57,"_",D57,"_",E57)</f>
        <v>EC_GYE_FADESA PLAST_UNE</v>
      </c>
      <c r="G57" s="99" t="s">
        <v>604</v>
      </c>
      <c r="H57" s="99" t="s">
        <v>602</v>
      </c>
      <c r="I57" s="203" t="s">
        <v>2142</v>
      </c>
      <c r="J57" s="99" t="s">
        <v>893</v>
      </c>
      <c r="K57" s="200" t="str">
        <f>_xlfn.CONCAT(I57,"-",J57)</f>
        <v>EC_GYE_UNE_SW_DIST_FADESA PLAST-192.168.31.55</v>
      </c>
      <c r="L57" s="61" t="s">
        <v>1408</v>
      </c>
      <c r="M57" s="99" t="s">
        <v>890</v>
      </c>
      <c r="N57" s="99" t="s">
        <v>891</v>
      </c>
      <c r="O57" s="214" t="s">
        <v>892</v>
      </c>
      <c r="P57" s="99" t="s">
        <v>866</v>
      </c>
      <c r="Q57" s="99" t="s">
        <v>609</v>
      </c>
      <c r="R57" s="99" t="s">
        <v>610</v>
      </c>
      <c r="S57" s="99" t="s">
        <v>891</v>
      </c>
      <c r="T57" s="99" t="s">
        <v>611</v>
      </c>
      <c r="U57" s="99" t="s">
        <v>891</v>
      </c>
      <c r="V57" s="99" t="s">
        <v>889</v>
      </c>
    </row>
    <row r="58" spans="1:22" ht="31.5">
      <c r="A58" s="216">
        <v>77</v>
      </c>
      <c r="B58" s="202" t="s">
        <v>2078</v>
      </c>
      <c r="C58" s="99" t="s">
        <v>601</v>
      </c>
      <c r="D58" s="99" t="s">
        <v>861</v>
      </c>
      <c r="E58" s="99" t="s">
        <v>69</v>
      </c>
      <c r="F58" s="202" t="str">
        <f>_xlfn.CONCAT(B58,"_",C58,"_",D58,"_",E58)</f>
        <v>EC_GYE_FADESA PLAST_UNE</v>
      </c>
      <c r="G58" s="99" t="s">
        <v>604</v>
      </c>
      <c r="H58" s="99" t="s">
        <v>602</v>
      </c>
      <c r="I58" s="203" t="s">
        <v>2144</v>
      </c>
      <c r="J58" s="99" t="s">
        <v>897</v>
      </c>
      <c r="K58" s="200" t="str">
        <f>_xlfn.CONCAT(I58,"-",J58)</f>
        <v>EC_GYE_UNE_SW_CORE_BACK_FADESA PLAST-192.168.31.54</v>
      </c>
      <c r="L58" s="61" t="s">
        <v>1408</v>
      </c>
      <c r="M58" s="99" t="s">
        <v>894</v>
      </c>
      <c r="N58" s="99" t="s">
        <v>895</v>
      </c>
      <c r="O58" s="238" t="s">
        <v>896</v>
      </c>
      <c r="P58" s="99" t="s">
        <v>866</v>
      </c>
      <c r="Q58" s="99" t="s">
        <v>609</v>
      </c>
      <c r="R58" s="99" t="s">
        <v>610</v>
      </c>
      <c r="S58" s="99" t="s">
        <v>895</v>
      </c>
      <c r="T58" s="99" t="s">
        <v>2143</v>
      </c>
      <c r="U58" s="99" t="s">
        <v>898</v>
      </c>
      <c r="V58" s="99" t="s">
        <v>899</v>
      </c>
    </row>
    <row r="59" spans="1:22" ht="15.75">
      <c r="A59" s="216">
        <v>79</v>
      </c>
      <c r="B59" s="202" t="s">
        <v>2078</v>
      </c>
      <c r="C59" s="99" t="s">
        <v>601</v>
      </c>
      <c r="D59" s="99" t="s">
        <v>861</v>
      </c>
      <c r="E59" s="99" t="s">
        <v>69</v>
      </c>
      <c r="F59" s="202" t="str">
        <f>_xlfn.CONCAT(B59,"_",C59,"_",D59,"_",E59)</f>
        <v>EC_GYE_FADESA PLAST_UNE</v>
      </c>
      <c r="G59" s="99" t="s">
        <v>630</v>
      </c>
      <c r="H59" s="99" t="s">
        <v>602</v>
      </c>
      <c r="I59" s="203" t="s">
        <v>2147</v>
      </c>
      <c r="J59" s="99" t="s">
        <v>901</v>
      </c>
      <c r="K59" s="200" t="str">
        <f>_xlfn.CONCAT(I59,"-",J59)</f>
        <v>EC_GYE_UNE_RO_PRIN_FADESA PLAST-10.91.9.59</v>
      </c>
      <c r="L59" s="61" t="s">
        <v>1408</v>
      </c>
      <c r="M59" s="99" t="s">
        <v>894</v>
      </c>
      <c r="N59" s="99" t="s">
        <v>2145</v>
      </c>
      <c r="O59" s="99" t="s">
        <v>900</v>
      </c>
      <c r="P59" s="99"/>
      <c r="Q59" s="99"/>
      <c r="R59" s="99" t="s">
        <v>682</v>
      </c>
      <c r="S59" s="99"/>
      <c r="T59" s="99" t="s">
        <v>2146</v>
      </c>
      <c r="U59" s="99" t="s">
        <v>705</v>
      </c>
      <c r="V59" s="99" t="s">
        <v>266</v>
      </c>
    </row>
    <row r="60" spans="1:22" ht="15.75">
      <c r="A60" s="216">
        <v>80</v>
      </c>
      <c r="B60" s="202" t="s">
        <v>2078</v>
      </c>
      <c r="C60" s="99" t="s">
        <v>601</v>
      </c>
      <c r="D60" s="99" t="s">
        <v>861</v>
      </c>
      <c r="E60" s="99" t="s">
        <v>69</v>
      </c>
      <c r="F60" s="202" t="str">
        <f>_xlfn.CONCAT(B60,"_",C60,"_",D60,"_",E60)</f>
        <v>EC_GYE_FADESA PLAST_UNE</v>
      </c>
      <c r="G60" s="99" t="s">
        <v>630</v>
      </c>
      <c r="H60" s="99" t="s">
        <v>602</v>
      </c>
      <c r="I60" s="203" t="s">
        <v>2149</v>
      </c>
      <c r="J60" s="99" t="s">
        <v>903</v>
      </c>
      <c r="K60" s="200" t="str">
        <f>_xlfn.CONCAT(I60,"-",J60)</f>
        <v>EC_GYE_UNE_RO_BACK_FADESA PLAST-10.91.9.60</v>
      </c>
      <c r="L60" s="61" t="s">
        <v>1408</v>
      </c>
      <c r="M60" s="99" t="s">
        <v>894</v>
      </c>
      <c r="N60" s="99" t="s">
        <v>2145</v>
      </c>
      <c r="O60" s="99" t="s">
        <v>902</v>
      </c>
      <c r="P60" s="99"/>
      <c r="Q60" s="99"/>
      <c r="R60" s="99" t="s">
        <v>682</v>
      </c>
      <c r="S60" s="99"/>
      <c r="T60" s="99" t="s">
        <v>2148</v>
      </c>
      <c r="U60" s="99" t="s">
        <v>707</v>
      </c>
      <c r="V60" s="99" t="s">
        <v>266</v>
      </c>
    </row>
    <row r="61" spans="1:22" ht="15.75">
      <c r="A61" s="216">
        <v>81</v>
      </c>
      <c r="B61" s="202" t="s">
        <v>2078</v>
      </c>
      <c r="C61" s="206" t="s">
        <v>904</v>
      </c>
      <c r="D61" s="97" t="s">
        <v>636</v>
      </c>
      <c r="E61" s="206" t="s">
        <v>69</v>
      </c>
      <c r="F61" s="202" t="str">
        <f>_xlfn.CONCAT(B61,"_",C61,"_",D61,"_",E61)</f>
        <v>EC_UIO_FADESA METALES_UNE</v>
      </c>
      <c r="G61" s="97" t="s">
        <v>604</v>
      </c>
      <c r="H61" s="206" t="s">
        <v>602</v>
      </c>
      <c r="I61" s="203" t="s">
        <v>2150</v>
      </c>
      <c r="J61" s="97" t="s">
        <v>908</v>
      </c>
      <c r="K61" s="200" t="str">
        <f>_xlfn.CONCAT(I61,"-",J61)</f>
        <v>EC_UIO_UNE_SW_CORE_FADESA METALES-192.168.61.55</v>
      </c>
      <c r="L61" s="61" t="s">
        <v>1408</v>
      </c>
      <c r="M61" s="97" t="s">
        <v>905</v>
      </c>
      <c r="N61" s="97" t="s">
        <v>906</v>
      </c>
      <c r="O61" s="204" t="s">
        <v>907</v>
      </c>
      <c r="P61" s="206" t="s">
        <v>909</v>
      </c>
      <c r="Q61" s="206" t="s">
        <v>609</v>
      </c>
      <c r="R61" s="206" t="s">
        <v>610</v>
      </c>
      <c r="S61" s="97" t="s">
        <v>906</v>
      </c>
      <c r="T61" s="97" t="s">
        <v>643</v>
      </c>
      <c r="U61" s="97" t="s">
        <v>906</v>
      </c>
      <c r="V61" s="206"/>
    </row>
    <row r="62" spans="1:22" ht="15.75">
      <c r="A62" s="223">
        <v>83</v>
      </c>
      <c r="B62" s="202" t="s">
        <v>2078</v>
      </c>
      <c r="C62" s="231" t="s">
        <v>904</v>
      </c>
      <c r="D62" s="164" t="s">
        <v>636</v>
      </c>
      <c r="E62" s="231" t="s">
        <v>69</v>
      </c>
      <c r="F62" s="202" t="str">
        <f>_xlfn.CONCAT(B62,"_",C62,"_",D62,"_",E62)</f>
        <v>EC_UIO_FADESA METALES_UNE</v>
      </c>
      <c r="G62" s="164" t="s">
        <v>604</v>
      </c>
      <c r="H62" s="231" t="s">
        <v>602</v>
      </c>
      <c r="I62" s="221" t="s">
        <v>2151</v>
      </c>
      <c r="J62" s="164" t="s">
        <v>913</v>
      </c>
      <c r="K62" s="200" t="str">
        <f>_xlfn.CONCAT(I62,"-",J62)</f>
        <v>EC_UIO_UNE_SW_DIST_FADESA METALES-192.168.61.53</v>
      </c>
      <c r="L62" s="61" t="s">
        <v>1408</v>
      </c>
      <c r="M62" s="164" t="s">
        <v>910</v>
      </c>
      <c r="N62" s="164" t="s">
        <v>911</v>
      </c>
      <c r="O62" s="226" t="s">
        <v>912</v>
      </c>
      <c r="P62" s="231" t="s">
        <v>909</v>
      </c>
      <c r="Q62" s="231" t="s">
        <v>609</v>
      </c>
      <c r="R62" s="231" t="s">
        <v>610</v>
      </c>
      <c r="S62" s="164" t="s">
        <v>911</v>
      </c>
      <c r="T62" s="164" t="s">
        <v>611</v>
      </c>
      <c r="U62" s="164" t="s">
        <v>911</v>
      </c>
      <c r="V62" s="231"/>
    </row>
    <row r="63" spans="1:22" ht="15.75">
      <c r="A63" s="216">
        <v>84</v>
      </c>
      <c r="B63" s="202" t="s">
        <v>2078</v>
      </c>
      <c r="C63" s="99" t="s">
        <v>601</v>
      </c>
      <c r="D63" s="99" t="s">
        <v>861</v>
      </c>
      <c r="E63" s="99" t="s">
        <v>69</v>
      </c>
      <c r="F63" s="202" t="str">
        <f>_xlfn.CONCAT(B63,"_",C63,"_",D63,"_",E63)</f>
        <v>EC_GYE_FADESA PLAST_UNE</v>
      </c>
      <c r="G63" s="98" t="s">
        <v>604</v>
      </c>
      <c r="H63" s="99" t="s">
        <v>602</v>
      </c>
      <c r="I63" s="203" t="s">
        <v>2152</v>
      </c>
      <c r="J63" s="98" t="s">
        <v>917</v>
      </c>
      <c r="K63" s="200" t="str">
        <f>_xlfn.CONCAT(I63,"-",J63)</f>
        <v>EC_GYE_UNE_SW_ACCESO_FADESA PLAST-172.20.108.121</v>
      </c>
      <c r="L63" s="61" t="s">
        <v>1408</v>
      </c>
      <c r="M63" s="98" t="s">
        <v>914</v>
      </c>
      <c r="N63" s="98" t="s">
        <v>915</v>
      </c>
      <c r="O63" s="204" t="s">
        <v>916</v>
      </c>
      <c r="P63" s="99" t="s">
        <v>713</v>
      </c>
      <c r="Q63" s="99" t="s">
        <v>609</v>
      </c>
      <c r="R63" s="99" t="s">
        <v>610</v>
      </c>
      <c r="S63" s="98" t="s">
        <v>915</v>
      </c>
      <c r="T63" s="98" t="s">
        <v>617</v>
      </c>
      <c r="U63" s="98" t="s">
        <v>915</v>
      </c>
      <c r="V63" s="99"/>
    </row>
    <row r="64" spans="1:22" ht="31.5">
      <c r="A64" s="223">
        <v>85</v>
      </c>
      <c r="B64" s="202" t="s">
        <v>2078</v>
      </c>
      <c r="C64" s="180" t="s">
        <v>601</v>
      </c>
      <c r="D64" s="180" t="s">
        <v>918</v>
      </c>
      <c r="E64" s="180" t="s">
        <v>69</v>
      </c>
      <c r="F64" s="202" t="str">
        <f>_xlfn.CONCAT(B64,"_",C64,"_",D64,"_",E64)</f>
        <v>EC_GYE_FADESA PLAST JUTECERO_UNE</v>
      </c>
      <c r="G64" s="180" t="s">
        <v>604</v>
      </c>
      <c r="H64" s="180" t="s">
        <v>602</v>
      </c>
      <c r="I64" s="221" t="s">
        <v>2153</v>
      </c>
      <c r="J64" s="180" t="s">
        <v>922</v>
      </c>
      <c r="K64" s="200" t="str">
        <f>_xlfn.CONCAT(I64,"-",J64)</f>
        <v>EC_GYE_UNE_SW_ACCESO_FADESA PLAST JUTECERO-192.168.33.50</v>
      </c>
      <c r="L64" s="61" t="s">
        <v>1408</v>
      </c>
      <c r="M64" s="180" t="s">
        <v>919</v>
      </c>
      <c r="N64" s="180" t="s">
        <v>920</v>
      </c>
      <c r="O64" s="230" t="s">
        <v>921</v>
      </c>
      <c r="P64" s="180" t="s">
        <v>923</v>
      </c>
      <c r="Q64" s="180" t="s">
        <v>609</v>
      </c>
      <c r="R64" s="180" t="s">
        <v>610</v>
      </c>
      <c r="S64" s="180" t="s">
        <v>924</v>
      </c>
      <c r="T64" s="180" t="s">
        <v>617</v>
      </c>
      <c r="U64" s="180" t="s">
        <v>924</v>
      </c>
      <c r="V64" s="180"/>
    </row>
    <row r="65" spans="1:22" ht="31.5">
      <c r="A65" s="223">
        <v>86</v>
      </c>
      <c r="B65" s="202" t="s">
        <v>2078</v>
      </c>
      <c r="C65" s="180" t="s">
        <v>601</v>
      </c>
      <c r="D65" s="180" t="s">
        <v>918</v>
      </c>
      <c r="E65" s="180" t="s">
        <v>69</v>
      </c>
      <c r="F65" s="202" t="str">
        <f>_xlfn.CONCAT(B65,"_",C65,"_",D65,"_",E65)</f>
        <v>EC_GYE_FADESA PLAST JUTECERO_UNE</v>
      </c>
      <c r="G65" s="180" t="s">
        <v>630</v>
      </c>
      <c r="H65" s="180" t="s">
        <v>602</v>
      </c>
      <c r="I65" s="221" t="s">
        <v>2154</v>
      </c>
      <c r="J65" s="180" t="s">
        <v>927</v>
      </c>
      <c r="K65" s="200" t="str">
        <f>_xlfn.CONCAT(I65,"-",J65)</f>
        <v>EC_GYE_UNE_RO_PRIN_FADESA PLAST JUTECERO-192.168.33.61</v>
      </c>
      <c r="L65" s="61" t="s">
        <v>1408</v>
      </c>
      <c r="M65" s="180" t="s">
        <v>919</v>
      </c>
      <c r="N65" s="180" t="s">
        <v>925</v>
      </c>
      <c r="O65" s="180" t="s">
        <v>926</v>
      </c>
      <c r="P65" s="180"/>
      <c r="Q65" s="180" t="s">
        <v>609</v>
      </c>
      <c r="R65" s="180" t="s">
        <v>682</v>
      </c>
      <c r="S65" s="180" t="s">
        <v>925</v>
      </c>
      <c r="T65" s="180" t="s">
        <v>2146</v>
      </c>
      <c r="U65" s="180" t="s">
        <v>925</v>
      </c>
      <c r="V65" s="180"/>
    </row>
    <row r="66" spans="1:22" ht="31.5">
      <c r="A66" s="216">
        <v>87</v>
      </c>
      <c r="B66" s="202" t="s">
        <v>2078</v>
      </c>
      <c r="C66" s="99" t="s">
        <v>601</v>
      </c>
      <c r="D66" s="99" t="s">
        <v>918</v>
      </c>
      <c r="E66" s="99" t="s">
        <v>69</v>
      </c>
      <c r="F66" s="202" t="str">
        <f>_xlfn.CONCAT(B66,"_",C66,"_",D66,"_",E66)</f>
        <v>EC_GYE_FADESA PLAST JUTECERO_UNE</v>
      </c>
      <c r="G66" s="99" t="s">
        <v>630</v>
      </c>
      <c r="H66" s="99" t="s">
        <v>602</v>
      </c>
      <c r="I66" s="203" t="s">
        <v>2155</v>
      </c>
      <c r="J66" s="99" t="s">
        <v>928</v>
      </c>
      <c r="K66" s="200" t="str">
        <f>_xlfn.CONCAT(I66,"-",J66)</f>
        <v>EC_GYE_UNE_RO_BACK_FADESA PLAST JUTECERO-192.168.33.60</v>
      </c>
      <c r="L66" s="61" t="s">
        <v>1408</v>
      </c>
      <c r="M66" s="99" t="s">
        <v>919</v>
      </c>
      <c r="N66" s="163" t="s">
        <v>925</v>
      </c>
      <c r="O66" s="99" t="s">
        <v>926</v>
      </c>
      <c r="P66" s="99"/>
      <c r="Q66" s="99" t="s">
        <v>609</v>
      </c>
      <c r="R66" s="99" t="s">
        <v>682</v>
      </c>
      <c r="S66" s="99" t="s">
        <v>925</v>
      </c>
      <c r="T66" s="99" t="s">
        <v>2148</v>
      </c>
      <c r="U66" s="99" t="s">
        <v>925</v>
      </c>
      <c r="V66" s="99"/>
    </row>
    <row r="67" spans="1:22" ht="15.75">
      <c r="A67" s="216">
        <v>88</v>
      </c>
      <c r="B67" s="202" t="s">
        <v>2078</v>
      </c>
      <c r="C67" s="99" t="s">
        <v>601</v>
      </c>
      <c r="D67" s="200" t="s">
        <v>930</v>
      </c>
      <c r="E67" s="200" t="s">
        <v>929</v>
      </c>
      <c r="F67" s="202" t="str">
        <f>_xlfn.CONCAT(B67,"_",C67,"_",D67,"_",E67)</f>
        <v xml:space="preserve">EC_GYE_SEMVRA DAULE_UNA </v>
      </c>
      <c r="G67" s="200" t="s">
        <v>604</v>
      </c>
      <c r="H67" s="200" t="s">
        <v>602</v>
      </c>
      <c r="I67" s="203" t="s">
        <v>2156</v>
      </c>
      <c r="J67" s="200" t="s">
        <v>934</v>
      </c>
      <c r="K67" s="200" t="str">
        <f>_xlfn.CONCAT(I67,"-",J67)</f>
        <v>EC_GYE_UNA_SW_CORE_SEMVRA DAULE-192.168.21.50</v>
      </c>
      <c r="L67" s="61" t="s">
        <v>1408</v>
      </c>
      <c r="M67" s="211" t="s">
        <v>931</v>
      </c>
      <c r="N67" s="211" t="s">
        <v>932</v>
      </c>
      <c r="O67" s="204" t="s">
        <v>933</v>
      </c>
      <c r="P67" s="200" t="s">
        <v>935</v>
      </c>
      <c r="Q67" s="200" t="s">
        <v>609</v>
      </c>
      <c r="R67" s="200" t="s">
        <v>610</v>
      </c>
      <c r="S67" s="200" t="s">
        <v>932</v>
      </c>
      <c r="T67" s="200" t="s">
        <v>643</v>
      </c>
      <c r="U67" s="200" t="s">
        <v>932</v>
      </c>
      <c r="V67" s="200" t="s">
        <v>936</v>
      </c>
    </row>
    <row r="68" spans="1:22" ht="15.75">
      <c r="A68" s="216">
        <v>89</v>
      </c>
      <c r="B68" s="202" t="s">
        <v>2078</v>
      </c>
      <c r="C68" s="99" t="s">
        <v>601</v>
      </c>
      <c r="D68" s="200" t="s">
        <v>930</v>
      </c>
      <c r="E68" s="200" t="s">
        <v>929</v>
      </c>
      <c r="F68" s="202" t="str">
        <f>_xlfn.CONCAT(B68,"_",C68,"_",D68,"_",E68)</f>
        <v xml:space="preserve">EC_GYE_SEMVRA DAULE_UNA </v>
      </c>
      <c r="G68" s="235" t="s">
        <v>604</v>
      </c>
      <c r="H68" s="200" t="s">
        <v>602</v>
      </c>
      <c r="I68" s="203" t="s">
        <v>2157</v>
      </c>
      <c r="J68" s="200" t="s">
        <v>940</v>
      </c>
      <c r="K68" s="200" t="str">
        <f>_xlfn.CONCAT(I68,"-",J68)</f>
        <v>EC_GYE_UNA_SW_DIST_SEMVRA DAULE-192.168.21.51</v>
      </c>
      <c r="L68" s="61" t="s">
        <v>1408</v>
      </c>
      <c r="M68" s="200" t="s">
        <v>937</v>
      </c>
      <c r="N68" s="200" t="s">
        <v>938</v>
      </c>
      <c r="O68" s="215" t="s">
        <v>939</v>
      </c>
      <c r="P68" s="200" t="s">
        <v>935</v>
      </c>
      <c r="Q68" s="200" t="s">
        <v>609</v>
      </c>
      <c r="R68" s="200" t="s">
        <v>610</v>
      </c>
      <c r="S68" s="200" t="s">
        <v>938</v>
      </c>
      <c r="T68" s="200" t="s">
        <v>611</v>
      </c>
      <c r="U68" s="200" t="s">
        <v>938</v>
      </c>
      <c r="V68" s="200" t="s">
        <v>941</v>
      </c>
    </row>
    <row r="69" spans="1:22" ht="15.75">
      <c r="A69" s="216">
        <v>90</v>
      </c>
      <c r="B69" s="202" t="s">
        <v>2078</v>
      </c>
      <c r="C69" s="99" t="s">
        <v>601</v>
      </c>
      <c r="D69" s="200" t="s">
        <v>930</v>
      </c>
      <c r="E69" s="200" t="s">
        <v>929</v>
      </c>
      <c r="F69" s="202" t="str">
        <f>_xlfn.CONCAT(B69,"_",C69,"_",D69,"_",E69)</f>
        <v xml:space="preserve">EC_GYE_SEMVRA DAULE_UNA </v>
      </c>
      <c r="G69" s="200" t="s">
        <v>604</v>
      </c>
      <c r="H69" s="200" t="s">
        <v>602</v>
      </c>
      <c r="I69" s="203" t="s">
        <v>2158</v>
      </c>
      <c r="J69" s="200" t="s">
        <v>944</v>
      </c>
      <c r="K69" s="200" t="str">
        <f>_xlfn.CONCAT(I69,"-",J69)</f>
        <v>EC_GYE_UNA_SW_ACCESO_SEMVRA DAULE-192.168.21.54</v>
      </c>
      <c r="L69" s="61" t="s">
        <v>1408</v>
      </c>
      <c r="M69" s="217" t="s">
        <v>942</v>
      </c>
      <c r="N69" s="217" t="s">
        <v>932</v>
      </c>
      <c r="O69" s="204" t="s">
        <v>943</v>
      </c>
      <c r="P69" s="200" t="s">
        <v>935</v>
      </c>
      <c r="Q69" s="200" t="s">
        <v>609</v>
      </c>
      <c r="R69" s="200" t="s">
        <v>610</v>
      </c>
      <c r="S69" s="200" t="s">
        <v>932</v>
      </c>
      <c r="T69" s="200" t="s">
        <v>617</v>
      </c>
      <c r="U69" s="200" t="s">
        <v>932</v>
      </c>
      <c r="V69" s="248" t="s">
        <v>945</v>
      </c>
    </row>
    <row r="70" spans="1:22" ht="15.75">
      <c r="A70" s="216">
        <v>91</v>
      </c>
      <c r="B70" s="202" t="s">
        <v>2078</v>
      </c>
      <c r="C70" s="99" t="s">
        <v>601</v>
      </c>
      <c r="D70" s="200" t="s">
        <v>930</v>
      </c>
      <c r="E70" s="200" t="s">
        <v>929</v>
      </c>
      <c r="F70" s="202" t="str">
        <f>_xlfn.CONCAT(B70,"_",C70,"_",D70,"_",E70)</f>
        <v xml:space="preserve">EC_GYE_SEMVRA DAULE_UNA </v>
      </c>
      <c r="G70" s="200" t="s">
        <v>604</v>
      </c>
      <c r="H70" s="200" t="s">
        <v>602</v>
      </c>
      <c r="I70" s="203" t="s">
        <v>2158</v>
      </c>
      <c r="J70" s="200" t="s">
        <v>949</v>
      </c>
      <c r="K70" s="200" t="str">
        <f>_xlfn.CONCAT(I70,"-",J70)</f>
        <v>EC_GYE_UNA_SW_ACCESO_SEMVRA DAULE-192.168.21.52</v>
      </c>
      <c r="L70" s="61" t="s">
        <v>1408</v>
      </c>
      <c r="M70" s="200" t="s">
        <v>947</v>
      </c>
      <c r="N70" s="200" t="s">
        <v>938</v>
      </c>
      <c r="O70" s="204" t="s">
        <v>948</v>
      </c>
      <c r="P70" s="200" t="s">
        <v>935</v>
      </c>
      <c r="Q70" s="200" t="s">
        <v>609</v>
      </c>
      <c r="R70" s="200" t="s">
        <v>610</v>
      </c>
      <c r="S70" s="200" t="s">
        <v>938</v>
      </c>
      <c r="T70" s="200" t="s">
        <v>617</v>
      </c>
      <c r="U70" s="200" t="s">
        <v>938</v>
      </c>
      <c r="V70" s="200" t="s">
        <v>950</v>
      </c>
    </row>
    <row r="71" spans="1:22" ht="15.75">
      <c r="A71" s="223">
        <v>92</v>
      </c>
      <c r="B71" s="202" t="s">
        <v>2078</v>
      </c>
      <c r="C71" s="180" t="s">
        <v>601</v>
      </c>
      <c r="D71" s="211" t="s">
        <v>930</v>
      </c>
      <c r="E71" s="211" t="s">
        <v>929</v>
      </c>
      <c r="F71" s="202" t="str">
        <f>_xlfn.CONCAT(B71,"_",C71,"_",D71,"_",E71)</f>
        <v xml:space="preserve">EC_GYE_SEMVRA DAULE_UNA </v>
      </c>
      <c r="G71" s="211" t="s">
        <v>604</v>
      </c>
      <c r="H71" s="211" t="s">
        <v>602</v>
      </c>
      <c r="I71" s="221" t="s">
        <v>2158</v>
      </c>
      <c r="J71" s="211" t="s">
        <v>954</v>
      </c>
      <c r="K71" s="200" t="str">
        <f>_xlfn.CONCAT(I71,"-",J71)</f>
        <v>EC_GYE_UNA_SW_ACCESO_SEMVRA DAULE-192.168.21.56</v>
      </c>
      <c r="L71" s="61" t="s">
        <v>1408</v>
      </c>
      <c r="M71" s="211" t="s">
        <v>951</v>
      </c>
      <c r="N71" s="211" t="s">
        <v>952</v>
      </c>
      <c r="O71" s="226" t="s">
        <v>953</v>
      </c>
      <c r="P71" s="211" t="s">
        <v>935</v>
      </c>
      <c r="Q71" s="211" t="s">
        <v>609</v>
      </c>
      <c r="R71" s="211" t="s">
        <v>610</v>
      </c>
      <c r="S71" s="211" t="s">
        <v>952</v>
      </c>
      <c r="T71" s="211" t="s">
        <v>617</v>
      </c>
      <c r="U71" s="211" t="s">
        <v>952</v>
      </c>
      <c r="V71" s="211"/>
    </row>
    <row r="72" spans="1:22" ht="15.75">
      <c r="A72" s="223">
        <v>93</v>
      </c>
      <c r="B72" s="202" t="s">
        <v>2078</v>
      </c>
      <c r="C72" s="180" t="s">
        <v>601</v>
      </c>
      <c r="D72" s="211" t="s">
        <v>930</v>
      </c>
      <c r="E72" s="211" t="s">
        <v>929</v>
      </c>
      <c r="F72" s="202" t="str">
        <f>_xlfn.CONCAT(B72,"_",C72,"_",D72,"_",E72)</f>
        <v xml:space="preserve">EC_GYE_SEMVRA DAULE_UNA </v>
      </c>
      <c r="G72" s="211" t="s">
        <v>604</v>
      </c>
      <c r="H72" s="211" t="s">
        <v>602</v>
      </c>
      <c r="I72" s="221" t="s">
        <v>2158</v>
      </c>
      <c r="J72" s="211" t="s">
        <v>958</v>
      </c>
      <c r="K72" s="200" t="str">
        <f>_xlfn.CONCAT(I72,"-",J72)</f>
        <v>EC_GYE_UNA_SW_ACCESO_SEMVRA DAULE-192.168.21.57</v>
      </c>
      <c r="L72" s="61" t="s">
        <v>1408</v>
      </c>
      <c r="M72" s="211" t="s">
        <v>955</v>
      </c>
      <c r="N72" s="211" t="s">
        <v>956</v>
      </c>
      <c r="O72" s="226" t="s">
        <v>957</v>
      </c>
      <c r="P72" s="211" t="s">
        <v>935</v>
      </c>
      <c r="Q72" s="211" t="s">
        <v>609</v>
      </c>
      <c r="R72" s="211" t="s">
        <v>610</v>
      </c>
      <c r="S72" s="211" t="s">
        <v>956</v>
      </c>
      <c r="T72" s="211" t="s">
        <v>617</v>
      </c>
      <c r="U72" s="211" t="s">
        <v>956</v>
      </c>
      <c r="V72" s="211"/>
    </row>
    <row r="73" spans="1:22" ht="15.75">
      <c r="A73" s="223">
        <v>94</v>
      </c>
      <c r="B73" s="202" t="s">
        <v>2078</v>
      </c>
      <c r="C73" s="180" t="s">
        <v>601</v>
      </c>
      <c r="D73" s="211" t="s">
        <v>930</v>
      </c>
      <c r="E73" s="211" t="s">
        <v>929</v>
      </c>
      <c r="F73" s="202" t="str">
        <f>_xlfn.CONCAT(B73,"_",C73,"_",D73,"_",E73)</f>
        <v xml:space="preserve">EC_GYE_SEMVRA DAULE_UNA </v>
      </c>
      <c r="G73" s="211" t="s">
        <v>604</v>
      </c>
      <c r="H73" s="211" t="s">
        <v>602</v>
      </c>
      <c r="I73" s="221" t="s">
        <v>2157</v>
      </c>
      <c r="J73" s="211"/>
      <c r="K73" s="200" t="str">
        <f>_xlfn.CONCAT(I73,"-",J73)</f>
        <v>EC_GYE_UNA_SW_DIST_SEMVRA DAULE-</v>
      </c>
      <c r="L73" s="61" t="s">
        <v>1408</v>
      </c>
      <c r="M73" s="211" t="s">
        <v>955</v>
      </c>
      <c r="N73" s="211" t="s">
        <v>959</v>
      </c>
      <c r="O73" s="211" t="s">
        <v>372</v>
      </c>
      <c r="P73" s="211"/>
      <c r="Q73" s="211" t="s">
        <v>609</v>
      </c>
      <c r="R73" s="211" t="s">
        <v>610</v>
      </c>
      <c r="S73" s="211" t="s">
        <v>959</v>
      </c>
      <c r="T73" s="211" t="s">
        <v>611</v>
      </c>
      <c r="U73" s="211" t="s">
        <v>959</v>
      </c>
      <c r="V73" s="211"/>
    </row>
    <row r="74" spans="1:22" ht="15.75">
      <c r="A74" s="223">
        <v>95</v>
      </c>
      <c r="B74" s="202" t="s">
        <v>2078</v>
      </c>
      <c r="C74" s="180" t="s">
        <v>601</v>
      </c>
      <c r="D74" s="211" t="s">
        <v>930</v>
      </c>
      <c r="E74" s="211" t="s">
        <v>929</v>
      </c>
      <c r="F74" s="202" t="str">
        <f>_xlfn.CONCAT(B74,"_",C74,"_",D74,"_",E74)</f>
        <v xml:space="preserve">EC_GYE_SEMVRA DAULE_UNA </v>
      </c>
      <c r="G74" s="211" t="s">
        <v>604</v>
      </c>
      <c r="H74" s="211" t="s">
        <v>602</v>
      </c>
      <c r="I74" s="221" t="s">
        <v>2158</v>
      </c>
      <c r="J74" s="211" t="s">
        <v>963</v>
      </c>
      <c r="K74" s="200" t="str">
        <f>_xlfn.CONCAT(I74,"-",J74)</f>
        <v>EC_GYE_UNA_SW_ACCESO_SEMVRA DAULE-192.168.21.49</v>
      </c>
      <c r="L74" s="61" t="s">
        <v>1408</v>
      </c>
      <c r="M74" s="211" t="s">
        <v>960</v>
      </c>
      <c r="N74" s="211" t="s">
        <v>961</v>
      </c>
      <c r="O74" s="226" t="s">
        <v>962</v>
      </c>
      <c r="P74" s="211" t="s">
        <v>935</v>
      </c>
      <c r="Q74" s="211" t="s">
        <v>609</v>
      </c>
      <c r="R74" s="211" t="s">
        <v>610</v>
      </c>
      <c r="S74" s="211" t="s">
        <v>964</v>
      </c>
      <c r="T74" s="211" t="s">
        <v>617</v>
      </c>
      <c r="U74" s="211" t="s">
        <v>964</v>
      </c>
      <c r="V74" s="221" t="s">
        <v>965</v>
      </c>
    </row>
    <row r="75" spans="1:22" ht="31.5">
      <c r="A75" s="216">
        <v>96</v>
      </c>
      <c r="B75" s="202" t="s">
        <v>2078</v>
      </c>
      <c r="C75" s="99" t="s">
        <v>601</v>
      </c>
      <c r="D75" s="200" t="s">
        <v>930</v>
      </c>
      <c r="E75" s="200" t="s">
        <v>929</v>
      </c>
      <c r="F75" s="202" t="str">
        <f>_xlfn.CONCAT(B75,"_",C75,"_",D75,"_",E75)</f>
        <v xml:space="preserve">EC_GYE_SEMVRA DAULE_UNA </v>
      </c>
      <c r="G75" s="200" t="s">
        <v>604</v>
      </c>
      <c r="H75" s="200" t="s">
        <v>602</v>
      </c>
      <c r="I75" s="203" t="s">
        <v>2159</v>
      </c>
      <c r="J75" s="200" t="s">
        <v>968</v>
      </c>
      <c r="K75" s="200" t="str">
        <f>_xlfn.CONCAT(I75,"-",J75)</f>
        <v>EC_GYE_UNA_SW_CORE_BAKCUP_SEMVRA DAULE-192.168.20.50</v>
      </c>
      <c r="L75" s="61" t="s">
        <v>1408</v>
      </c>
      <c r="M75" s="200" t="s">
        <v>966</v>
      </c>
      <c r="N75" s="200" t="s">
        <v>932</v>
      </c>
      <c r="O75" s="204" t="s">
        <v>967</v>
      </c>
      <c r="P75" s="200" t="s">
        <v>935</v>
      </c>
      <c r="Q75" s="200" t="s">
        <v>609</v>
      </c>
      <c r="R75" s="200" t="s">
        <v>610</v>
      </c>
      <c r="S75" s="200" t="s">
        <v>932</v>
      </c>
      <c r="T75" s="200" t="s">
        <v>969</v>
      </c>
      <c r="U75" s="200" t="s">
        <v>932</v>
      </c>
      <c r="V75" s="200"/>
    </row>
    <row r="76" spans="1:22" ht="15.75">
      <c r="A76" s="216">
        <v>97</v>
      </c>
      <c r="B76" s="202" t="s">
        <v>2078</v>
      </c>
      <c r="C76" s="99" t="s">
        <v>601</v>
      </c>
      <c r="D76" s="200" t="s">
        <v>930</v>
      </c>
      <c r="E76" s="200" t="s">
        <v>929</v>
      </c>
      <c r="F76" s="202" t="str">
        <f>_xlfn.CONCAT(B76,"_",C76,"_",D76,"_",E76)</f>
        <v xml:space="preserve">EC_GYE_SEMVRA DAULE_UNA </v>
      </c>
      <c r="G76" s="200" t="s">
        <v>604</v>
      </c>
      <c r="H76" s="200" t="s">
        <v>602</v>
      </c>
      <c r="I76" s="203" t="s">
        <v>2158</v>
      </c>
      <c r="J76" s="200" t="s">
        <v>972</v>
      </c>
      <c r="K76" s="200" t="str">
        <f>_xlfn.CONCAT(I76,"-",J76)</f>
        <v>EC_GYE_UNA_SW_ACCESO_SEMVRA DAULE-192.168.21.48</v>
      </c>
      <c r="L76" s="61" t="s">
        <v>1408</v>
      </c>
      <c r="M76" s="200" t="s">
        <v>970</v>
      </c>
      <c r="N76" s="200" t="s">
        <v>964</v>
      </c>
      <c r="O76" s="204" t="s">
        <v>971</v>
      </c>
      <c r="P76" s="200" t="s">
        <v>935</v>
      </c>
      <c r="Q76" s="200" t="s">
        <v>609</v>
      </c>
      <c r="R76" s="200" t="s">
        <v>610</v>
      </c>
      <c r="S76" s="200" t="s">
        <v>964</v>
      </c>
      <c r="T76" s="200" t="s">
        <v>617</v>
      </c>
      <c r="U76" s="200" t="s">
        <v>964</v>
      </c>
      <c r="V76" s="249" t="s">
        <v>973</v>
      </c>
    </row>
    <row r="77" spans="1:22" ht="31.5">
      <c r="A77" s="216">
        <v>98</v>
      </c>
      <c r="B77" s="202" t="s">
        <v>2078</v>
      </c>
      <c r="C77" s="99" t="s">
        <v>601</v>
      </c>
      <c r="D77" s="200" t="s">
        <v>930</v>
      </c>
      <c r="E77" s="200" t="s">
        <v>929</v>
      </c>
      <c r="F77" s="202" t="str">
        <f>_xlfn.CONCAT(B77,"_",C77,"_",D77,"_",E77)</f>
        <v xml:space="preserve">EC_GYE_SEMVRA DAULE_UNA </v>
      </c>
      <c r="G77" s="200" t="s">
        <v>604</v>
      </c>
      <c r="H77" s="200" t="s">
        <v>602</v>
      </c>
      <c r="I77" s="203" t="s">
        <v>2158</v>
      </c>
      <c r="J77" s="200" t="s">
        <v>977</v>
      </c>
      <c r="K77" s="200" t="str">
        <f>_xlfn.CONCAT(I77,"-",J77)</f>
        <v>EC_GYE_UNA_SW_ACCESO_SEMVRA DAULE-192.168.21.67</v>
      </c>
      <c r="L77" s="61" t="s">
        <v>1408</v>
      </c>
      <c r="M77" s="200" t="s">
        <v>974</v>
      </c>
      <c r="N77" s="200" t="s">
        <v>975</v>
      </c>
      <c r="O77" s="204" t="s">
        <v>976</v>
      </c>
      <c r="P77" s="200" t="s">
        <v>935</v>
      </c>
      <c r="Q77" s="200" t="s">
        <v>609</v>
      </c>
      <c r="R77" s="200" t="s">
        <v>610</v>
      </c>
      <c r="S77" s="200" t="s">
        <v>975</v>
      </c>
      <c r="T77" s="200" t="s">
        <v>617</v>
      </c>
      <c r="U77" s="200" t="s">
        <v>975</v>
      </c>
      <c r="V77" s="203" t="s">
        <v>978</v>
      </c>
    </row>
    <row r="78" spans="1:22" ht="15.75">
      <c r="A78" s="216">
        <v>99</v>
      </c>
      <c r="B78" s="202" t="s">
        <v>2078</v>
      </c>
      <c r="C78" s="99" t="s">
        <v>601</v>
      </c>
      <c r="D78" s="200" t="s">
        <v>930</v>
      </c>
      <c r="E78" s="200" t="s">
        <v>929</v>
      </c>
      <c r="F78" s="202" t="str">
        <f>_xlfn.CONCAT(B78,"_",C78,"_",D78,"_",E78)</f>
        <v xml:space="preserve">EC_GYE_SEMVRA DAULE_UNA </v>
      </c>
      <c r="G78" s="200" t="s">
        <v>604</v>
      </c>
      <c r="H78" s="200" t="s">
        <v>602</v>
      </c>
      <c r="I78" s="203" t="s">
        <v>2157</v>
      </c>
      <c r="J78" s="200" t="s">
        <v>982</v>
      </c>
      <c r="K78" s="200" t="str">
        <f>_xlfn.CONCAT(I78,"-",J78)</f>
        <v>EC_GYE_UNA_SW_DIST_SEMVRA DAULE-192.168.21.229</v>
      </c>
      <c r="L78" s="61" t="s">
        <v>1408</v>
      </c>
      <c r="M78" s="200" t="s">
        <v>979</v>
      </c>
      <c r="N78" s="200" t="s">
        <v>980</v>
      </c>
      <c r="O78" s="204" t="s">
        <v>981</v>
      </c>
      <c r="P78" s="200" t="s">
        <v>935</v>
      </c>
      <c r="Q78" s="200" t="s">
        <v>609</v>
      </c>
      <c r="R78" s="200" t="s">
        <v>610</v>
      </c>
      <c r="S78" s="200" t="s">
        <v>983</v>
      </c>
      <c r="T78" s="200" t="s">
        <v>611</v>
      </c>
      <c r="U78" s="200" t="s">
        <v>983</v>
      </c>
      <c r="V78" s="200" t="s">
        <v>984</v>
      </c>
    </row>
    <row r="79" spans="1:22" ht="15.75">
      <c r="A79" s="216">
        <v>100</v>
      </c>
      <c r="B79" s="202" t="s">
        <v>2078</v>
      </c>
      <c r="C79" s="99" t="s">
        <v>601</v>
      </c>
      <c r="D79" s="200" t="s">
        <v>930</v>
      </c>
      <c r="E79" s="200" t="s">
        <v>929</v>
      </c>
      <c r="F79" s="202" t="str">
        <f>_xlfn.CONCAT(B79,"_",C79,"_",D79,"_",E79)</f>
        <v xml:space="preserve">EC_GYE_SEMVRA DAULE_UNA </v>
      </c>
      <c r="G79" s="200" t="s">
        <v>604</v>
      </c>
      <c r="H79" s="200" t="s">
        <v>602</v>
      </c>
      <c r="I79" s="203" t="s">
        <v>2157</v>
      </c>
      <c r="J79" s="200" t="s">
        <v>987</v>
      </c>
      <c r="K79" s="200" t="str">
        <f>_xlfn.CONCAT(I79,"-",J79)</f>
        <v>EC_GYE_UNA_SW_DIST_SEMVRA DAULE-192.168.21.45</v>
      </c>
      <c r="L79" s="61" t="s">
        <v>1408</v>
      </c>
      <c r="M79" s="200" t="s">
        <v>985</v>
      </c>
      <c r="N79" s="200" t="s">
        <v>932</v>
      </c>
      <c r="O79" s="204" t="s">
        <v>986</v>
      </c>
      <c r="P79" s="200" t="s">
        <v>935</v>
      </c>
      <c r="Q79" s="200" t="s">
        <v>609</v>
      </c>
      <c r="R79" s="200" t="s">
        <v>610</v>
      </c>
      <c r="S79" s="200" t="s">
        <v>952</v>
      </c>
      <c r="T79" s="200" t="s">
        <v>611</v>
      </c>
      <c r="U79" s="200" t="s">
        <v>952</v>
      </c>
      <c r="V79" s="200" t="s">
        <v>988</v>
      </c>
    </row>
    <row r="80" spans="1:22" ht="15.75">
      <c r="A80" s="216">
        <v>101</v>
      </c>
      <c r="B80" s="202" t="s">
        <v>2078</v>
      </c>
      <c r="C80" s="99" t="s">
        <v>601</v>
      </c>
      <c r="D80" s="200" t="s">
        <v>930</v>
      </c>
      <c r="E80" s="200" t="s">
        <v>929</v>
      </c>
      <c r="F80" s="202" t="str">
        <f>_xlfn.CONCAT(B80,"_",C80,"_",D80,"_",E80)</f>
        <v xml:space="preserve">EC_GYE_SEMVRA DAULE_UNA </v>
      </c>
      <c r="G80" s="200" t="s">
        <v>604</v>
      </c>
      <c r="H80" s="200" t="s">
        <v>602</v>
      </c>
      <c r="I80" s="203" t="s">
        <v>2157</v>
      </c>
      <c r="J80" s="200" t="s">
        <v>992</v>
      </c>
      <c r="K80" s="200" t="str">
        <f>_xlfn.CONCAT(I80,"-",J80)</f>
        <v>EC_GYE_UNA_SW_DIST_SEMVRA DAULE-192.168.21.46</v>
      </c>
      <c r="L80" s="61" t="s">
        <v>1408</v>
      </c>
      <c r="M80" s="200" t="s">
        <v>989</v>
      </c>
      <c r="N80" s="200" t="s">
        <v>990</v>
      </c>
      <c r="O80" s="204" t="s">
        <v>991</v>
      </c>
      <c r="P80" s="200" t="s">
        <v>935</v>
      </c>
      <c r="Q80" s="200" t="s">
        <v>609</v>
      </c>
      <c r="R80" s="200" t="s">
        <v>610</v>
      </c>
      <c r="S80" s="200" t="s">
        <v>989</v>
      </c>
      <c r="T80" s="200" t="s">
        <v>611</v>
      </c>
      <c r="U80" s="200" t="s">
        <v>989</v>
      </c>
      <c r="V80" s="200" t="s">
        <v>993</v>
      </c>
    </row>
    <row r="81" spans="1:22" ht="31.5">
      <c r="A81" s="216">
        <v>102</v>
      </c>
      <c r="B81" s="202" t="s">
        <v>2078</v>
      </c>
      <c r="C81" s="99" t="s">
        <v>601</v>
      </c>
      <c r="D81" s="200" t="s">
        <v>930</v>
      </c>
      <c r="E81" s="200" t="s">
        <v>929</v>
      </c>
      <c r="F81" s="202" t="str">
        <f>_xlfn.CONCAT(B81,"_",C81,"_",D81,"_",E81)</f>
        <v xml:space="preserve">EC_GYE_SEMVRA DAULE_UNA </v>
      </c>
      <c r="G81" s="200" t="s">
        <v>630</v>
      </c>
      <c r="H81" s="200" t="s">
        <v>602</v>
      </c>
      <c r="I81" s="203" t="s">
        <v>2160</v>
      </c>
      <c r="J81" s="200"/>
      <c r="K81" s="200" t="str">
        <f>_xlfn.CONCAT(I81,"-",J81)</f>
        <v>EC_GYE_UNA_RO_TELEFONICA_SEMVRA DAULE-</v>
      </c>
      <c r="L81" s="61" t="s">
        <v>1408</v>
      </c>
      <c r="M81" s="200" t="s">
        <v>994</v>
      </c>
      <c r="N81" s="200" t="s">
        <v>683</v>
      </c>
      <c r="O81" s="200" t="s">
        <v>995</v>
      </c>
      <c r="P81" s="200"/>
      <c r="Q81" s="200" t="s">
        <v>609</v>
      </c>
      <c r="R81" s="200" t="s">
        <v>682</v>
      </c>
      <c r="S81" s="200"/>
      <c r="T81" s="200" t="s">
        <v>634</v>
      </c>
      <c r="U81" s="200" t="s">
        <v>996</v>
      </c>
      <c r="V81" s="200"/>
    </row>
    <row r="82" spans="1:22" ht="15.75">
      <c r="A82" s="216">
        <v>103</v>
      </c>
      <c r="B82" s="202" t="s">
        <v>2078</v>
      </c>
      <c r="C82" s="99" t="s">
        <v>601</v>
      </c>
      <c r="D82" s="200" t="s">
        <v>930</v>
      </c>
      <c r="E82" s="200" t="s">
        <v>929</v>
      </c>
      <c r="F82" s="202" t="str">
        <f>_xlfn.CONCAT(B82,"_",C82,"_",D82,"_",E82)</f>
        <v xml:space="preserve">EC_GYE_SEMVRA DAULE_UNA </v>
      </c>
      <c r="G82" s="200" t="s">
        <v>630</v>
      </c>
      <c r="H82" s="200" t="s">
        <v>602</v>
      </c>
      <c r="I82" s="203" t="s">
        <v>2161</v>
      </c>
      <c r="J82" s="200"/>
      <c r="K82" s="200" t="str">
        <f>_xlfn.CONCAT(I82,"-",J82)</f>
        <v>EC_GYE_UNA_RO_CNT_SEMVRA DAULE-</v>
      </c>
      <c r="L82" s="61" t="s">
        <v>1408</v>
      </c>
      <c r="M82" s="200" t="s">
        <v>994</v>
      </c>
      <c r="N82" s="200" t="s">
        <v>997</v>
      </c>
      <c r="O82" s="200" t="s">
        <v>998</v>
      </c>
      <c r="P82" s="200"/>
      <c r="Q82" s="200" t="s">
        <v>609</v>
      </c>
      <c r="R82" s="200" t="s">
        <v>999</v>
      </c>
      <c r="S82" s="200"/>
      <c r="T82" s="200" t="s">
        <v>999</v>
      </c>
      <c r="U82" s="200" t="s">
        <v>999</v>
      </c>
      <c r="V82" s="200"/>
    </row>
    <row r="83" spans="1:22" ht="15.75">
      <c r="A83" s="216">
        <v>104</v>
      </c>
      <c r="B83" s="202" t="s">
        <v>2078</v>
      </c>
      <c r="C83" s="99" t="s">
        <v>601</v>
      </c>
      <c r="D83" s="200" t="s">
        <v>930</v>
      </c>
      <c r="E83" s="200" t="s">
        <v>929</v>
      </c>
      <c r="F83" s="202" t="str">
        <f>_xlfn.CONCAT(B83,"_",C83,"_",D83,"_",E83)</f>
        <v xml:space="preserve">EC_GYE_SEMVRA DAULE_UNA </v>
      </c>
      <c r="G83" s="200" t="s">
        <v>630</v>
      </c>
      <c r="H83" s="200" t="s">
        <v>602</v>
      </c>
      <c r="I83" s="203" t="s">
        <v>2162</v>
      </c>
      <c r="J83" s="200"/>
      <c r="K83" s="200" t="str">
        <f>_xlfn.CONCAT(I83,"-",J83)</f>
        <v>EC_GYE_UNA_RO_MIKRO_SEMVRA DAULE-</v>
      </c>
      <c r="L83" s="61" t="s">
        <v>1408</v>
      </c>
      <c r="M83" s="200" t="s">
        <v>1000</v>
      </c>
      <c r="N83" s="200" t="s">
        <v>1001</v>
      </c>
      <c r="O83" s="200" t="s">
        <v>1002</v>
      </c>
      <c r="P83" s="200"/>
      <c r="Q83" s="200" t="s">
        <v>609</v>
      </c>
      <c r="R83" s="200" t="s">
        <v>610</v>
      </c>
      <c r="S83" s="200"/>
      <c r="T83" s="200" t="s">
        <v>1003</v>
      </c>
      <c r="U83" s="200"/>
      <c r="V83" s="200"/>
    </row>
    <row r="84" spans="1:22" ht="15.75">
      <c r="A84" s="216">
        <v>105</v>
      </c>
      <c r="B84" s="202" t="s">
        <v>2078</v>
      </c>
      <c r="C84" s="99" t="s">
        <v>601</v>
      </c>
      <c r="D84" s="200" t="s">
        <v>930</v>
      </c>
      <c r="E84" s="200" t="s">
        <v>929</v>
      </c>
      <c r="F84" s="202" t="str">
        <f>_xlfn.CONCAT(B84,"_",C84,"_",D84,"_",E84)</f>
        <v xml:space="preserve">EC_GYE_SEMVRA DAULE_UNA </v>
      </c>
      <c r="G84" s="200" t="s">
        <v>630</v>
      </c>
      <c r="H84" s="200" t="s">
        <v>602</v>
      </c>
      <c r="I84" s="203" t="s">
        <v>2162</v>
      </c>
      <c r="J84" s="200"/>
      <c r="K84" s="200" t="str">
        <f>_xlfn.CONCAT(I84,"-",J84)</f>
        <v>EC_GYE_UNA_RO_MIKRO_SEMVRA DAULE-</v>
      </c>
      <c r="L84" s="61" t="s">
        <v>1408</v>
      </c>
      <c r="M84" s="200" t="s">
        <v>1000</v>
      </c>
      <c r="N84" s="200" t="s">
        <v>1001</v>
      </c>
      <c r="O84" s="200" t="s">
        <v>1004</v>
      </c>
      <c r="P84" s="200"/>
      <c r="Q84" s="200" t="s">
        <v>609</v>
      </c>
      <c r="R84" s="200" t="s">
        <v>610</v>
      </c>
      <c r="S84" s="200"/>
      <c r="T84" s="200" t="s">
        <v>1003</v>
      </c>
      <c r="U84" s="200"/>
      <c r="V84" s="200"/>
    </row>
    <row r="85" spans="1:22" ht="15.75">
      <c r="A85" s="223">
        <v>106</v>
      </c>
      <c r="B85" s="202" t="s">
        <v>2078</v>
      </c>
      <c r="C85" s="180" t="s">
        <v>601</v>
      </c>
      <c r="D85" s="211" t="s">
        <v>930</v>
      </c>
      <c r="E85" s="211" t="s">
        <v>929</v>
      </c>
      <c r="F85" s="202" t="str">
        <f>_xlfn.CONCAT(B85,"_",C85,"_",D85,"_",E85)</f>
        <v xml:space="preserve">EC_GYE_SEMVRA DAULE_UNA </v>
      </c>
      <c r="G85" s="211" t="s">
        <v>630</v>
      </c>
      <c r="H85" s="211" t="s">
        <v>602</v>
      </c>
      <c r="I85" s="221" t="s">
        <v>2163</v>
      </c>
      <c r="J85" s="211" t="s">
        <v>1007</v>
      </c>
      <c r="K85" s="200" t="str">
        <f>_xlfn.CONCAT(I85,"-",J85)</f>
        <v>EC_GYE_UNA_RO_ZYXEL_SEMVRA DAULE-192.168.21.18</v>
      </c>
      <c r="L85" s="61" t="s">
        <v>1408</v>
      </c>
      <c r="M85" s="211" t="s">
        <v>937</v>
      </c>
      <c r="N85" s="211" t="s">
        <v>1005</v>
      </c>
      <c r="O85" s="211" t="s">
        <v>1006</v>
      </c>
      <c r="P85" s="211"/>
      <c r="Q85" s="211" t="s">
        <v>609</v>
      </c>
      <c r="R85" s="211" t="s">
        <v>610</v>
      </c>
      <c r="S85" s="211" t="s">
        <v>1005</v>
      </c>
      <c r="T85" s="211" t="s">
        <v>1008</v>
      </c>
      <c r="U85" s="211" t="s">
        <v>1005</v>
      </c>
      <c r="V85" s="211" t="s">
        <v>1009</v>
      </c>
    </row>
    <row r="86" spans="1:22" ht="15.75">
      <c r="A86" s="224">
        <v>108</v>
      </c>
      <c r="B86" s="202" t="s">
        <v>2078</v>
      </c>
      <c r="C86" s="228" t="s">
        <v>601</v>
      </c>
      <c r="D86" s="217" t="s">
        <v>1010</v>
      </c>
      <c r="E86" s="239" t="s">
        <v>303</v>
      </c>
      <c r="F86" s="202" t="str">
        <f>_xlfn.CONCAT(B86,"_",C86,"_",D86,"_",E86)</f>
        <v>EC_GYE_CHIVERIA_UNA</v>
      </c>
      <c r="G86" s="217" t="s">
        <v>604</v>
      </c>
      <c r="H86" s="239" t="s">
        <v>602</v>
      </c>
      <c r="I86" s="222" t="s">
        <v>2164</v>
      </c>
      <c r="J86" s="217" t="s">
        <v>1014</v>
      </c>
      <c r="K86" s="200" t="str">
        <f>_xlfn.CONCAT(I86,"-",J86)</f>
        <v>EC_GYE_UNA_SW_CORE_CHIVERIA-192.168.22.60</v>
      </c>
      <c r="L86" s="61" t="s">
        <v>1408</v>
      </c>
      <c r="M86" s="217" t="s">
        <v>1011</v>
      </c>
      <c r="N86" s="217" t="s">
        <v>1012</v>
      </c>
      <c r="O86" s="227" t="s">
        <v>1013</v>
      </c>
      <c r="P86" s="239" t="s">
        <v>1015</v>
      </c>
      <c r="Q86" s="239" t="s">
        <v>609</v>
      </c>
      <c r="R86" s="239" t="s">
        <v>610</v>
      </c>
      <c r="S86" s="217" t="s">
        <v>1012</v>
      </c>
      <c r="T86" s="217" t="s">
        <v>643</v>
      </c>
      <c r="U86" s="217" t="s">
        <v>1012</v>
      </c>
      <c r="V86" s="239"/>
    </row>
    <row r="87" spans="1:22" ht="15.75">
      <c r="A87" s="216">
        <v>109</v>
      </c>
      <c r="B87" s="202" t="s">
        <v>2078</v>
      </c>
      <c r="C87" s="99" t="s">
        <v>601</v>
      </c>
      <c r="D87" s="200" t="s">
        <v>1010</v>
      </c>
      <c r="E87" s="202" t="s">
        <v>303</v>
      </c>
      <c r="F87" s="202" t="str">
        <f>_xlfn.CONCAT(B87,"_",C87,"_",D87,"_",E87)</f>
        <v>EC_GYE_CHIVERIA_UNA</v>
      </c>
      <c r="G87" s="200" t="s">
        <v>604</v>
      </c>
      <c r="H87" s="202" t="s">
        <v>602</v>
      </c>
      <c r="I87" s="203" t="s">
        <v>2165</v>
      </c>
      <c r="J87" s="200" t="s">
        <v>1018</v>
      </c>
      <c r="K87" s="200" t="str">
        <f>_xlfn.CONCAT(I87,"-",J87)</f>
        <v>EC_GYE_UNA_SW_DIST_NO_ADM_CHIVERIA-sn</v>
      </c>
      <c r="L87" s="61" t="s">
        <v>1408</v>
      </c>
      <c r="M87" s="200" t="s">
        <v>1011</v>
      </c>
      <c r="N87" s="200" t="s">
        <v>1016</v>
      </c>
      <c r="O87" s="204" t="s">
        <v>1017</v>
      </c>
      <c r="P87" s="202" t="s">
        <v>1015</v>
      </c>
      <c r="Q87" s="202" t="s">
        <v>609</v>
      </c>
      <c r="R87" s="202" t="s">
        <v>610</v>
      </c>
      <c r="S87" s="200" t="s">
        <v>1019</v>
      </c>
      <c r="T87" s="200" t="s">
        <v>1020</v>
      </c>
      <c r="U87" s="200" t="s">
        <v>1019</v>
      </c>
      <c r="V87" s="202"/>
    </row>
    <row r="88" spans="1:22" ht="15.75">
      <c r="A88" s="216">
        <v>110</v>
      </c>
      <c r="B88" s="202" t="s">
        <v>2078</v>
      </c>
      <c r="C88" s="99" t="s">
        <v>601</v>
      </c>
      <c r="D88" s="200" t="s">
        <v>1010</v>
      </c>
      <c r="E88" s="202" t="s">
        <v>303</v>
      </c>
      <c r="F88" s="202" t="str">
        <f>_xlfn.CONCAT(B88,"_",C88,"_",D88,"_",E88)</f>
        <v>EC_GYE_CHIVERIA_UNA</v>
      </c>
      <c r="G88" s="200" t="s">
        <v>604</v>
      </c>
      <c r="H88" s="202" t="s">
        <v>602</v>
      </c>
      <c r="I88" s="203" t="s">
        <v>2165</v>
      </c>
      <c r="J88" s="200" t="s">
        <v>1023</v>
      </c>
      <c r="K88" s="200" t="str">
        <f>_xlfn.CONCAT(I88,"-",J88)</f>
        <v xml:space="preserve">EC_GYE_UNA_SW_DIST_NO_ADM_CHIVERIA-SN </v>
      </c>
      <c r="L88" s="61" t="s">
        <v>1408</v>
      </c>
      <c r="M88" s="200" t="s">
        <v>1011</v>
      </c>
      <c r="N88" s="200" t="s">
        <v>1021</v>
      </c>
      <c r="O88" s="204" t="s">
        <v>1022</v>
      </c>
      <c r="P88" s="202" t="s">
        <v>1015</v>
      </c>
      <c r="Q88" s="202" t="s">
        <v>609</v>
      </c>
      <c r="R88" s="202" t="s">
        <v>610</v>
      </c>
      <c r="S88" s="200" t="s">
        <v>1021</v>
      </c>
      <c r="T88" s="200" t="s">
        <v>1020</v>
      </c>
      <c r="U88" s="200" t="s">
        <v>1021</v>
      </c>
      <c r="V88" s="202" t="s">
        <v>1024</v>
      </c>
    </row>
    <row r="89" spans="1:22" ht="15.75">
      <c r="A89" s="216">
        <v>114</v>
      </c>
      <c r="B89" s="202" t="s">
        <v>2078</v>
      </c>
      <c r="C89" s="99" t="s">
        <v>601</v>
      </c>
      <c r="D89" s="200" t="s">
        <v>1010</v>
      </c>
      <c r="E89" s="202" t="s">
        <v>303</v>
      </c>
      <c r="F89" s="202" t="str">
        <f>_xlfn.CONCAT(B89,"_",C89,"_",D89,"_",E89)</f>
        <v>EC_GYE_CHIVERIA_UNA</v>
      </c>
      <c r="G89" s="200" t="s">
        <v>604</v>
      </c>
      <c r="H89" s="202" t="s">
        <v>602</v>
      </c>
      <c r="I89" s="203" t="s">
        <v>2166</v>
      </c>
      <c r="J89" s="200" t="s">
        <v>1028</v>
      </c>
      <c r="K89" s="200" t="str">
        <f>_xlfn.CONCAT(I89,"-",J89)</f>
        <v>EC_GYE_UNA_SW_DIST_CHIVERIA-192.168.22.56</v>
      </c>
      <c r="L89" s="61" t="s">
        <v>1408</v>
      </c>
      <c r="M89" s="200" t="s">
        <v>1025</v>
      </c>
      <c r="N89" s="200" t="s">
        <v>1026</v>
      </c>
      <c r="O89" s="204" t="s">
        <v>1027</v>
      </c>
      <c r="P89" s="202" t="s">
        <v>1015</v>
      </c>
      <c r="Q89" s="202" t="s">
        <v>609</v>
      </c>
      <c r="R89" s="202" t="s">
        <v>610</v>
      </c>
      <c r="S89" s="200" t="s">
        <v>1026</v>
      </c>
      <c r="T89" s="200" t="s">
        <v>611</v>
      </c>
      <c r="U89" s="200" t="s">
        <v>1026</v>
      </c>
      <c r="V89" s="202"/>
    </row>
    <row r="90" spans="1:22" ht="15.75">
      <c r="A90" s="216">
        <v>117</v>
      </c>
      <c r="B90" s="202" t="s">
        <v>2078</v>
      </c>
      <c r="C90" s="99" t="s">
        <v>601</v>
      </c>
      <c r="D90" s="200" t="s">
        <v>1010</v>
      </c>
      <c r="E90" s="202" t="s">
        <v>303</v>
      </c>
      <c r="F90" s="202" t="str">
        <f>_xlfn.CONCAT(B90,"_",C90,"_",D90,"_",E90)</f>
        <v>EC_GYE_CHIVERIA_UNA</v>
      </c>
      <c r="G90" s="200" t="s">
        <v>604</v>
      </c>
      <c r="H90" s="202" t="s">
        <v>602</v>
      </c>
      <c r="I90" s="203" t="s">
        <v>2166</v>
      </c>
      <c r="J90" s="200" t="s">
        <v>1031</v>
      </c>
      <c r="K90" s="200" t="str">
        <f>_xlfn.CONCAT(I90,"-",J90)</f>
        <v>EC_GYE_UNA_SW_DIST_CHIVERIA-192.168.22.55</v>
      </c>
      <c r="L90" s="61" t="s">
        <v>1408</v>
      </c>
      <c r="M90" s="200" t="s">
        <v>1029</v>
      </c>
      <c r="N90" s="200" t="s">
        <v>952</v>
      </c>
      <c r="O90" s="204" t="s">
        <v>1030</v>
      </c>
      <c r="P90" s="202" t="s">
        <v>1015</v>
      </c>
      <c r="Q90" s="202" t="s">
        <v>609</v>
      </c>
      <c r="R90" s="202" t="s">
        <v>610</v>
      </c>
      <c r="S90" s="200" t="s">
        <v>952</v>
      </c>
      <c r="T90" s="200" t="s">
        <v>611</v>
      </c>
      <c r="U90" s="200" t="s">
        <v>952</v>
      </c>
      <c r="V90" s="202"/>
    </row>
    <row r="91" spans="1:22" ht="15.75">
      <c r="A91" s="216">
        <v>118</v>
      </c>
      <c r="B91" s="202" t="s">
        <v>2078</v>
      </c>
      <c r="C91" s="99" t="s">
        <v>601</v>
      </c>
      <c r="D91" s="200" t="s">
        <v>1010</v>
      </c>
      <c r="E91" s="202" t="s">
        <v>303</v>
      </c>
      <c r="F91" s="202" t="str">
        <f>_xlfn.CONCAT(B91,"_",C91,"_",D91,"_",E91)</f>
        <v>EC_GYE_CHIVERIA_UNA</v>
      </c>
      <c r="G91" s="200" t="s">
        <v>604</v>
      </c>
      <c r="H91" s="202" t="s">
        <v>602</v>
      </c>
      <c r="I91" s="203" t="s">
        <v>2166</v>
      </c>
      <c r="J91" s="200" t="s">
        <v>1034</v>
      </c>
      <c r="K91" s="200" t="str">
        <f>_xlfn.CONCAT(I91,"-",J91)</f>
        <v>EC_GYE_UNA_SW_DIST_CHIVERIA-192.168.22.54</v>
      </c>
      <c r="L91" s="61" t="s">
        <v>1408</v>
      </c>
      <c r="M91" s="200" t="s">
        <v>313</v>
      </c>
      <c r="N91" s="200" t="s">
        <v>1032</v>
      </c>
      <c r="O91" s="204" t="s">
        <v>1033</v>
      </c>
      <c r="P91" s="202" t="s">
        <v>1015</v>
      </c>
      <c r="Q91" s="202" t="s">
        <v>609</v>
      </c>
      <c r="R91" s="202" t="s">
        <v>610</v>
      </c>
      <c r="S91" s="200" t="s">
        <v>1032</v>
      </c>
      <c r="T91" s="200" t="s">
        <v>611</v>
      </c>
      <c r="U91" s="200" t="s">
        <v>1032</v>
      </c>
      <c r="V91" s="202"/>
    </row>
    <row r="92" spans="1:22" ht="15.75">
      <c r="A92" s="216">
        <v>119</v>
      </c>
      <c r="B92" s="202" t="s">
        <v>2078</v>
      </c>
      <c r="C92" s="99" t="s">
        <v>601</v>
      </c>
      <c r="D92" s="200" t="s">
        <v>1010</v>
      </c>
      <c r="E92" s="202" t="s">
        <v>303</v>
      </c>
      <c r="F92" s="202" t="str">
        <f>_xlfn.CONCAT(B92,"_",C92,"_",D92,"_",E92)</f>
        <v>EC_GYE_CHIVERIA_UNA</v>
      </c>
      <c r="G92" s="200" t="s">
        <v>604</v>
      </c>
      <c r="H92" s="202" t="s">
        <v>602</v>
      </c>
      <c r="I92" s="203" t="s">
        <v>2165</v>
      </c>
      <c r="J92" s="200" t="s">
        <v>1023</v>
      </c>
      <c r="K92" s="200" t="str">
        <f>_xlfn.CONCAT(I92,"-",J92)</f>
        <v xml:space="preserve">EC_GYE_UNA_SW_DIST_NO_ADM_CHIVERIA-SN </v>
      </c>
      <c r="L92" s="61" t="s">
        <v>1408</v>
      </c>
      <c r="M92" s="200" t="s">
        <v>1035</v>
      </c>
      <c r="N92" s="200" t="s">
        <v>1036</v>
      </c>
      <c r="O92" s="204" t="s">
        <v>1037</v>
      </c>
      <c r="P92" s="202"/>
      <c r="Q92" s="202" t="s">
        <v>609</v>
      </c>
      <c r="R92" s="202" t="s">
        <v>610</v>
      </c>
      <c r="S92" s="200" t="s">
        <v>1036</v>
      </c>
      <c r="T92" s="200" t="s">
        <v>1020</v>
      </c>
      <c r="U92" s="200" t="s">
        <v>1036</v>
      </c>
      <c r="V92" s="202"/>
    </row>
    <row r="93" spans="1:22" ht="15.75">
      <c r="A93" s="216">
        <v>120</v>
      </c>
      <c r="B93" s="202" t="s">
        <v>2078</v>
      </c>
      <c r="C93" s="99" t="s">
        <v>601</v>
      </c>
      <c r="D93" s="200" t="s">
        <v>1010</v>
      </c>
      <c r="E93" s="202" t="s">
        <v>303</v>
      </c>
      <c r="F93" s="202" t="str">
        <f>_xlfn.CONCAT(B93,"_",C93,"_",D93,"_",E93)</f>
        <v>EC_GYE_CHIVERIA_UNA</v>
      </c>
      <c r="G93" s="200" t="s">
        <v>604</v>
      </c>
      <c r="H93" s="202" t="s">
        <v>602</v>
      </c>
      <c r="I93" s="203" t="s">
        <v>2166</v>
      </c>
      <c r="J93" s="200" t="s">
        <v>1040</v>
      </c>
      <c r="K93" s="200" t="str">
        <f>_xlfn.CONCAT(I93,"-",J93)</f>
        <v>EC_GYE_UNA_SW_DIST_CHIVERIA-192.168.22.53</v>
      </c>
      <c r="L93" s="61" t="s">
        <v>1408</v>
      </c>
      <c r="M93" s="200" t="s">
        <v>1038</v>
      </c>
      <c r="N93" s="200" t="s">
        <v>1032</v>
      </c>
      <c r="O93" s="204" t="s">
        <v>1039</v>
      </c>
      <c r="P93" s="202" t="s">
        <v>1015</v>
      </c>
      <c r="Q93" s="202" t="s">
        <v>609</v>
      </c>
      <c r="R93" s="202" t="s">
        <v>610</v>
      </c>
      <c r="S93" s="200" t="s">
        <v>1032</v>
      </c>
      <c r="T93" s="200" t="s">
        <v>611</v>
      </c>
      <c r="U93" s="200" t="s">
        <v>1032</v>
      </c>
      <c r="V93" s="202"/>
    </row>
    <row r="94" spans="1:22" ht="15.75">
      <c r="A94" s="216">
        <v>121</v>
      </c>
      <c r="B94" s="202" t="s">
        <v>2078</v>
      </c>
      <c r="C94" s="99" t="s">
        <v>601</v>
      </c>
      <c r="D94" s="200" t="s">
        <v>1041</v>
      </c>
      <c r="E94" s="202" t="s">
        <v>929</v>
      </c>
      <c r="F94" s="202" t="str">
        <f>_xlfn.CONCAT(B94,"_",C94,"_",D94,"_",E94)</f>
        <v xml:space="preserve">EC_GYE_SEMVRA ECU_UNA </v>
      </c>
      <c r="G94" s="200" t="s">
        <v>604</v>
      </c>
      <c r="H94" s="202" t="s">
        <v>602</v>
      </c>
      <c r="I94" s="203" t="s">
        <v>2167</v>
      </c>
      <c r="J94" s="200" t="s">
        <v>1045</v>
      </c>
      <c r="K94" s="200" t="str">
        <f>_xlfn.CONCAT(I94,"-",J94)</f>
        <v>EC_GYE_UNA_SW_ACCESO_SEMVRA ECU-192.168.22.57</v>
      </c>
      <c r="L94" s="61" t="s">
        <v>1408</v>
      </c>
      <c r="M94" s="200" t="s">
        <v>1042</v>
      </c>
      <c r="N94" s="200" t="s">
        <v>1043</v>
      </c>
      <c r="O94" s="204" t="s">
        <v>1044</v>
      </c>
      <c r="P94" s="202" t="s">
        <v>1015</v>
      </c>
      <c r="Q94" s="202" t="s">
        <v>609</v>
      </c>
      <c r="R94" s="202" t="s">
        <v>610</v>
      </c>
      <c r="S94" s="200" t="s">
        <v>1046</v>
      </c>
      <c r="T94" s="200" t="s">
        <v>617</v>
      </c>
      <c r="U94" s="200" t="s">
        <v>1046</v>
      </c>
      <c r="V94" s="202"/>
    </row>
    <row r="95" spans="1:22" ht="15.75">
      <c r="A95" s="216">
        <v>122</v>
      </c>
      <c r="B95" s="202" t="s">
        <v>2078</v>
      </c>
      <c r="C95" s="99" t="s">
        <v>601</v>
      </c>
      <c r="D95" s="200" t="s">
        <v>1010</v>
      </c>
      <c r="E95" s="202" t="s">
        <v>929</v>
      </c>
      <c r="F95" s="202" t="str">
        <f>_xlfn.CONCAT(B95,"_",C95,"_",D95,"_",E95)</f>
        <v xml:space="preserve">EC_GYE_CHIVERIA_UNA </v>
      </c>
      <c r="G95" s="200" t="s">
        <v>630</v>
      </c>
      <c r="H95" s="202" t="s">
        <v>602</v>
      </c>
      <c r="I95" s="203" t="s">
        <v>2168</v>
      </c>
      <c r="J95" s="200"/>
      <c r="K95" s="200" t="str">
        <f>_xlfn.CONCAT(I95,"-",J95)</f>
        <v>EC_GYE_UNA_RO_PRIN_CHIVERIA-</v>
      </c>
      <c r="L95" s="61" t="s">
        <v>1408</v>
      </c>
      <c r="M95" s="200" t="s">
        <v>1011</v>
      </c>
      <c r="N95" s="200" t="s">
        <v>1047</v>
      </c>
      <c r="O95" s="200" t="s">
        <v>1048</v>
      </c>
      <c r="P95" s="202"/>
      <c r="Q95" s="202" t="s">
        <v>609</v>
      </c>
      <c r="R95" s="202" t="s">
        <v>610</v>
      </c>
      <c r="S95" s="200" t="s">
        <v>1047</v>
      </c>
      <c r="T95" s="200" t="s">
        <v>2146</v>
      </c>
      <c r="U95" s="200" t="s">
        <v>1047</v>
      </c>
      <c r="V95" s="202"/>
    </row>
    <row r="96" spans="1:22" ht="15.75">
      <c r="A96" s="216">
        <v>123</v>
      </c>
      <c r="B96" s="202" t="s">
        <v>2078</v>
      </c>
      <c r="C96" s="99" t="s">
        <v>601</v>
      </c>
      <c r="D96" s="200" t="s">
        <v>1010</v>
      </c>
      <c r="E96" s="202" t="s">
        <v>929</v>
      </c>
      <c r="F96" s="202" t="str">
        <f>_xlfn.CONCAT(B96,"_",C96,"_",D96,"_",E96)</f>
        <v xml:space="preserve">EC_GYE_CHIVERIA_UNA </v>
      </c>
      <c r="G96" s="200" t="s">
        <v>630</v>
      </c>
      <c r="H96" s="202" t="s">
        <v>602</v>
      </c>
      <c r="I96" s="203" t="s">
        <v>2170</v>
      </c>
      <c r="J96" s="200"/>
      <c r="K96" s="200" t="str">
        <f>_xlfn.CONCAT(I96,"-",J96)</f>
        <v>EC_GYE_UNA_RO_ROUT_CHIVERIA-</v>
      </c>
      <c r="L96" s="61" t="s">
        <v>1408</v>
      </c>
      <c r="M96" s="200" t="s">
        <v>1011</v>
      </c>
      <c r="N96" s="200" t="s">
        <v>1049</v>
      </c>
      <c r="O96" s="200" t="s">
        <v>1037</v>
      </c>
      <c r="P96" s="202"/>
      <c r="Q96" s="202" t="s">
        <v>609</v>
      </c>
      <c r="R96" s="202" t="s">
        <v>610</v>
      </c>
      <c r="S96" s="200" t="s">
        <v>1049</v>
      </c>
      <c r="T96" s="200" t="s">
        <v>2169</v>
      </c>
      <c r="U96" s="200" t="s">
        <v>1049</v>
      </c>
      <c r="V96" s="202" t="s">
        <v>1050</v>
      </c>
    </row>
    <row r="97" spans="1:22" ht="15.75">
      <c r="A97" s="216">
        <v>124</v>
      </c>
      <c r="B97" s="202" t="s">
        <v>2078</v>
      </c>
      <c r="C97" s="99" t="s">
        <v>601</v>
      </c>
      <c r="D97" s="200" t="s">
        <v>1010</v>
      </c>
      <c r="E97" s="202" t="s">
        <v>929</v>
      </c>
      <c r="F97" s="202" t="str">
        <f>_xlfn.CONCAT(B97,"_",C97,"_",D97,"_",E97)</f>
        <v xml:space="preserve">EC_GYE_CHIVERIA_UNA </v>
      </c>
      <c r="G97" s="200" t="s">
        <v>630</v>
      </c>
      <c r="H97" s="202" t="s">
        <v>602</v>
      </c>
      <c r="I97" s="203" t="s">
        <v>2170</v>
      </c>
      <c r="J97" s="200"/>
      <c r="K97" s="200" t="str">
        <f>_xlfn.CONCAT(I97,"-",J97)</f>
        <v>EC_GYE_UNA_RO_ROUT_CHIVERIA-</v>
      </c>
      <c r="L97" s="61" t="s">
        <v>1408</v>
      </c>
      <c r="M97" s="200" t="s">
        <v>1011</v>
      </c>
      <c r="N97" s="200" t="s">
        <v>1051</v>
      </c>
      <c r="O97" s="200" t="s">
        <v>1052</v>
      </c>
      <c r="P97" s="202"/>
      <c r="Q97" s="202" t="s">
        <v>609</v>
      </c>
      <c r="R97" s="202" t="s">
        <v>610</v>
      </c>
      <c r="S97" s="200" t="s">
        <v>1051</v>
      </c>
      <c r="T97" s="200" t="s">
        <v>2169</v>
      </c>
      <c r="U97" s="200" t="s">
        <v>1051</v>
      </c>
      <c r="V97" s="202"/>
    </row>
    <row r="98" spans="1:22" ht="15.75">
      <c r="A98" s="216">
        <v>125</v>
      </c>
      <c r="B98" s="202" t="s">
        <v>2078</v>
      </c>
      <c r="C98" s="99" t="s">
        <v>601</v>
      </c>
      <c r="D98" s="200" t="s">
        <v>1010</v>
      </c>
      <c r="E98" s="202" t="s">
        <v>929</v>
      </c>
      <c r="F98" s="202" t="str">
        <f>_xlfn.CONCAT(B98,"_",C98,"_",D98,"_",E98)</f>
        <v xml:space="preserve">EC_GYE_CHIVERIA_UNA </v>
      </c>
      <c r="G98" s="200" t="s">
        <v>630</v>
      </c>
      <c r="H98" s="202" t="s">
        <v>602</v>
      </c>
      <c r="I98" s="203" t="s">
        <v>2171</v>
      </c>
      <c r="J98" s="200"/>
      <c r="K98" s="200" t="str">
        <f>_xlfn.CONCAT(I98,"-",J98)</f>
        <v>EC_GYE_UNA_RO_ACCESO_CHIVERIA-</v>
      </c>
      <c r="L98" s="61" t="s">
        <v>1408</v>
      </c>
      <c r="M98" s="200" t="s">
        <v>1011</v>
      </c>
      <c r="N98" s="200" t="s">
        <v>1053</v>
      </c>
      <c r="O98" s="200" t="s">
        <v>1054</v>
      </c>
      <c r="P98" s="202"/>
      <c r="Q98" s="202" t="s">
        <v>609</v>
      </c>
      <c r="R98" s="202" t="s">
        <v>610</v>
      </c>
      <c r="S98" s="200" t="s">
        <v>1053</v>
      </c>
      <c r="T98" s="200" t="s">
        <v>617</v>
      </c>
      <c r="U98" s="200"/>
      <c r="V98" s="202"/>
    </row>
    <row r="99" spans="1:22" ht="31.5">
      <c r="A99" s="216">
        <v>126</v>
      </c>
      <c r="B99" s="202" t="s">
        <v>2078</v>
      </c>
      <c r="C99" s="99" t="s">
        <v>601</v>
      </c>
      <c r="D99" s="97" t="s">
        <v>2080</v>
      </c>
      <c r="E99" s="206" t="s">
        <v>929</v>
      </c>
      <c r="F99" s="202" t="str">
        <f>_xlfn.CONCAT(B99,"_",C99,"_",D99,"_",E99)</f>
        <v xml:space="preserve">EC_GYE_SEMVRA BABAHOYO_UNA </v>
      </c>
      <c r="G99" s="97" t="s">
        <v>604</v>
      </c>
      <c r="H99" s="206" t="s">
        <v>602</v>
      </c>
      <c r="I99" s="203" t="s">
        <v>2172</v>
      </c>
      <c r="J99" s="97" t="s">
        <v>1058</v>
      </c>
      <c r="K99" s="200" t="str">
        <f>_xlfn.CONCAT(I99,"-",J99)</f>
        <v>EC_GYE_UNA_SW_CORE_SEMVRA BABAHOYO-192.168.51.50</v>
      </c>
      <c r="L99" s="61" t="s">
        <v>1408</v>
      </c>
      <c r="M99" s="97" t="s">
        <v>1055</v>
      </c>
      <c r="N99" s="97" t="s">
        <v>1056</v>
      </c>
      <c r="O99" s="204" t="s">
        <v>1057</v>
      </c>
      <c r="P99" s="206" t="s">
        <v>1059</v>
      </c>
      <c r="Q99" s="206" t="s">
        <v>609</v>
      </c>
      <c r="R99" s="206" t="s">
        <v>610</v>
      </c>
      <c r="S99" s="97" t="s">
        <v>1056</v>
      </c>
      <c r="T99" s="97" t="s">
        <v>643</v>
      </c>
      <c r="U99" s="97" t="s">
        <v>1056</v>
      </c>
      <c r="V99" s="206"/>
    </row>
    <row r="100" spans="1:22" ht="31.5">
      <c r="A100" s="216">
        <v>127</v>
      </c>
      <c r="B100" s="202" t="s">
        <v>2078</v>
      </c>
      <c r="C100" s="99" t="s">
        <v>601</v>
      </c>
      <c r="D100" s="97" t="s">
        <v>2080</v>
      </c>
      <c r="E100" s="206" t="s">
        <v>929</v>
      </c>
      <c r="F100" s="202" t="str">
        <f>_xlfn.CONCAT(B100,"_",C100,"_",D100,"_",E100)</f>
        <v xml:space="preserve">EC_GYE_SEMVRA BABAHOYO_UNA </v>
      </c>
      <c r="G100" s="97" t="s">
        <v>604</v>
      </c>
      <c r="H100" s="206" t="s">
        <v>602</v>
      </c>
      <c r="I100" s="203" t="s">
        <v>2173</v>
      </c>
      <c r="J100" s="97" t="s">
        <v>1063</v>
      </c>
      <c r="K100" s="200" t="str">
        <f>_xlfn.CONCAT(I100,"-",J100)</f>
        <v>EC_GYE_UNA_SW_DISTRIBUCION_SEMVRA BABAHOYO-192.168.51.51</v>
      </c>
      <c r="L100" s="61" t="s">
        <v>1408</v>
      </c>
      <c r="M100" s="97" t="s">
        <v>1060</v>
      </c>
      <c r="N100" s="97" t="s">
        <v>1061</v>
      </c>
      <c r="O100" s="204" t="s">
        <v>1062</v>
      </c>
      <c r="P100" s="206" t="s">
        <v>1059</v>
      </c>
      <c r="Q100" s="206" t="s">
        <v>609</v>
      </c>
      <c r="R100" s="206" t="s">
        <v>610</v>
      </c>
      <c r="S100" s="97" t="s">
        <v>1061</v>
      </c>
      <c r="T100" s="97" t="s">
        <v>1064</v>
      </c>
      <c r="U100" s="97" t="s">
        <v>1061</v>
      </c>
      <c r="V100" s="206"/>
    </row>
    <row r="101" spans="1:22" ht="31.5">
      <c r="A101" s="216">
        <v>128</v>
      </c>
      <c r="B101" s="202" t="s">
        <v>2078</v>
      </c>
      <c r="C101" s="99" t="s">
        <v>601</v>
      </c>
      <c r="D101" s="97" t="s">
        <v>2080</v>
      </c>
      <c r="E101" s="206" t="s">
        <v>929</v>
      </c>
      <c r="F101" s="202" t="str">
        <f>_xlfn.CONCAT(B101,"_",C101,"_",D101,"_",E101)</f>
        <v xml:space="preserve">EC_GYE_SEMVRA BABAHOYO_UNA </v>
      </c>
      <c r="G101" s="97" t="s">
        <v>604</v>
      </c>
      <c r="H101" s="206" t="s">
        <v>602</v>
      </c>
      <c r="I101" s="203" t="s">
        <v>2174</v>
      </c>
      <c r="J101" s="97" t="s">
        <v>1068</v>
      </c>
      <c r="K101" s="200" t="str">
        <f>_xlfn.CONCAT(I101,"-",J101)</f>
        <v>EC_GYE_UNA_SW_ACCESO_SEMVRA BABAHOYO-192.168.51.45</v>
      </c>
      <c r="L101" s="61" t="s">
        <v>1408</v>
      </c>
      <c r="M101" s="97" t="s">
        <v>1065</v>
      </c>
      <c r="N101" s="97" t="s">
        <v>1066</v>
      </c>
      <c r="O101" s="237" t="s">
        <v>1067</v>
      </c>
      <c r="P101" s="206" t="s">
        <v>1059</v>
      </c>
      <c r="Q101" s="206" t="s">
        <v>609</v>
      </c>
      <c r="R101" s="206" t="s">
        <v>610</v>
      </c>
      <c r="S101" s="97" t="s">
        <v>1066</v>
      </c>
      <c r="T101" s="97" t="s">
        <v>617</v>
      </c>
      <c r="U101" s="97" t="s">
        <v>1066</v>
      </c>
      <c r="V101" s="206"/>
    </row>
    <row r="102" spans="1:22" ht="31.5">
      <c r="A102" s="216">
        <v>129</v>
      </c>
      <c r="B102" s="202" t="s">
        <v>2078</v>
      </c>
      <c r="C102" s="99" t="s">
        <v>601</v>
      </c>
      <c r="D102" s="97" t="s">
        <v>2080</v>
      </c>
      <c r="E102" s="206" t="s">
        <v>929</v>
      </c>
      <c r="F102" s="202" t="str">
        <f>_xlfn.CONCAT(B102,"_",C102,"_",D102,"_",E102)</f>
        <v xml:space="preserve">EC_GYE_SEMVRA BABAHOYO_UNA </v>
      </c>
      <c r="G102" s="97" t="s">
        <v>604</v>
      </c>
      <c r="H102" s="206" t="s">
        <v>602</v>
      </c>
      <c r="I102" s="203" t="s">
        <v>2173</v>
      </c>
      <c r="J102" s="97" t="s">
        <v>1071</v>
      </c>
      <c r="K102" s="200" t="str">
        <f>_xlfn.CONCAT(I102,"-",J102)</f>
        <v>EC_GYE_UNA_SW_DISTRIBUCION_SEMVRA BABAHOYO-192.168.51.54</v>
      </c>
      <c r="L102" s="61" t="s">
        <v>1408</v>
      </c>
      <c r="M102" s="97" t="s">
        <v>1069</v>
      </c>
      <c r="N102" s="97" t="s">
        <v>1032</v>
      </c>
      <c r="O102" s="204" t="s">
        <v>1070</v>
      </c>
      <c r="P102" s="206" t="s">
        <v>1059</v>
      </c>
      <c r="Q102" s="206" t="s">
        <v>609</v>
      </c>
      <c r="R102" s="206" t="s">
        <v>610</v>
      </c>
      <c r="S102" s="97" t="s">
        <v>1032</v>
      </c>
      <c r="T102" s="97" t="s">
        <v>1064</v>
      </c>
      <c r="U102" s="97" t="s">
        <v>1032</v>
      </c>
      <c r="V102" s="206"/>
    </row>
    <row r="103" spans="1:22" ht="31.5">
      <c r="A103" s="216">
        <v>130</v>
      </c>
      <c r="B103" s="202" t="s">
        <v>2078</v>
      </c>
      <c r="C103" s="99" t="s">
        <v>601</v>
      </c>
      <c r="D103" s="97" t="s">
        <v>2080</v>
      </c>
      <c r="E103" s="206" t="s">
        <v>929</v>
      </c>
      <c r="F103" s="202" t="str">
        <f>_xlfn.CONCAT(B103,"_",C103,"_",D103,"_",E103)</f>
        <v xml:space="preserve">EC_GYE_SEMVRA BABAHOYO_UNA </v>
      </c>
      <c r="G103" s="97" t="s">
        <v>604</v>
      </c>
      <c r="H103" s="206" t="s">
        <v>602</v>
      </c>
      <c r="I103" s="203" t="s">
        <v>2173</v>
      </c>
      <c r="J103" s="97" t="s">
        <v>1075</v>
      </c>
      <c r="K103" s="200" t="str">
        <f>_xlfn.CONCAT(I103,"-",J103)</f>
        <v>EC_GYE_UNA_SW_DISTRIBUCION_SEMVRA BABAHOYO-192.168.51.40</v>
      </c>
      <c r="L103" s="61" t="s">
        <v>1408</v>
      </c>
      <c r="M103" s="97" t="s">
        <v>1072</v>
      </c>
      <c r="N103" s="97" t="s">
        <v>1073</v>
      </c>
      <c r="O103" s="204" t="s">
        <v>1074</v>
      </c>
      <c r="P103" s="206" t="s">
        <v>1059</v>
      </c>
      <c r="Q103" s="206" t="s">
        <v>609</v>
      </c>
      <c r="R103" s="206" t="s">
        <v>610</v>
      </c>
      <c r="S103" s="97" t="s">
        <v>1073</v>
      </c>
      <c r="T103" s="97" t="s">
        <v>1064</v>
      </c>
      <c r="U103" s="97" t="s">
        <v>1073</v>
      </c>
      <c r="V103" s="206"/>
    </row>
    <row r="104" spans="1:22" ht="31.5">
      <c r="A104" s="216">
        <v>131</v>
      </c>
      <c r="B104" s="202" t="s">
        <v>2078</v>
      </c>
      <c r="C104" s="99" t="s">
        <v>601</v>
      </c>
      <c r="D104" s="97" t="s">
        <v>2080</v>
      </c>
      <c r="E104" s="206" t="s">
        <v>929</v>
      </c>
      <c r="F104" s="202" t="str">
        <f>_xlfn.CONCAT(B104,"_",C104,"_",D104,"_",E104)</f>
        <v xml:space="preserve">EC_GYE_SEMVRA BABAHOYO_UNA </v>
      </c>
      <c r="G104" s="97" t="s">
        <v>604</v>
      </c>
      <c r="H104" s="206" t="s">
        <v>602</v>
      </c>
      <c r="I104" s="203" t="s">
        <v>2173</v>
      </c>
      <c r="J104" s="97" t="s">
        <v>1078</v>
      </c>
      <c r="K104" s="200" t="str">
        <f>_xlfn.CONCAT(I104,"-",J104)</f>
        <v>EC_GYE_UNA_SW_DISTRIBUCION_SEMVRA BABAHOYO-192.168.51.55</v>
      </c>
      <c r="L104" s="61" t="s">
        <v>1408</v>
      </c>
      <c r="M104" s="97" t="s">
        <v>1069</v>
      </c>
      <c r="N104" s="97" t="s">
        <v>1076</v>
      </c>
      <c r="O104" s="204" t="s">
        <v>1077</v>
      </c>
      <c r="P104" s="206" t="s">
        <v>1059</v>
      </c>
      <c r="Q104" s="206" t="s">
        <v>609</v>
      </c>
      <c r="R104" s="206" t="s">
        <v>610</v>
      </c>
      <c r="S104" s="97" t="s">
        <v>1076</v>
      </c>
      <c r="T104" s="97" t="s">
        <v>1064</v>
      </c>
      <c r="U104" s="97" t="s">
        <v>1076</v>
      </c>
      <c r="V104" s="206"/>
    </row>
    <row r="105" spans="1:22" ht="15.75">
      <c r="A105" s="216">
        <v>132</v>
      </c>
      <c r="B105" s="202" t="s">
        <v>2078</v>
      </c>
      <c r="C105" s="99" t="s">
        <v>601</v>
      </c>
      <c r="D105" s="200" t="s">
        <v>2175</v>
      </c>
      <c r="E105" s="202" t="s">
        <v>929</v>
      </c>
      <c r="F105" s="202" t="str">
        <f>_xlfn.CONCAT(B105,"_",C105,"_",D105,"_",E105)</f>
        <v xml:space="preserve">EC_GYE_SEMVRA SABANILA_UNA </v>
      </c>
      <c r="G105" s="200" t="s">
        <v>604</v>
      </c>
      <c r="H105" s="202" t="s">
        <v>602</v>
      </c>
      <c r="I105" s="203" t="s">
        <v>2176</v>
      </c>
      <c r="J105" s="200" t="s">
        <v>1081</v>
      </c>
      <c r="K105" s="200" t="str">
        <f>_xlfn.CONCAT(I105,"-",J105)</f>
        <v>EC_GYE_UNA_SW_CORE_SEMVRA SABANILA-192.168.23.53</v>
      </c>
      <c r="L105" s="61" t="s">
        <v>1408</v>
      </c>
      <c r="M105" s="200" t="s">
        <v>553</v>
      </c>
      <c r="N105" s="200" t="s">
        <v>1079</v>
      </c>
      <c r="O105" s="204" t="s">
        <v>1080</v>
      </c>
      <c r="P105" s="202" t="s">
        <v>1082</v>
      </c>
      <c r="Q105" s="202" t="s">
        <v>609</v>
      </c>
      <c r="R105" s="202" t="s">
        <v>610</v>
      </c>
      <c r="S105" s="200" t="s">
        <v>1079</v>
      </c>
      <c r="T105" s="200" t="s">
        <v>643</v>
      </c>
      <c r="U105" s="200" t="s">
        <v>1079</v>
      </c>
      <c r="V105" s="202" t="s">
        <v>1083</v>
      </c>
    </row>
    <row r="106" spans="1:22" ht="15.75">
      <c r="A106" s="216">
        <v>133</v>
      </c>
      <c r="B106" s="202" t="s">
        <v>2078</v>
      </c>
      <c r="C106" s="99" t="s">
        <v>601</v>
      </c>
      <c r="D106" s="200" t="s">
        <v>2175</v>
      </c>
      <c r="E106" s="202" t="s">
        <v>929</v>
      </c>
      <c r="F106" s="202" t="str">
        <f>_xlfn.CONCAT(B106,"_",C106,"_",D106,"_",E106)</f>
        <v xml:space="preserve">EC_GYE_SEMVRA SABANILA_UNA </v>
      </c>
      <c r="G106" s="200" t="s">
        <v>630</v>
      </c>
      <c r="H106" s="202" t="s">
        <v>602</v>
      </c>
      <c r="I106" s="203" t="s">
        <v>2177</v>
      </c>
      <c r="J106" s="200"/>
      <c r="K106" s="200" t="str">
        <f>_xlfn.CONCAT(I106,"-",J106)</f>
        <v>EC_GYE_UNA_RO_PRIN_SEMVRA SABANILA-</v>
      </c>
      <c r="L106" s="61" t="s">
        <v>1408</v>
      </c>
      <c r="M106" s="200" t="s">
        <v>553</v>
      </c>
      <c r="N106" s="200" t="s">
        <v>1084</v>
      </c>
      <c r="O106" s="200" t="s">
        <v>1085</v>
      </c>
      <c r="P106" s="202"/>
      <c r="Q106" s="202" t="s">
        <v>609</v>
      </c>
      <c r="R106" s="202" t="s">
        <v>682</v>
      </c>
      <c r="S106" s="200" t="s">
        <v>1084</v>
      </c>
      <c r="T106" s="200" t="s">
        <v>2146</v>
      </c>
      <c r="U106" s="200" t="s">
        <v>1084</v>
      </c>
      <c r="V106" s="202"/>
    </row>
    <row r="107" spans="1:22" ht="15.75">
      <c r="A107" s="216">
        <v>134</v>
      </c>
      <c r="B107" s="202" t="s">
        <v>2078</v>
      </c>
      <c r="C107" s="206" t="s">
        <v>904</v>
      </c>
      <c r="D107" s="97" t="s">
        <v>2178</v>
      </c>
      <c r="E107" s="206" t="s">
        <v>929</v>
      </c>
      <c r="F107" s="202" t="str">
        <f>_xlfn.CONCAT(B107,"_",C107,"_",D107,"_",E107)</f>
        <v xml:space="preserve">EC_UIO_SEMVRA CHIVERIA_UNA </v>
      </c>
      <c r="G107" s="97" t="s">
        <v>604</v>
      </c>
      <c r="H107" s="206" t="s">
        <v>602</v>
      </c>
      <c r="I107" s="203" t="s">
        <v>2179</v>
      </c>
      <c r="J107" s="97" t="s">
        <v>1088</v>
      </c>
      <c r="K107" s="200" t="str">
        <f>_xlfn.CONCAT(I107,"-",J107)</f>
        <v>EC_UIO_UNA_SW_CORE_SEMVRA CHIVERIA-192.168.101.1</v>
      </c>
      <c r="L107" s="61" t="s">
        <v>1408</v>
      </c>
      <c r="M107" s="97" t="s">
        <v>1072</v>
      </c>
      <c r="N107" s="97" t="s">
        <v>1086</v>
      </c>
      <c r="O107" s="204" t="s">
        <v>1087</v>
      </c>
      <c r="P107" s="206" t="s">
        <v>1089</v>
      </c>
      <c r="Q107" s="206" t="s">
        <v>609</v>
      </c>
      <c r="R107" s="206" t="s">
        <v>610</v>
      </c>
      <c r="S107" s="97" t="s">
        <v>1086</v>
      </c>
      <c r="T107" s="97" t="s">
        <v>643</v>
      </c>
      <c r="U107" s="97" t="s">
        <v>1086</v>
      </c>
      <c r="V107" s="206"/>
    </row>
    <row r="108" spans="1:22" ht="15.75">
      <c r="A108" s="216">
        <v>135</v>
      </c>
      <c r="B108" s="202" t="s">
        <v>2078</v>
      </c>
      <c r="C108" s="206" t="s">
        <v>904</v>
      </c>
      <c r="D108" s="97" t="s">
        <v>1391</v>
      </c>
      <c r="E108" s="206" t="s">
        <v>561</v>
      </c>
      <c r="F108" s="202" t="str">
        <f>_xlfn.CONCAT(B108,"_",C108,"_",D108,"_",E108)</f>
        <v xml:space="preserve">EC_UIO_LA LLAVE_UNS </v>
      </c>
      <c r="G108" s="97" t="s">
        <v>604</v>
      </c>
      <c r="H108" s="206" t="s">
        <v>602</v>
      </c>
      <c r="I108" s="203" t="s">
        <v>2180</v>
      </c>
      <c r="J108" s="97" t="s">
        <v>1093</v>
      </c>
      <c r="K108" s="200" t="str">
        <f>_xlfn.CONCAT(I108,"-",J108)</f>
        <v>EC_UIO_UNS_SW_CORE_LA LLAVE-192.168.107.1</v>
      </c>
      <c r="L108" s="61" t="s">
        <v>1408</v>
      </c>
      <c r="M108" s="97" t="s">
        <v>1090</v>
      </c>
      <c r="N108" s="97" t="s">
        <v>1091</v>
      </c>
      <c r="O108" s="204" t="s">
        <v>1092</v>
      </c>
      <c r="P108" s="206" t="s">
        <v>1094</v>
      </c>
      <c r="Q108" s="206" t="s">
        <v>609</v>
      </c>
      <c r="R108" s="206" t="s">
        <v>610</v>
      </c>
      <c r="S108" s="97" t="s">
        <v>1091</v>
      </c>
      <c r="T108" s="97" t="s">
        <v>643</v>
      </c>
      <c r="U108" s="97" t="s">
        <v>1091</v>
      </c>
      <c r="V108" s="206"/>
    </row>
    <row r="109" spans="1:22" ht="15.75">
      <c r="A109" s="223">
        <v>136</v>
      </c>
      <c r="B109" s="202" t="s">
        <v>2078</v>
      </c>
      <c r="C109" s="231" t="s">
        <v>904</v>
      </c>
      <c r="D109" s="164" t="s">
        <v>1391</v>
      </c>
      <c r="E109" s="231" t="s">
        <v>561</v>
      </c>
      <c r="F109" s="202" t="str">
        <f>_xlfn.CONCAT(B109,"_",C109,"_",D109,"_",E109)</f>
        <v xml:space="preserve">EC_UIO_LA LLAVE_UNS </v>
      </c>
      <c r="G109" s="164" t="s">
        <v>604</v>
      </c>
      <c r="H109" s="231" t="s">
        <v>602</v>
      </c>
      <c r="I109" s="221" t="s">
        <v>2182</v>
      </c>
      <c r="J109" s="164" t="s">
        <v>1097</v>
      </c>
      <c r="K109" s="200" t="str">
        <f>_xlfn.CONCAT(I109,"-",J109)</f>
        <v>EC_UIO_UNS_SW_ACCE_LA LLAVE-192.168.107.4</v>
      </c>
      <c r="L109" s="61" t="s">
        <v>1408</v>
      </c>
      <c r="M109" s="164" t="s">
        <v>1090</v>
      </c>
      <c r="N109" s="164" t="s">
        <v>1095</v>
      </c>
      <c r="O109" s="226" t="s">
        <v>1096</v>
      </c>
      <c r="P109" s="231" t="s">
        <v>1094</v>
      </c>
      <c r="Q109" s="231" t="s">
        <v>609</v>
      </c>
      <c r="R109" s="231" t="s">
        <v>610</v>
      </c>
      <c r="S109" s="164" t="s">
        <v>1095</v>
      </c>
      <c r="T109" s="164" t="s">
        <v>2181</v>
      </c>
      <c r="U109" s="164" t="s">
        <v>1095</v>
      </c>
      <c r="V109" s="231"/>
    </row>
    <row r="110" spans="1:22" ht="15.75">
      <c r="A110" s="224">
        <v>137</v>
      </c>
      <c r="B110" s="202" t="s">
        <v>2078</v>
      </c>
      <c r="C110" s="232" t="s">
        <v>904</v>
      </c>
      <c r="D110" s="165" t="s">
        <v>1391</v>
      </c>
      <c r="E110" s="232" t="s">
        <v>561</v>
      </c>
      <c r="F110" s="202" t="str">
        <f>_xlfn.CONCAT(B110,"_",C110,"_",D110,"_",E110)</f>
        <v xml:space="preserve">EC_UIO_LA LLAVE_UNS </v>
      </c>
      <c r="G110" s="165" t="s">
        <v>604</v>
      </c>
      <c r="H110" s="232" t="s">
        <v>602</v>
      </c>
      <c r="I110" s="222" t="s">
        <v>2182</v>
      </c>
      <c r="J110" s="165" t="s">
        <v>1100</v>
      </c>
      <c r="K110" s="200" t="str">
        <f>_xlfn.CONCAT(I110,"-",J110)</f>
        <v>EC_UIO_UNS_SW_ACCE_LA LLAVE-192.168.107.5</v>
      </c>
      <c r="L110" s="61" t="s">
        <v>1408</v>
      </c>
      <c r="M110" s="165" t="s">
        <v>1090</v>
      </c>
      <c r="N110" s="165" t="s">
        <v>1098</v>
      </c>
      <c r="O110" s="227" t="s">
        <v>1099</v>
      </c>
      <c r="P110" s="232" t="s">
        <v>1094</v>
      </c>
      <c r="Q110" s="232" t="s">
        <v>609</v>
      </c>
      <c r="R110" s="232" t="s">
        <v>610</v>
      </c>
      <c r="S110" s="165" t="s">
        <v>1098</v>
      </c>
      <c r="T110" s="165" t="s">
        <v>2181</v>
      </c>
      <c r="U110" s="165" t="s">
        <v>1098</v>
      </c>
      <c r="V110" s="232"/>
    </row>
    <row r="111" spans="1:22" ht="15.75">
      <c r="A111" s="216">
        <v>138</v>
      </c>
      <c r="B111" s="202" t="s">
        <v>2078</v>
      </c>
      <c r="C111" s="206" t="s">
        <v>904</v>
      </c>
      <c r="D111" s="97" t="s">
        <v>1391</v>
      </c>
      <c r="E111" s="206" t="s">
        <v>561</v>
      </c>
      <c r="F111" s="202" t="str">
        <f>_xlfn.CONCAT(B111,"_",C111,"_",D111,"_",E111)</f>
        <v xml:space="preserve">EC_UIO_LA LLAVE_UNS </v>
      </c>
      <c r="G111" s="97" t="s">
        <v>604</v>
      </c>
      <c r="H111" s="206" t="s">
        <v>602</v>
      </c>
      <c r="I111" s="203" t="s">
        <v>2183</v>
      </c>
      <c r="J111" s="97" t="s">
        <v>1103</v>
      </c>
      <c r="K111" s="200" t="str">
        <f>_xlfn.CONCAT(I111,"-",J111)</f>
        <v>EC_UIO_UNS_SW_DIST_LA LLAVE-192.168.107.11</v>
      </c>
      <c r="L111" s="61" t="s">
        <v>1408</v>
      </c>
      <c r="M111" s="97" t="s">
        <v>1090</v>
      </c>
      <c r="N111" s="97" t="s">
        <v>1101</v>
      </c>
      <c r="O111" s="204" t="s">
        <v>1102</v>
      </c>
      <c r="P111" s="206" t="s">
        <v>1094</v>
      </c>
      <c r="Q111" s="206" t="s">
        <v>609</v>
      </c>
      <c r="R111" s="206" t="s">
        <v>610</v>
      </c>
      <c r="S111" s="97" t="s">
        <v>1101</v>
      </c>
      <c r="T111" s="97" t="s">
        <v>611</v>
      </c>
      <c r="U111" s="97" t="s">
        <v>1101</v>
      </c>
      <c r="V111" s="206"/>
    </row>
    <row r="112" spans="1:22" ht="15.75">
      <c r="A112" s="216">
        <v>139</v>
      </c>
      <c r="B112" s="202" t="s">
        <v>2078</v>
      </c>
      <c r="C112" s="206" t="s">
        <v>904</v>
      </c>
      <c r="D112" s="97" t="s">
        <v>1391</v>
      </c>
      <c r="E112" s="206" t="s">
        <v>561</v>
      </c>
      <c r="F112" s="202" t="str">
        <f>_xlfn.CONCAT(B112,"_",C112,"_",D112,"_",E112)</f>
        <v xml:space="preserve">EC_UIO_LA LLAVE_UNS </v>
      </c>
      <c r="G112" s="97" t="s">
        <v>604</v>
      </c>
      <c r="H112" s="206" t="s">
        <v>602</v>
      </c>
      <c r="I112" s="203" t="s">
        <v>2183</v>
      </c>
      <c r="J112" s="218">
        <v>192168121252</v>
      </c>
      <c r="K112" s="200" t="str">
        <f>_xlfn.CONCAT(I112,"-",J112)</f>
        <v>EC_UIO_UNS_SW_DIST_LA LLAVE-192168121252</v>
      </c>
      <c r="L112" s="61" t="s">
        <v>1408</v>
      </c>
      <c r="M112" s="97" t="s">
        <v>1090</v>
      </c>
      <c r="N112" s="97" t="s">
        <v>1104</v>
      </c>
      <c r="O112" s="204" t="s">
        <v>372</v>
      </c>
      <c r="P112" s="206" t="s">
        <v>1094</v>
      </c>
      <c r="Q112" s="206" t="s">
        <v>609</v>
      </c>
      <c r="R112" s="206" t="s">
        <v>610</v>
      </c>
      <c r="S112" s="97" t="s">
        <v>1104</v>
      </c>
      <c r="T112" s="97" t="s">
        <v>611</v>
      </c>
      <c r="U112" s="97" t="s">
        <v>1104</v>
      </c>
      <c r="V112" s="206"/>
    </row>
    <row r="113" spans="1:22" ht="15.75">
      <c r="A113" s="216">
        <v>140</v>
      </c>
      <c r="B113" s="202" t="s">
        <v>2078</v>
      </c>
      <c r="C113" s="206" t="s">
        <v>904</v>
      </c>
      <c r="D113" s="97" t="s">
        <v>1391</v>
      </c>
      <c r="E113" s="206" t="s">
        <v>561</v>
      </c>
      <c r="F113" s="202" t="str">
        <f>_xlfn.CONCAT(B113,"_",C113,"_",D113,"_",E113)</f>
        <v xml:space="preserve">EC_UIO_LA LLAVE_UNS </v>
      </c>
      <c r="G113" s="97" t="s">
        <v>604</v>
      </c>
      <c r="H113" s="206" t="s">
        <v>602</v>
      </c>
      <c r="I113" s="203" t="s">
        <v>2183</v>
      </c>
      <c r="J113" s="218">
        <v>192168121253</v>
      </c>
      <c r="K113" s="200" t="str">
        <f>_xlfn.CONCAT(I113,"-",J113)</f>
        <v>EC_UIO_UNS_SW_DIST_LA LLAVE-192168121253</v>
      </c>
      <c r="L113" s="61" t="s">
        <v>1408</v>
      </c>
      <c r="M113" s="97" t="s">
        <v>1090</v>
      </c>
      <c r="N113" s="97" t="s">
        <v>1105</v>
      </c>
      <c r="O113" s="204" t="s">
        <v>1106</v>
      </c>
      <c r="P113" s="206" t="s">
        <v>1094</v>
      </c>
      <c r="Q113" s="206" t="s">
        <v>609</v>
      </c>
      <c r="R113" s="206" t="s">
        <v>610</v>
      </c>
      <c r="S113" s="97" t="s">
        <v>1105</v>
      </c>
      <c r="T113" s="97" t="s">
        <v>611</v>
      </c>
      <c r="U113" s="97" t="s">
        <v>1105</v>
      </c>
      <c r="V113" s="206"/>
    </row>
    <row r="114" spans="1:22" ht="15.75">
      <c r="A114" s="216">
        <v>141</v>
      </c>
      <c r="B114" s="202" t="s">
        <v>2078</v>
      </c>
      <c r="C114" s="206" t="s">
        <v>904</v>
      </c>
      <c r="D114" s="97" t="s">
        <v>1391</v>
      </c>
      <c r="E114" s="206" t="s">
        <v>561</v>
      </c>
      <c r="F114" s="202" t="str">
        <f>_xlfn.CONCAT(B114,"_",C114,"_",D114,"_",E114)</f>
        <v xml:space="preserve">EC_UIO_LA LLAVE_UNS </v>
      </c>
      <c r="G114" s="97" t="s">
        <v>604</v>
      </c>
      <c r="H114" s="206" t="s">
        <v>602</v>
      </c>
      <c r="I114" s="203" t="s">
        <v>2183</v>
      </c>
      <c r="J114" s="218">
        <v>192168121254</v>
      </c>
      <c r="K114" s="200" t="str">
        <f>_xlfn.CONCAT(I114,"-",J114)</f>
        <v>EC_UIO_UNS_SW_DIST_LA LLAVE-192168121254</v>
      </c>
      <c r="L114" s="61" t="s">
        <v>1408</v>
      </c>
      <c r="M114" s="97" t="s">
        <v>1090</v>
      </c>
      <c r="N114" s="97" t="s">
        <v>1107</v>
      </c>
      <c r="O114" s="204" t="s">
        <v>1108</v>
      </c>
      <c r="P114" s="206" t="s">
        <v>1094</v>
      </c>
      <c r="Q114" s="206" t="s">
        <v>609</v>
      </c>
      <c r="R114" s="206" t="s">
        <v>610</v>
      </c>
      <c r="S114" s="97" t="s">
        <v>1107</v>
      </c>
      <c r="T114" s="97" t="s">
        <v>611</v>
      </c>
      <c r="U114" s="97" t="s">
        <v>1107</v>
      </c>
      <c r="V114" s="206"/>
    </row>
    <row r="115" spans="1:22" ht="15.75">
      <c r="A115" s="216">
        <v>142</v>
      </c>
      <c r="B115" s="202" t="s">
        <v>2078</v>
      </c>
      <c r="C115" s="206" t="s">
        <v>904</v>
      </c>
      <c r="D115" s="97" t="s">
        <v>1391</v>
      </c>
      <c r="E115" s="206" t="s">
        <v>561</v>
      </c>
      <c r="F115" s="202" t="str">
        <f>_xlfn.CONCAT(B115,"_",C115,"_",D115,"_",E115)</f>
        <v xml:space="preserve">EC_UIO_LA LLAVE_UNS </v>
      </c>
      <c r="G115" s="97" t="s">
        <v>604</v>
      </c>
      <c r="H115" s="206" t="s">
        <v>602</v>
      </c>
      <c r="I115" s="203" t="s">
        <v>2183</v>
      </c>
      <c r="J115" s="218">
        <v>192168121251</v>
      </c>
      <c r="K115" s="200" t="str">
        <f>_xlfn.CONCAT(I115,"-",J115)</f>
        <v>EC_UIO_UNS_SW_DIST_LA LLAVE-192168121251</v>
      </c>
      <c r="L115" s="61" t="s">
        <v>1408</v>
      </c>
      <c r="M115" s="97" t="s">
        <v>1109</v>
      </c>
      <c r="N115" s="97" t="s">
        <v>1110</v>
      </c>
      <c r="O115" s="204" t="s">
        <v>1111</v>
      </c>
      <c r="P115" s="206" t="s">
        <v>1094</v>
      </c>
      <c r="Q115" s="206" t="s">
        <v>609</v>
      </c>
      <c r="R115" s="206" t="s">
        <v>610</v>
      </c>
      <c r="S115" s="97" t="s">
        <v>1110</v>
      </c>
      <c r="T115" s="97" t="s">
        <v>611</v>
      </c>
      <c r="U115" s="97" t="s">
        <v>1110</v>
      </c>
      <c r="V115" s="206"/>
    </row>
    <row r="116" spans="1:22" ht="15.75">
      <c r="A116" s="216">
        <v>143</v>
      </c>
      <c r="B116" s="202" t="s">
        <v>2078</v>
      </c>
      <c r="C116" s="206" t="s">
        <v>904</v>
      </c>
      <c r="D116" s="97" t="s">
        <v>1391</v>
      </c>
      <c r="E116" s="206" t="s">
        <v>561</v>
      </c>
      <c r="F116" s="202" t="str">
        <f>_xlfn.CONCAT(B116,"_",C116,"_",D116,"_",E116)</f>
        <v xml:space="preserve">EC_UIO_LA LLAVE_UNS </v>
      </c>
      <c r="G116" s="97" t="s">
        <v>604</v>
      </c>
      <c r="H116" s="206" t="s">
        <v>602</v>
      </c>
      <c r="I116" s="203" t="s">
        <v>2185</v>
      </c>
      <c r="J116" s="97" t="s">
        <v>1114</v>
      </c>
      <c r="K116" s="200" t="str">
        <f>_xlfn.CONCAT(I116,"-",J116)</f>
        <v>EC_UIO_UNS_SW_DIST_NOADM_LA LLAVE-192.168.170.70</v>
      </c>
      <c r="L116" s="61" t="s">
        <v>1408</v>
      </c>
      <c r="M116" s="97" t="s">
        <v>1109</v>
      </c>
      <c r="N116" s="97" t="s">
        <v>1112</v>
      </c>
      <c r="O116" s="204" t="s">
        <v>1113</v>
      </c>
      <c r="P116" s="206" t="s">
        <v>1115</v>
      </c>
      <c r="Q116" s="206" t="s">
        <v>609</v>
      </c>
      <c r="R116" s="206" t="s">
        <v>610</v>
      </c>
      <c r="S116" s="97" t="s">
        <v>1112</v>
      </c>
      <c r="T116" s="97" t="s">
        <v>2184</v>
      </c>
      <c r="U116" s="97" t="s">
        <v>1112</v>
      </c>
      <c r="V116" s="206"/>
    </row>
    <row r="117" spans="1:22" ht="15.75">
      <c r="A117" s="216">
        <v>144</v>
      </c>
      <c r="B117" s="202" t="s">
        <v>2078</v>
      </c>
      <c r="C117" s="206" t="s">
        <v>904</v>
      </c>
      <c r="D117" s="97" t="s">
        <v>1391</v>
      </c>
      <c r="E117" s="206" t="s">
        <v>561</v>
      </c>
      <c r="F117" s="202" t="str">
        <f>_xlfn.CONCAT(B117,"_",C117,"_",D117,"_",E117)</f>
        <v xml:space="preserve">EC_UIO_LA LLAVE_UNS </v>
      </c>
      <c r="G117" s="97" t="s">
        <v>630</v>
      </c>
      <c r="H117" s="206" t="s">
        <v>602</v>
      </c>
      <c r="I117" s="203" t="s">
        <v>2187</v>
      </c>
      <c r="J117" s="97"/>
      <c r="K117" s="200" t="str">
        <f>_xlfn.CONCAT(I117,"-",J117)</f>
        <v>EC_UIO_UNS_RO_ROUTPRIN_LA LLAVE-</v>
      </c>
      <c r="L117" s="61" t="s">
        <v>1408</v>
      </c>
      <c r="M117" s="97" t="s">
        <v>1116</v>
      </c>
      <c r="N117" s="97" t="s">
        <v>1117</v>
      </c>
      <c r="O117" s="204" t="s">
        <v>1118</v>
      </c>
      <c r="P117" s="206"/>
      <c r="Q117" s="206" t="s">
        <v>609</v>
      </c>
      <c r="R117" s="206" t="s">
        <v>610</v>
      </c>
      <c r="S117" s="97" t="s">
        <v>1117</v>
      </c>
      <c r="T117" s="97" t="s">
        <v>2186</v>
      </c>
      <c r="U117" s="97" t="s">
        <v>1119</v>
      </c>
      <c r="V117" s="206"/>
    </row>
    <row r="118" spans="1:22" ht="15.75">
      <c r="A118" s="216">
        <v>145</v>
      </c>
      <c r="B118" s="202" t="s">
        <v>2078</v>
      </c>
      <c r="C118" s="206" t="s">
        <v>904</v>
      </c>
      <c r="D118" s="97" t="s">
        <v>1391</v>
      </c>
      <c r="E118" s="206" t="s">
        <v>561</v>
      </c>
      <c r="F118" s="202" t="str">
        <f>_xlfn.CONCAT(B118,"_",C118,"_",D118,"_",E118)</f>
        <v xml:space="preserve">EC_UIO_LA LLAVE_UNS </v>
      </c>
      <c r="G118" s="97" t="s">
        <v>630</v>
      </c>
      <c r="H118" s="206" t="s">
        <v>602</v>
      </c>
      <c r="I118" s="203" t="s">
        <v>2189</v>
      </c>
      <c r="J118" s="97"/>
      <c r="K118" s="200" t="str">
        <f>_xlfn.CONCAT(I118,"-",J118)</f>
        <v>EC_UIO_UNS_RO_ROUTBACK_LA LLAVE-</v>
      </c>
      <c r="L118" s="61" t="s">
        <v>1408</v>
      </c>
      <c r="M118" s="97" t="s">
        <v>1116</v>
      </c>
      <c r="N118" s="97" t="s">
        <v>1120</v>
      </c>
      <c r="O118" s="204" t="s">
        <v>1121</v>
      </c>
      <c r="P118" s="206"/>
      <c r="Q118" s="206" t="s">
        <v>609</v>
      </c>
      <c r="R118" s="206" t="s">
        <v>610</v>
      </c>
      <c r="S118" s="97" t="s">
        <v>1120</v>
      </c>
      <c r="T118" s="97" t="s">
        <v>2188</v>
      </c>
      <c r="U118" s="97" t="s">
        <v>1122</v>
      </c>
      <c r="V118" s="206"/>
    </row>
    <row r="119" spans="1:22" ht="31.5">
      <c r="A119" s="216">
        <v>153</v>
      </c>
      <c r="B119" s="202" t="s">
        <v>2078</v>
      </c>
      <c r="C119" s="202" t="s">
        <v>601</v>
      </c>
      <c r="D119" s="200" t="s">
        <v>2081</v>
      </c>
      <c r="E119" s="202" t="s">
        <v>561</v>
      </c>
      <c r="F119" s="202" t="str">
        <f>_xlfn.CONCAT(B119,"_",C119,"_",D119,"_",E119)</f>
        <v xml:space="preserve">EC_GYE_LA LLAVE - ECUAIMCO_UNS </v>
      </c>
      <c r="G119" s="200" t="s">
        <v>604</v>
      </c>
      <c r="H119" s="202" t="s">
        <v>602</v>
      </c>
      <c r="I119" s="203" t="s">
        <v>2197</v>
      </c>
      <c r="J119" s="200" t="s">
        <v>1134</v>
      </c>
      <c r="K119" s="200" t="str">
        <f>_xlfn.CONCAT(I119,"-",J119)</f>
        <v xml:space="preserve">EC_GYE_UNS_SW_CORE_LA LLAVE - ECUAIMCO-192.168.105.6 </v>
      </c>
      <c r="L119" s="61" t="s">
        <v>1408</v>
      </c>
      <c r="M119" s="200" t="s">
        <v>1090</v>
      </c>
      <c r="N119" s="200" t="s">
        <v>1132</v>
      </c>
      <c r="O119" s="204" t="s">
        <v>1133</v>
      </c>
      <c r="P119" s="202" t="s">
        <v>1135</v>
      </c>
      <c r="Q119" s="202" t="s">
        <v>609</v>
      </c>
      <c r="R119" s="202" t="s">
        <v>610</v>
      </c>
      <c r="S119" s="200" t="s">
        <v>1132</v>
      </c>
      <c r="T119" s="200" t="s">
        <v>643</v>
      </c>
      <c r="U119" s="200" t="s">
        <v>1132</v>
      </c>
      <c r="V119" s="202"/>
    </row>
    <row r="120" spans="1:22" ht="31.5">
      <c r="A120" s="216">
        <v>154</v>
      </c>
      <c r="B120" s="202" t="s">
        <v>2078</v>
      </c>
      <c r="C120" s="202" t="s">
        <v>601</v>
      </c>
      <c r="D120" s="200" t="s">
        <v>2081</v>
      </c>
      <c r="E120" s="202" t="s">
        <v>561</v>
      </c>
      <c r="F120" s="202" t="str">
        <f>_xlfn.CONCAT(B120,"_",C120,"_",D120,"_",E120)</f>
        <v xml:space="preserve">EC_GYE_LA LLAVE - ECUAIMCO_UNS </v>
      </c>
      <c r="G120" s="200" t="s">
        <v>604</v>
      </c>
      <c r="H120" s="202" t="s">
        <v>602</v>
      </c>
      <c r="I120" s="203" t="s">
        <v>2199</v>
      </c>
      <c r="J120" s="219">
        <v>192168250240</v>
      </c>
      <c r="K120" s="200" t="str">
        <f>_xlfn.CONCAT(I120,"-",J120)</f>
        <v>EC_GYE_UNS_SW_DIST_LA LLAVE - ECUAIMCO-192168250240</v>
      </c>
      <c r="L120" s="61" t="s">
        <v>1408</v>
      </c>
      <c r="M120" s="200" t="s">
        <v>1136</v>
      </c>
      <c r="N120" s="200" t="s">
        <v>2198</v>
      </c>
      <c r="O120" s="200" t="s">
        <v>1138</v>
      </c>
      <c r="P120" s="202" t="s">
        <v>1135</v>
      </c>
      <c r="Q120" s="202" t="s">
        <v>609</v>
      </c>
      <c r="R120" s="202" t="s">
        <v>610</v>
      </c>
      <c r="S120" s="200" t="s">
        <v>1137</v>
      </c>
      <c r="T120" s="200" t="s">
        <v>611</v>
      </c>
      <c r="U120" s="200" t="s">
        <v>2198</v>
      </c>
      <c r="V120" s="202"/>
    </row>
    <row r="121" spans="1:22" ht="31.5">
      <c r="A121" s="216">
        <v>155</v>
      </c>
      <c r="B121" s="202" t="s">
        <v>2078</v>
      </c>
      <c r="C121" s="202" t="s">
        <v>601</v>
      </c>
      <c r="D121" s="200" t="s">
        <v>2081</v>
      </c>
      <c r="E121" s="202" t="s">
        <v>561</v>
      </c>
      <c r="F121" s="202" t="str">
        <f>_xlfn.CONCAT(B121,"_",C121,"_",D121,"_",E121)</f>
        <v xml:space="preserve">EC_GYE_LA LLAVE - ECUAIMCO_UNS </v>
      </c>
      <c r="G121" s="200" t="s">
        <v>604</v>
      </c>
      <c r="H121" s="202" t="s">
        <v>602</v>
      </c>
      <c r="I121" s="203" t="s">
        <v>2199</v>
      </c>
      <c r="J121" s="219">
        <v>192168250241</v>
      </c>
      <c r="K121" s="200" t="str">
        <f>_xlfn.CONCAT(I121,"-",J121)</f>
        <v>EC_GYE_UNS_SW_DIST_LA LLAVE - ECUAIMCO-192168250241</v>
      </c>
      <c r="L121" s="61" t="s">
        <v>1408</v>
      </c>
      <c r="M121" s="200" t="s">
        <v>1139</v>
      </c>
      <c r="N121" s="200" t="s">
        <v>1140</v>
      </c>
      <c r="O121" s="200" t="s">
        <v>1141</v>
      </c>
      <c r="P121" s="202" t="s">
        <v>1135</v>
      </c>
      <c r="Q121" s="202" t="s">
        <v>609</v>
      </c>
      <c r="R121" s="202" t="s">
        <v>610</v>
      </c>
      <c r="S121" s="200" t="s">
        <v>1140</v>
      </c>
      <c r="T121" s="200" t="s">
        <v>611</v>
      </c>
      <c r="U121" s="200" t="s">
        <v>1140</v>
      </c>
      <c r="V121" s="202"/>
    </row>
    <row r="122" spans="1:22" ht="31.5">
      <c r="A122" s="216">
        <v>156</v>
      </c>
      <c r="B122" s="202" t="s">
        <v>2078</v>
      </c>
      <c r="C122" s="202" t="s">
        <v>601</v>
      </c>
      <c r="D122" s="200" t="s">
        <v>2081</v>
      </c>
      <c r="E122" s="202" t="s">
        <v>561</v>
      </c>
      <c r="F122" s="202" t="str">
        <f>_xlfn.CONCAT(B122,"_",C122,"_",D122,"_",E122)</f>
        <v xml:space="preserve">EC_GYE_LA LLAVE - ECUAIMCO_UNS </v>
      </c>
      <c r="G122" s="200" t="s">
        <v>604</v>
      </c>
      <c r="H122" s="202" t="s">
        <v>602</v>
      </c>
      <c r="I122" s="203" t="s">
        <v>2200</v>
      </c>
      <c r="J122" s="219">
        <v>192168250249</v>
      </c>
      <c r="K122" s="200" t="str">
        <f>_xlfn.CONCAT(I122,"-",J122)</f>
        <v>EC_GYE_UNS_SW_ACCE_LA LLAVE - ECUAIMCO-192168250249</v>
      </c>
      <c r="L122" s="61" t="s">
        <v>1408</v>
      </c>
      <c r="M122" s="200" t="s">
        <v>1142</v>
      </c>
      <c r="N122" s="200" t="s">
        <v>1143</v>
      </c>
      <c r="O122" s="204" t="s">
        <v>1144</v>
      </c>
      <c r="P122" s="202" t="s">
        <v>1135</v>
      </c>
      <c r="Q122" s="202" t="s">
        <v>609</v>
      </c>
      <c r="R122" s="202" t="s">
        <v>610</v>
      </c>
      <c r="S122" s="200" t="s">
        <v>1143</v>
      </c>
      <c r="T122" s="200" t="s">
        <v>2181</v>
      </c>
      <c r="U122" s="200" t="s">
        <v>1143</v>
      </c>
      <c r="V122" s="202"/>
    </row>
    <row r="123" spans="1:22" ht="31.5">
      <c r="A123" s="216">
        <v>157</v>
      </c>
      <c r="B123" s="202" t="s">
        <v>2078</v>
      </c>
      <c r="C123" s="202" t="s">
        <v>601</v>
      </c>
      <c r="D123" s="200" t="s">
        <v>2081</v>
      </c>
      <c r="E123" s="202" t="s">
        <v>561</v>
      </c>
      <c r="F123" s="202" t="str">
        <f>_xlfn.CONCAT(B123,"_",C123,"_",D123,"_",E123)</f>
        <v xml:space="preserve">EC_GYE_LA LLAVE - ECUAIMCO_UNS </v>
      </c>
      <c r="G123" s="200" t="s">
        <v>604</v>
      </c>
      <c r="H123" s="202" t="s">
        <v>602</v>
      </c>
      <c r="I123" s="203" t="s">
        <v>2199</v>
      </c>
      <c r="J123" s="219">
        <v>192168250252</v>
      </c>
      <c r="K123" s="200" t="str">
        <f>_xlfn.CONCAT(I123,"-",J123)</f>
        <v>EC_GYE_UNS_SW_DIST_LA LLAVE - ECUAIMCO-192168250252</v>
      </c>
      <c r="L123" s="61" t="s">
        <v>1408</v>
      </c>
      <c r="M123" s="200" t="s">
        <v>1142</v>
      </c>
      <c r="N123" s="200" t="s">
        <v>1147</v>
      </c>
      <c r="O123" s="200" t="s">
        <v>1146</v>
      </c>
      <c r="P123" s="202" t="s">
        <v>1135</v>
      </c>
      <c r="Q123" s="202" t="s">
        <v>609</v>
      </c>
      <c r="R123" s="202" t="s">
        <v>610</v>
      </c>
      <c r="S123" s="200" t="s">
        <v>1145</v>
      </c>
      <c r="T123" s="200" t="s">
        <v>611</v>
      </c>
      <c r="U123" s="200" t="s">
        <v>1147</v>
      </c>
      <c r="V123" s="202"/>
    </row>
    <row r="124" spans="1:22" ht="31.5">
      <c r="A124" s="216">
        <v>158</v>
      </c>
      <c r="B124" s="202" t="s">
        <v>2078</v>
      </c>
      <c r="C124" s="202" t="s">
        <v>601</v>
      </c>
      <c r="D124" s="200" t="s">
        <v>2081</v>
      </c>
      <c r="E124" s="202" t="s">
        <v>561</v>
      </c>
      <c r="F124" s="202" t="str">
        <f>_xlfn.CONCAT(B124,"_",C124,"_",D124,"_",E124)</f>
        <v xml:space="preserve">EC_GYE_LA LLAVE - ECUAIMCO_UNS </v>
      </c>
      <c r="G124" s="200" t="s">
        <v>604</v>
      </c>
      <c r="H124" s="202" t="s">
        <v>602</v>
      </c>
      <c r="I124" s="203" t="s">
        <v>2199</v>
      </c>
      <c r="J124" s="219">
        <v>192168250253</v>
      </c>
      <c r="K124" s="200" t="str">
        <f>_xlfn.CONCAT(I124,"-",J124)</f>
        <v>EC_GYE_UNS_SW_DIST_LA LLAVE - ECUAIMCO-192168250253</v>
      </c>
      <c r="L124" s="61" t="s">
        <v>1408</v>
      </c>
      <c r="M124" s="200" t="s">
        <v>1142</v>
      </c>
      <c r="N124" s="200" t="s">
        <v>1147</v>
      </c>
      <c r="O124" s="200" t="s">
        <v>1148</v>
      </c>
      <c r="P124" s="202" t="s">
        <v>1135</v>
      </c>
      <c r="Q124" s="202" t="s">
        <v>609</v>
      </c>
      <c r="R124" s="202" t="s">
        <v>610</v>
      </c>
      <c r="S124" s="200" t="s">
        <v>1147</v>
      </c>
      <c r="T124" s="200" t="s">
        <v>611</v>
      </c>
      <c r="U124" s="200" t="s">
        <v>1147</v>
      </c>
      <c r="V124" s="202"/>
    </row>
    <row r="125" spans="1:22" ht="31.5">
      <c r="A125" s="216">
        <v>159</v>
      </c>
      <c r="B125" s="202" t="s">
        <v>2078</v>
      </c>
      <c r="C125" s="202" t="s">
        <v>601</v>
      </c>
      <c r="D125" s="200" t="s">
        <v>2081</v>
      </c>
      <c r="E125" s="202" t="s">
        <v>561</v>
      </c>
      <c r="F125" s="202" t="str">
        <f>_xlfn.CONCAT(B125,"_",C125,"_",D125,"_",E125)</f>
        <v xml:space="preserve">EC_GYE_LA LLAVE - ECUAIMCO_UNS </v>
      </c>
      <c r="G125" s="200" t="s">
        <v>604</v>
      </c>
      <c r="H125" s="202" t="s">
        <v>602</v>
      </c>
      <c r="I125" s="203" t="s">
        <v>2200</v>
      </c>
      <c r="J125" s="219">
        <v>192168250248</v>
      </c>
      <c r="K125" s="200" t="str">
        <f>_xlfn.CONCAT(I125,"-",J125)</f>
        <v>EC_GYE_UNS_SW_ACCE_LA LLAVE - ECUAIMCO-192168250248</v>
      </c>
      <c r="L125" s="61" t="s">
        <v>1408</v>
      </c>
      <c r="M125" s="200" t="s">
        <v>1149</v>
      </c>
      <c r="N125" s="200" t="s">
        <v>1150</v>
      </c>
      <c r="O125" s="200" t="s">
        <v>1151</v>
      </c>
      <c r="P125" s="202" t="s">
        <v>1135</v>
      </c>
      <c r="Q125" s="202" t="s">
        <v>609</v>
      </c>
      <c r="R125" s="202" t="s">
        <v>610</v>
      </c>
      <c r="S125" s="200" t="s">
        <v>1150</v>
      </c>
      <c r="T125" s="200" t="s">
        <v>2181</v>
      </c>
      <c r="U125" s="200" t="s">
        <v>1150</v>
      </c>
      <c r="V125" s="202"/>
    </row>
    <row r="126" spans="1:22" ht="31.5">
      <c r="A126" s="216">
        <v>160</v>
      </c>
      <c r="B126" s="202" t="s">
        <v>2078</v>
      </c>
      <c r="C126" s="202" t="s">
        <v>601</v>
      </c>
      <c r="D126" s="200" t="s">
        <v>2081</v>
      </c>
      <c r="E126" s="202" t="s">
        <v>561</v>
      </c>
      <c r="F126" s="202" t="str">
        <f>_xlfn.CONCAT(B126,"_",C126,"_",D126,"_",E126)</f>
        <v xml:space="preserve">EC_GYE_LA LLAVE - ECUAIMCO_UNS </v>
      </c>
      <c r="G126" s="200" t="s">
        <v>604</v>
      </c>
      <c r="H126" s="202" t="s">
        <v>602</v>
      </c>
      <c r="I126" s="203" t="s">
        <v>2199</v>
      </c>
      <c r="J126" s="219">
        <v>192168250247</v>
      </c>
      <c r="K126" s="200" t="str">
        <f>_xlfn.CONCAT(I126,"-",J126)</f>
        <v>EC_GYE_UNS_SW_DIST_LA LLAVE - ECUAIMCO-192168250247</v>
      </c>
      <c r="L126" s="61" t="s">
        <v>1408</v>
      </c>
      <c r="M126" s="200" t="s">
        <v>1149</v>
      </c>
      <c r="N126" s="200" t="s">
        <v>1152</v>
      </c>
      <c r="O126" s="200" t="s">
        <v>1153</v>
      </c>
      <c r="P126" s="202" t="s">
        <v>1135</v>
      </c>
      <c r="Q126" s="202" t="s">
        <v>609</v>
      </c>
      <c r="R126" s="202" t="s">
        <v>610</v>
      </c>
      <c r="S126" s="200" t="s">
        <v>1152</v>
      </c>
      <c r="T126" s="200" t="s">
        <v>611</v>
      </c>
      <c r="U126" s="200" t="s">
        <v>1152</v>
      </c>
      <c r="V126" s="202"/>
    </row>
    <row r="127" spans="1:22" ht="15.75">
      <c r="A127" s="216">
        <v>163</v>
      </c>
      <c r="B127" s="202" t="s">
        <v>2078</v>
      </c>
      <c r="C127" s="202" t="s">
        <v>601</v>
      </c>
      <c r="D127" s="99" t="s">
        <v>1386</v>
      </c>
      <c r="E127" s="99" t="s">
        <v>561</v>
      </c>
      <c r="F127" s="202" t="str">
        <f>_xlfn.CONCAT(B127,"_",C127,"_",D127,"_",E127)</f>
        <v xml:space="preserve">EC_GYE_DALKASA_UNS </v>
      </c>
      <c r="G127" s="99" t="s">
        <v>604</v>
      </c>
      <c r="H127" s="99" t="s">
        <v>602</v>
      </c>
      <c r="I127" s="203" t="s">
        <v>2201</v>
      </c>
      <c r="J127" s="99" t="s">
        <v>1157</v>
      </c>
      <c r="K127" s="200" t="str">
        <f>_xlfn.CONCAT(I127,"-",J127)</f>
        <v>EC_GYE_UNS_SW_CORE_DALKASA-192.168.1.253</v>
      </c>
      <c r="L127" s="61" t="s">
        <v>1408</v>
      </c>
      <c r="M127" s="99" t="s">
        <v>1154</v>
      </c>
      <c r="N127" s="99" t="s">
        <v>1155</v>
      </c>
      <c r="O127" s="214" t="s">
        <v>1156</v>
      </c>
      <c r="P127" s="99">
        <v>1</v>
      </c>
      <c r="Q127" s="99" t="s">
        <v>609</v>
      </c>
      <c r="R127" s="99" t="s">
        <v>610</v>
      </c>
      <c r="S127" s="99" t="s">
        <v>1158</v>
      </c>
      <c r="T127" s="99" t="s">
        <v>643</v>
      </c>
      <c r="U127" s="99" t="s">
        <v>1159</v>
      </c>
      <c r="V127" s="99"/>
    </row>
    <row r="128" spans="1:22" ht="15.75">
      <c r="A128" s="216">
        <v>164</v>
      </c>
      <c r="B128" s="202" t="s">
        <v>2078</v>
      </c>
      <c r="C128" s="202" t="s">
        <v>601</v>
      </c>
      <c r="D128" s="99" t="s">
        <v>1386</v>
      </c>
      <c r="E128" s="99" t="s">
        <v>561</v>
      </c>
      <c r="F128" s="202" t="str">
        <f>_xlfn.CONCAT(B128,"_",C128,"_",D128,"_",E128)</f>
        <v xml:space="preserve">EC_GYE_DALKASA_UNS </v>
      </c>
      <c r="G128" s="99" t="s">
        <v>630</v>
      </c>
      <c r="H128" s="99" t="s">
        <v>602</v>
      </c>
      <c r="I128" s="203" t="s">
        <v>2202</v>
      </c>
      <c r="J128" s="99"/>
      <c r="K128" s="200" t="str">
        <f>_xlfn.CONCAT(I128,"-",J128)</f>
        <v>EC_GYE_UNS_RO_ROUTPRIN_DALKASA-</v>
      </c>
      <c r="L128" s="61" t="s">
        <v>1408</v>
      </c>
      <c r="M128" s="99" t="s">
        <v>1154</v>
      </c>
      <c r="N128" s="99" t="s">
        <v>1160</v>
      </c>
      <c r="O128" s="99" t="s">
        <v>1161</v>
      </c>
      <c r="P128" s="99"/>
      <c r="Q128" s="99" t="s">
        <v>609</v>
      </c>
      <c r="R128" s="99" t="s">
        <v>682</v>
      </c>
      <c r="S128" s="99"/>
      <c r="T128" s="241" t="s">
        <v>2186</v>
      </c>
      <c r="U128" s="99" t="s">
        <v>705</v>
      </c>
      <c r="V128" s="99"/>
    </row>
    <row r="129" spans="1:22" ht="15.75">
      <c r="A129" s="216">
        <v>165</v>
      </c>
      <c r="B129" s="202" t="s">
        <v>2078</v>
      </c>
      <c r="C129" s="202" t="s">
        <v>601</v>
      </c>
      <c r="D129" s="99" t="s">
        <v>1386</v>
      </c>
      <c r="E129" s="99" t="s">
        <v>561</v>
      </c>
      <c r="F129" s="202" t="str">
        <f>_xlfn.CONCAT(B129,"_",C129,"_",D129,"_",E129)</f>
        <v xml:space="preserve">EC_GYE_DALKASA_UNS </v>
      </c>
      <c r="G129" s="99" t="s">
        <v>630</v>
      </c>
      <c r="H129" s="99" t="s">
        <v>602</v>
      </c>
      <c r="I129" s="203" t="s">
        <v>2203</v>
      </c>
      <c r="J129" s="99"/>
      <c r="K129" s="200" t="str">
        <f>_xlfn.CONCAT(I129,"-",J129)</f>
        <v>EC_GYE_UNS_RO_ROUTBACK_DALKASA-</v>
      </c>
      <c r="L129" s="61" t="s">
        <v>1408</v>
      </c>
      <c r="M129" s="99" t="s">
        <v>1154</v>
      </c>
      <c r="N129" s="99" t="s">
        <v>1160</v>
      </c>
      <c r="O129" s="99" t="s">
        <v>1162</v>
      </c>
      <c r="P129" s="99"/>
      <c r="Q129" s="99" t="s">
        <v>609</v>
      </c>
      <c r="R129" s="99" t="s">
        <v>682</v>
      </c>
      <c r="S129" s="99"/>
      <c r="T129" s="99" t="s">
        <v>2188</v>
      </c>
      <c r="U129" s="99" t="s">
        <v>707</v>
      </c>
      <c r="V129" s="99"/>
    </row>
    <row r="130" spans="1:22" ht="31.5">
      <c r="A130" s="216">
        <v>166</v>
      </c>
      <c r="B130" s="202" t="s">
        <v>2078</v>
      </c>
      <c r="C130" s="202" t="s">
        <v>601</v>
      </c>
      <c r="D130" s="99" t="s">
        <v>2082</v>
      </c>
      <c r="E130" s="99" t="s">
        <v>159</v>
      </c>
      <c r="F130" s="202" t="str">
        <f>_xlfn.CONCAT(B130,"_",C130,"_",D130,"_",E130)</f>
        <v>EC_GYE_SEMVRA SKY BUILDING_CORP</v>
      </c>
      <c r="G130" s="99" t="s">
        <v>604</v>
      </c>
      <c r="H130" s="99" t="s">
        <v>602</v>
      </c>
      <c r="I130" s="203" t="s">
        <v>2204</v>
      </c>
      <c r="J130" s="99" t="s">
        <v>1166</v>
      </c>
      <c r="K130" s="200" t="str">
        <f>_xlfn.CONCAT(I130,"-",J130)</f>
        <v>EC_GYE_CORP_SW_CORE_SEMVRA SKY BUILDING-192.168.84.162</v>
      </c>
      <c r="L130" s="61" t="s">
        <v>1408</v>
      </c>
      <c r="M130" s="99" t="s">
        <v>1163</v>
      </c>
      <c r="N130" s="99" t="s">
        <v>1164</v>
      </c>
      <c r="O130" s="214" t="s">
        <v>1165</v>
      </c>
      <c r="P130" s="99" t="s">
        <v>1167</v>
      </c>
      <c r="Q130" s="99" t="s">
        <v>609</v>
      </c>
      <c r="R130" s="99" t="s">
        <v>610</v>
      </c>
      <c r="S130" s="99" t="s">
        <v>1168</v>
      </c>
      <c r="T130" s="99" t="s">
        <v>643</v>
      </c>
      <c r="U130" s="99" t="s">
        <v>1168</v>
      </c>
      <c r="V130" s="99"/>
    </row>
    <row r="131" spans="1:22" ht="31.5">
      <c r="A131" s="216">
        <v>167</v>
      </c>
      <c r="B131" s="202" t="s">
        <v>2078</v>
      </c>
      <c r="C131" s="202" t="s">
        <v>601</v>
      </c>
      <c r="D131" s="99" t="s">
        <v>2082</v>
      </c>
      <c r="E131" s="99" t="s">
        <v>159</v>
      </c>
      <c r="F131" s="202" t="str">
        <f>_xlfn.CONCAT(B131,"_",C131,"_",D131,"_",E131)</f>
        <v>EC_GYE_SEMVRA SKY BUILDING_CORP</v>
      </c>
      <c r="G131" s="99" t="s">
        <v>604</v>
      </c>
      <c r="H131" s="99" t="s">
        <v>602</v>
      </c>
      <c r="I131" s="203" t="s">
        <v>2206</v>
      </c>
      <c r="J131" s="99" t="s">
        <v>1171</v>
      </c>
      <c r="K131" s="200" t="str">
        <f>_xlfn.CONCAT(I131,"-",J131)</f>
        <v>EC_GYE_CORP_SW_A01-STACK_SEMVRA SKY BUILDING-192.168.84.140</v>
      </c>
      <c r="L131" s="61" t="s">
        <v>1408</v>
      </c>
      <c r="M131" s="99" t="s">
        <v>1163</v>
      </c>
      <c r="N131" s="99" t="s">
        <v>1169</v>
      </c>
      <c r="O131" s="214" t="s">
        <v>1170</v>
      </c>
      <c r="P131" s="99" t="s">
        <v>1167</v>
      </c>
      <c r="Q131" s="99" t="s">
        <v>609</v>
      </c>
      <c r="R131" s="99" t="s">
        <v>610</v>
      </c>
      <c r="S131" s="99" t="s">
        <v>1172</v>
      </c>
      <c r="T131" s="99" t="s">
        <v>2205</v>
      </c>
      <c r="U131" s="99" t="s">
        <v>1172</v>
      </c>
      <c r="V131" s="99"/>
    </row>
    <row r="132" spans="1:22" ht="31.5">
      <c r="A132" s="216">
        <v>173</v>
      </c>
      <c r="B132" s="202" t="s">
        <v>2078</v>
      </c>
      <c r="C132" s="202" t="s">
        <v>601</v>
      </c>
      <c r="D132" s="99" t="s">
        <v>2082</v>
      </c>
      <c r="E132" s="99" t="s">
        <v>159</v>
      </c>
      <c r="F132" s="202" t="str">
        <f>_xlfn.CONCAT(B132,"_",C132,"_",D132,"_",E132)</f>
        <v>EC_GYE_SEMVRA SKY BUILDING_CORP</v>
      </c>
      <c r="G132" s="99" t="s">
        <v>604</v>
      </c>
      <c r="H132" s="99" t="s">
        <v>602</v>
      </c>
      <c r="I132" s="203" t="s">
        <v>2208</v>
      </c>
      <c r="J132" s="99" t="s">
        <v>1174</v>
      </c>
      <c r="K132" s="200" t="str">
        <f>_xlfn.CONCAT(I132,"-",J132)</f>
        <v>EC_GYE_CORP_SW_A02-STACK_SEMVRA SKY BUILDING-192.168.84.141</v>
      </c>
      <c r="L132" s="61" t="s">
        <v>1408</v>
      </c>
      <c r="M132" s="99" t="s">
        <v>1163</v>
      </c>
      <c r="N132" s="99" t="s">
        <v>1169</v>
      </c>
      <c r="O132" s="214" t="s">
        <v>1173</v>
      </c>
      <c r="P132" s="99" t="s">
        <v>1167</v>
      </c>
      <c r="Q132" s="99" t="s">
        <v>609</v>
      </c>
      <c r="R132" s="99" t="s">
        <v>610</v>
      </c>
      <c r="S132" s="99" t="s">
        <v>1175</v>
      </c>
      <c r="T132" s="99" t="s">
        <v>2207</v>
      </c>
      <c r="U132" s="99" t="s">
        <v>1175</v>
      </c>
      <c r="V132" s="99"/>
    </row>
    <row r="133" spans="1:22" ht="15.75">
      <c r="A133" s="216">
        <v>175</v>
      </c>
      <c r="B133" s="202" t="s">
        <v>2078</v>
      </c>
      <c r="C133" s="202" t="s">
        <v>601</v>
      </c>
      <c r="D133" s="99" t="s">
        <v>2082</v>
      </c>
      <c r="E133" s="99" t="s">
        <v>159</v>
      </c>
      <c r="F133" s="202" t="str">
        <f>_xlfn.CONCAT(B133,"_",C133,"_",D133,"_",E133)</f>
        <v>EC_GYE_SEMVRA SKY BUILDING_CORP</v>
      </c>
      <c r="G133" s="99" t="s">
        <v>630</v>
      </c>
      <c r="H133" s="99" t="s">
        <v>602</v>
      </c>
      <c r="I133" s="203" t="s">
        <v>2209</v>
      </c>
      <c r="J133" s="99" t="s">
        <v>1177</v>
      </c>
      <c r="K133" s="200" t="str">
        <f>_xlfn.CONCAT(I133,"-",J133)</f>
        <v>EC_GYE_CORP_RO__SEMVRA SKY BUILDING-10.91.0.43</v>
      </c>
      <c r="L133" s="61" t="s">
        <v>1408</v>
      </c>
      <c r="M133" s="99" t="s">
        <v>1163</v>
      </c>
      <c r="N133" s="99" t="s">
        <v>683</v>
      </c>
      <c r="O133" s="99" t="s">
        <v>1176</v>
      </c>
      <c r="P133" s="99"/>
      <c r="Q133" s="99" t="s">
        <v>609</v>
      </c>
      <c r="R133" s="99" t="s">
        <v>682</v>
      </c>
      <c r="S133" s="99"/>
      <c r="T133" s="99"/>
      <c r="U133" s="99"/>
      <c r="V133" s="99"/>
    </row>
    <row r="134" spans="1:22" ht="15.75">
      <c r="A134" s="216">
        <v>176</v>
      </c>
      <c r="B134" s="202" t="s">
        <v>2078</v>
      </c>
      <c r="C134" s="202" t="s">
        <v>601</v>
      </c>
      <c r="D134" s="99" t="s">
        <v>2082</v>
      </c>
      <c r="E134" s="99" t="s">
        <v>159</v>
      </c>
      <c r="F134" s="202" t="str">
        <f>_xlfn.CONCAT(B134,"_",C134,"_",D134,"_",E134)</f>
        <v>EC_GYE_SEMVRA SKY BUILDING_CORP</v>
      </c>
      <c r="G134" s="99" t="s">
        <v>630</v>
      </c>
      <c r="H134" s="99" t="s">
        <v>602</v>
      </c>
      <c r="I134" s="203" t="s">
        <v>2209</v>
      </c>
      <c r="J134" s="99" t="s">
        <v>1180</v>
      </c>
      <c r="K134" s="200" t="str">
        <f>_xlfn.CONCAT(I134,"-",J134)</f>
        <v>EC_GYE_CORP_RO__SEMVRA SKY BUILDING-10.91.0.44</v>
      </c>
      <c r="L134" s="61" t="s">
        <v>1408</v>
      </c>
      <c r="M134" s="99" t="s">
        <v>1163</v>
      </c>
      <c r="N134" s="99" t="s">
        <v>1178</v>
      </c>
      <c r="O134" s="99" t="s">
        <v>1179</v>
      </c>
      <c r="P134" s="99"/>
      <c r="Q134" s="99" t="s">
        <v>609</v>
      </c>
      <c r="R134" s="99" t="s">
        <v>682</v>
      </c>
      <c r="S134" s="99"/>
      <c r="T134" s="99"/>
      <c r="U134" s="99"/>
      <c r="V134" s="99"/>
    </row>
    <row r="135" spans="1:22" ht="15.75">
      <c r="A135" s="216">
        <v>177</v>
      </c>
      <c r="B135" s="202" t="s">
        <v>2078</v>
      </c>
      <c r="C135" s="202" t="s">
        <v>601</v>
      </c>
      <c r="D135" s="99" t="s">
        <v>2082</v>
      </c>
      <c r="E135" s="99" t="s">
        <v>159</v>
      </c>
      <c r="F135" s="202" t="str">
        <f>_xlfn.CONCAT(B135,"_",C135,"_",D135,"_",E135)</f>
        <v>EC_GYE_SEMVRA SKY BUILDING_CORP</v>
      </c>
      <c r="G135" s="99" t="s">
        <v>630</v>
      </c>
      <c r="H135" s="99" t="s">
        <v>602</v>
      </c>
      <c r="I135" s="203" t="s">
        <v>2209</v>
      </c>
      <c r="J135" s="99"/>
      <c r="K135" s="200" t="str">
        <f>_xlfn.CONCAT(I135,"-",J135)</f>
        <v>EC_GYE_CORP_RO__SEMVRA SKY BUILDING-</v>
      </c>
      <c r="L135" s="61" t="s">
        <v>1408</v>
      </c>
      <c r="M135" s="99" t="s">
        <v>1163</v>
      </c>
      <c r="N135" s="99" t="s">
        <v>1181</v>
      </c>
      <c r="O135" s="99" t="s">
        <v>1182</v>
      </c>
      <c r="P135" s="99"/>
      <c r="Q135" s="99" t="s">
        <v>609</v>
      </c>
      <c r="R135" s="99" t="s">
        <v>682</v>
      </c>
      <c r="S135" s="99"/>
      <c r="T135" s="99"/>
      <c r="U135" s="99"/>
      <c r="V135" s="99"/>
    </row>
    <row r="136" spans="1:22" ht="31.5">
      <c r="A136" s="216">
        <v>179</v>
      </c>
      <c r="B136" s="202" t="s">
        <v>2078</v>
      </c>
      <c r="C136" s="202" t="s">
        <v>601</v>
      </c>
      <c r="D136" s="220" t="s">
        <v>2083</v>
      </c>
      <c r="E136" s="99" t="s">
        <v>159</v>
      </c>
      <c r="F136" s="202" t="str">
        <f>_xlfn.CONCAT(B136,"_",C136,"_",D136,"_",E136)</f>
        <v>EC_GYE_ECUAPATRIA SKY BUILDING_CORP</v>
      </c>
      <c r="G136" s="98" t="s">
        <v>604</v>
      </c>
      <c r="H136" s="99" t="s">
        <v>602</v>
      </c>
      <c r="I136" s="203" t="s">
        <v>2210</v>
      </c>
      <c r="J136" s="98" t="s">
        <v>1186</v>
      </c>
      <c r="K136" s="200" t="str">
        <f>_xlfn.CONCAT(I136,"-",J136)</f>
        <v>EC_GYE_CORP_SW__ECUAPATRIA SKY BUILDING-192.168.84.147</v>
      </c>
      <c r="L136" s="61" t="s">
        <v>1408</v>
      </c>
      <c r="M136" s="98" t="s">
        <v>1183</v>
      </c>
      <c r="N136" s="99" t="s">
        <v>1184</v>
      </c>
      <c r="O136" s="214" t="s">
        <v>1185</v>
      </c>
      <c r="P136" s="99" t="s">
        <v>1167</v>
      </c>
      <c r="Q136" s="99" t="s">
        <v>609</v>
      </c>
      <c r="R136" s="99" t="s">
        <v>610</v>
      </c>
      <c r="S136" s="98" t="s">
        <v>1187</v>
      </c>
      <c r="T136" s="98"/>
      <c r="U136" s="98" t="s">
        <v>1187</v>
      </c>
      <c r="V136" s="99"/>
    </row>
    <row r="137" spans="1:22" ht="31.5">
      <c r="A137" s="216">
        <v>181</v>
      </c>
      <c r="B137" s="202" t="s">
        <v>2078</v>
      </c>
      <c r="C137" s="202" t="s">
        <v>601</v>
      </c>
      <c r="D137" s="99" t="s">
        <v>2084</v>
      </c>
      <c r="E137" s="99" t="s">
        <v>159</v>
      </c>
      <c r="F137" s="202" t="str">
        <f>_xlfn.CONCAT(B137,"_",C137,"_",D137,"_",E137)</f>
        <v>EC_GYE_COOP. METROPOLITANA SKY BUILDING_CORP</v>
      </c>
      <c r="G137" s="99" t="s">
        <v>604</v>
      </c>
      <c r="H137" s="99" t="s">
        <v>602</v>
      </c>
      <c r="I137" s="203" t="s">
        <v>2211</v>
      </c>
      <c r="J137" s="99" t="s">
        <v>1115</v>
      </c>
      <c r="K137" s="200" t="str">
        <f>_xlfn.CONCAT(I137,"-",J137)</f>
        <v>EC_GYE_CORP_SW__Coop. Metropolitana Sky Building--</v>
      </c>
      <c r="L137" s="61" t="s">
        <v>1408</v>
      </c>
      <c r="M137" s="99" t="s">
        <v>1188</v>
      </c>
      <c r="N137" s="99" t="s">
        <v>1189</v>
      </c>
      <c r="O137" s="99" t="s">
        <v>1190</v>
      </c>
      <c r="P137" s="99" t="s">
        <v>1167</v>
      </c>
      <c r="Q137" s="99" t="s">
        <v>609</v>
      </c>
      <c r="R137" s="99" t="s">
        <v>610</v>
      </c>
      <c r="S137" s="99" t="s">
        <v>1115</v>
      </c>
      <c r="T137" s="99"/>
      <c r="U137" s="99" t="s">
        <v>1115</v>
      </c>
      <c r="V137" s="99"/>
    </row>
    <row r="138" spans="1:22" ht="31.5">
      <c r="A138" s="216">
        <v>182</v>
      </c>
      <c r="B138" s="202" t="s">
        <v>2078</v>
      </c>
      <c r="C138" s="202" t="s">
        <v>601</v>
      </c>
      <c r="D138" s="99" t="s">
        <v>2084</v>
      </c>
      <c r="E138" s="99" t="s">
        <v>159</v>
      </c>
      <c r="F138" s="202" t="str">
        <f>_xlfn.CONCAT(B138,"_",C138,"_",D138,"_",E138)</f>
        <v>EC_GYE_COOP. METROPOLITANA SKY BUILDING_CORP</v>
      </c>
      <c r="G138" s="99" t="s">
        <v>604</v>
      </c>
      <c r="H138" s="99" t="s">
        <v>602</v>
      </c>
      <c r="I138" s="203" t="s">
        <v>2211</v>
      </c>
      <c r="J138" s="99"/>
      <c r="K138" s="200" t="str">
        <f>_xlfn.CONCAT(I138,"-",J138)</f>
        <v>EC_GYE_CORP_SW__Coop. Metropolitana Sky Building-</v>
      </c>
      <c r="L138" s="61" t="s">
        <v>1408</v>
      </c>
      <c r="M138" s="99" t="s">
        <v>1188</v>
      </c>
      <c r="N138" s="99" t="s">
        <v>1191</v>
      </c>
      <c r="O138" s="99">
        <v>10762402936</v>
      </c>
      <c r="P138" s="99"/>
      <c r="Q138" s="99" t="s">
        <v>609</v>
      </c>
      <c r="R138" s="99" t="s">
        <v>1192</v>
      </c>
      <c r="S138" s="99"/>
      <c r="T138" s="99"/>
      <c r="U138" s="99"/>
      <c r="V138" s="99"/>
    </row>
    <row r="139" spans="1:22" ht="15.75">
      <c r="A139" s="216">
        <v>185</v>
      </c>
      <c r="B139" s="202" t="s">
        <v>2078</v>
      </c>
      <c r="C139" s="202" t="s">
        <v>601</v>
      </c>
      <c r="D139" s="99" t="s">
        <v>2085</v>
      </c>
      <c r="E139" s="99" t="s">
        <v>427</v>
      </c>
      <c r="F139" s="202" t="str">
        <f>_xlfn.CONCAT(B139,"_",C139,"_",D139,"_",E139)</f>
        <v>EC_GYE_INMOVILA _ SKY BUILDING_UNI</v>
      </c>
      <c r="G139" s="99" t="s">
        <v>604</v>
      </c>
      <c r="H139" s="99" t="s">
        <v>602</v>
      </c>
      <c r="I139" s="203" t="s">
        <v>2212</v>
      </c>
      <c r="J139" s="99" t="s">
        <v>1196</v>
      </c>
      <c r="K139" s="200" t="str">
        <f>_xlfn.CONCAT(I139,"-",J139)</f>
        <v>EC_GYE_UNI_SW__Inmovila _ Sky Building-192.168.84.144</v>
      </c>
      <c r="L139" s="61" t="s">
        <v>1408</v>
      </c>
      <c r="M139" s="99" t="s">
        <v>1193</v>
      </c>
      <c r="N139" s="99" t="s">
        <v>1194</v>
      </c>
      <c r="O139" s="214" t="s">
        <v>1195</v>
      </c>
      <c r="P139" s="99" t="s">
        <v>1167</v>
      </c>
      <c r="Q139" s="99" t="s">
        <v>609</v>
      </c>
      <c r="R139" s="99" t="s">
        <v>610</v>
      </c>
      <c r="S139" s="99" t="s">
        <v>1197</v>
      </c>
      <c r="T139" s="99"/>
      <c r="U139" s="99" t="s">
        <v>814</v>
      </c>
      <c r="V139" s="99" t="s">
        <v>1198</v>
      </c>
    </row>
    <row r="140" spans="1:22" ht="15.75">
      <c r="A140" s="216">
        <v>186</v>
      </c>
      <c r="B140" s="202" t="s">
        <v>2078</v>
      </c>
      <c r="C140" s="202" t="s">
        <v>601</v>
      </c>
      <c r="D140" s="99" t="s">
        <v>2085</v>
      </c>
      <c r="E140" s="99" t="s">
        <v>427</v>
      </c>
      <c r="F140" s="202" t="str">
        <f>_xlfn.CONCAT(B140,"_",C140,"_",D140,"_",E140)</f>
        <v>EC_GYE_INMOVILA _ SKY BUILDING_UNI</v>
      </c>
      <c r="G140" s="99" t="s">
        <v>604</v>
      </c>
      <c r="H140" s="99" t="s">
        <v>602</v>
      </c>
      <c r="I140" s="203" t="s">
        <v>2212</v>
      </c>
      <c r="J140" s="99" t="s">
        <v>1201</v>
      </c>
      <c r="K140" s="200" t="str">
        <f>_xlfn.CONCAT(I140,"-",J140)</f>
        <v>EC_GYE_UNI_SW__Inmovila _ Sky Building-192.168.84.145</v>
      </c>
      <c r="L140" s="61" t="s">
        <v>1408</v>
      </c>
      <c r="M140" s="99" t="s">
        <v>1193</v>
      </c>
      <c r="N140" s="99" t="s">
        <v>1199</v>
      </c>
      <c r="O140" s="214" t="s">
        <v>1200</v>
      </c>
      <c r="P140" s="99" t="s">
        <v>1167</v>
      </c>
      <c r="Q140" s="99" t="s">
        <v>609</v>
      </c>
      <c r="R140" s="99" t="s">
        <v>610</v>
      </c>
      <c r="S140" s="99" t="s">
        <v>1202</v>
      </c>
      <c r="T140" s="99"/>
      <c r="U140" s="99" t="s">
        <v>1199</v>
      </c>
      <c r="V140" s="99" t="s">
        <v>1203</v>
      </c>
    </row>
    <row r="141" spans="1:22" ht="15.75">
      <c r="A141" s="216">
        <v>187</v>
      </c>
      <c r="B141" s="202" t="s">
        <v>2078</v>
      </c>
      <c r="C141" s="206" t="s">
        <v>601</v>
      </c>
      <c r="D141" s="206" t="s">
        <v>2086</v>
      </c>
      <c r="E141" s="206" t="s">
        <v>427</v>
      </c>
      <c r="F141" s="202" t="str">
        <f>_xlfn.CONCAT(B141,"_",C141,"_",D141,"_",E141)</f>
        <v>EC_GYE_VILANOVA _UNI</v>
      </c>
      <c r="G141" s="97" t="s">
        <v>604</v>
      </c>
      <c r="H141" s="206" t="s">
        <v>602</v>
      </c>
      <c r="I141" s="203" t="s">
        <v>2213</v>
      </c>
      <c r="J141" s="244" t="s">
        <v>1204</v>
      </c>
      <c r="K141" s="200" t="str">
        <f>_xlfn.CONCAT(I141,"-",J141)</f>
        <v>EC_GYE_UNI_SW__Vilanova -192.168.78.2</v>
      </c>
      <c r="L141" s="61" t="s">
        <v>1408</v>
      </c>
      <c r="M141" s="206"/>
      <c r="N141" s="206" t="s">
        <v>1194</v>
      </c>
      <c r="O141" s="206" t="s">
        <v>1115</v>
      </c>
      <c r="P141" s="206"/>
      <c r="Q141" s="206" t="s">
        <v>609</v>
      </c>
      <c r="R141" s="206" t="s">
        <v>610</v>
      </c>
      <c r="S141" s="206"/>
      <c r="T141" s="206"/>
      <c r="U141" s="206" t="s">
        <v>1194</v>
      </c>
      <c r="V141" s="206"/>
    </row>
    <row r="142" spans="1:22" ht="15.75">
      <c r="A142" s="216">
        <v>188</v>
      </c>
      <c r="B142" s="202" t="s">
        <v>2078</v>
      </c>
      <c r="C142" s="206" t="s">
        <v>601</v>
      </c>
      <c r="D142" s="206" t="s">
        <v>2087</v>
      </c>
      <c r="E142" s="206" t="s">
        <v>427</v>
      </c>
      <c r="F142" s="202" t="str">
        <f>_xlfn.CONCAT(B142,"_",C142,"_",D142,"_",E142)</f>
        <v>EC_GYE_BONAVILA_UNI</v>
      </c>
      <c r="G142" s="97" t="s">
        <v>604</v>
      </c>
      <c r="H142" s="206" t="s">
        <v>602</v>
      </c>
      <c r="I142" s="203" t="s">
        <v>2214</v>
      </c>
      <c r="J142" s="244" t="s">
        <v>1206</v>
      </c>
      <c r="K142" s="200" t="str">
        <f>_xlfn.CONCAT(I142,"-",J142)</f>
        <v>EC_GYE_UNI_SW__Bonavila-172.10.10.1</v>
      </c>
      <c r="L142" s="61" t="s">
        <v>1408</v>
      </c>
      <c r="M142" s="206"/>
      <c r="N142" s="245" t="s">
        <v>1205</v>
      </c>
      <c r="O142" s="206" t="s">
        <v>1115</v>
      </c>
      <c r="P142" s="206"/>
      <c r="Q142" s="206" t="s">
        <v>609</v>
      </c>
      <c r="R142" s="206" t="s">
        <v>610</v>
      </c>
      <c r="S142" s="206"/>
      <c r="T142" s="206"/>
      <c r="U142" s="206" t="s">
        <v>1205</v>
      </c>
      <c r="V142" s="206"/>
    </row>
    <row r="143" spans="1:22" ht="15.75">
      <c r="A143" s="216">
        <v>190</v>
      </c>
      <c r="B143" s="202" t="s">
        <v>2078</v>
      </c>
      <c r="C143" s="206" t="s">
        <v>904</v>
      </c>
      <c r="D143" s="97" t="s">
        <v>2088</v>
      </c>
      <c r="E143" s="206" t="s">
        <v>69</v>
      </c>
      <c r="F143" s="202" t="str">
        <f>_xlfn.CONCAT(B143,"_",C143,"_",D143,"_",E143)</f>
        <v>EC_UIO_FADESA METALES UIO_UNE</v>
      </c>
      <c r="G143" s="97" t="s">
        <v>604</v>
      </c>
      <c r="H143" s="206" t="s">
        <v>602</v>
      </c>
      <c r="I143" s="203" t="s">
        <v>2215</v>
      </c>
      <c r="J143" s="97" t="s">
        <v>1209</v>
      </c>
      <c r="K143" s="200" t="str">
        <f>_xlfn.CONCAT(I143,"-",J143)</f>
        <v>EC_UIO_UNE_SW_DIST_Fadesa Metales UIO-192.168.61.66</v>
      </c>
      <c r="L143" s="61" t="s">
        <v>1408</v>
      </c>
      <c r="M143" s="97" t="s">
        <v>1207</v>
      </c>
      <c r="N143" s="97" t="s">
        <v>906</v>
      </c>
      <c r="O143" s="204" t="s">
        <v>1208</v>
      </c>
      <c r="P143" s="206"/>
      <c r="Q143" s="206" t="s">
        <v>609</v>
      </c>
      <c r="R143" s="206" t="s">
        <v>610</v>
      </c>
      <c r="S143" s="97" t="s">
        <v>906</v>
      </c>
      <c r="T143" s="97" t="s">
        <v>611</v>
      </c>
      <c r="U143" s="97" t="s">
        <v>906</v>
      </c>
      <c r="V143" s="206" t="s">
        <v>1210</v>
      </c>
    </row>
    <row r="144" spans="1:22" ht="15.75">
      <c r="A144" s="216">
        <v>192</v>
      </c>
      <c r="B144" s="202" t="s">
        <v>2078</v>
      </c>
      <c r="C144" s="206" t="s">
        <v>904</v>
      </c>
      <c r="D144" s="97" t="s">
        <v>2088</v>
      </c>
      <c r="E144" s="206" t="s">
        <v>69</v>
      </c>
      <c r="F144" s="202" t="str">
        <f>_xlfn.CONCAT(B144,"_",C144,"_",D144,"_",E144)</f>
        <v>EC_UIO_FADESA METALES UIO_UNE</v>
      </c>
      <c r="G144" s="97" t="s">
        <v>630</v>
      </c>
      <c r="H144" s="206" t="s">
        <v>602</v>
      </c>
      <c r="I144" s="203" t="s">
        <v>2216</v>
      </c>
      <c r="J144" s="97"/>
      <c r="K144" s="200" t="str">
        <f>_xlfn.CONCAT(I144,"-",J144)</f>
        <v>EC_UIO_UNE_RO_PRIN_Fadesa Metales UIO-</v>
      </c>
      <c r="L144" s="61" t="s">
        <v>1408</v>
      </c>
      <c r="M144" s="97" t="s">
        <v>1207</v>
      </c>
      <c r="N144" s="97" t="s">
        <v>1211</v>
      </c>
      <c r="O144" s="204" t="s">
        <v>1212</v>
      </c>
      <c r="P144" s="206"/>
      <c r="Q144" s="206" t="s">
        <v>609</v>
      </c>
      <c r="R144" s="206" t="s">
        <v>610</v>
      </c>
      <c r="S144" s="97" t="s">
        <v>1213</v>
      </c>
      <c r="T144" s="97" t="s">
        <v>2146</v>
      </c>
      <c r="U144" s="97" t="s">
        <v>1213</v>
      </c>
      <c r="V144" s="206"/>
    </row>
    <row r="145" spans="1:22" ht="15.75">
      <c r="A145" s="216">
        <v>193</v>
      </c>
      <c r="B145" s="202" t="s">
        <v>2078</v>
      </c>
      <c r="C145" s="206" t="s">
        <v>904</v>
      </c>
      <c r="D145" s="97" t="s">
        <v>2088</v>
      </c>
      <c r="E145" s="206" t="s">
        <v>69</v>
      </c>
      <c r="F145" s="202" t="str">
        <f>_xlfn.CONCAT(B145,"_",C145,"_",D145,"_",E145)</f>
        <v>EC_UIO_FADESA METALES UIO_UNE</v>
      </c>
      <c r="G145" s="97" t="s">
        <v>630</v>
      </c>
      <c r="H145" s="206" t="s">
        <v>602</v>
      </c>
      <c r="I145" s="203" t="s">
        <v>2217</v>
      </c>
      <c r="J145" s="97"/>
      <c r="K145" s="200" t="str">
        <f>_xlfn.CONCAT(I145,"-",J145)</f>
        <v>EC_UIO_UNE_RO_BACK_Fadesa Metales UIO-</v>
      </c>
      <c r="L145" s="61" t="s">
        <v>1408</v>
      </c>
      <c r="M145" s="97" t="s">
        <v>1207</v>
      </c>
      <c r="N145" s="97" t="s">
        <v>1084</v>
      </c>
      <c r="O145" s="204" t="s">
        <v>1214</v>
      </c>
      <c r="P145" s="206"/>
      <c r="Q145" s="206" t="s">
        <v>609</v>
      </c>
      <c r="R145" s="206" t="s">
        <v>610</v>
      </c>
      <c r="S145" s="97" t="s">
        <v>1215</v>
      </c>
      <c r="T145" s="97" t="s">
        <v>2148</v>
      </c>
      <c r="U145" s="97" t="s">
        <v>1215</v>
      </c>
      <c r="V145" s="206"/>
    </row>
    <row r="146" spans="1:22" ht="15.75">
      <c r="A146" s="216">
        <v>64</v>
      </c>
      <c r="B146" s="206" t="s">
        <v>2077</v>
      </c>
      <c r="C146" s="206" t="s">
        <v>839</v>
      </c>
      <c r="D146" s="97" t="s">
        <v>840</v>
      </c>
      <c r="E146" s="206" t="s">
        <v>69</v>
      </c>
      <c r="F146" s="202" t="str">
        <f>_xlfn.CONCAT(B146,"_",C146,"_",D146,"_",E146)</f>
        <v>PE_CALL_FADESA CALLAO_UNE</v>
      </c>
      <c r="G146" s="97" t="s">
        <v>604</v>
      </c>
      <c r="H146" s="206" t="s">
        <v>602</v>
      </c>
      <c r="I146" s="203" t="s">
        <v>2140</v>
      </c>
      <c r="J146" s="97" t="s">
        <v>844</v>
      </c>
      <c r="K146" s="200" t="str">
        <f>_xlfn.CONCAT(I146,"-",J146)</f>
        <v>PE_CAL_UNE_SW__FADESA CALLAO-172.16.1.1</v>
      </c>
      <c r="L146" s="61" t="s">
        <v>1408</v>
      </c>
      <c r="M146" s="97" t="s">
        <v>841</v>
      </c>
      <c r="N146" s="97" t="s">
        <v>842</v>
      </c>
      <c r="O146" s="204" t="s">
        <v>843</v>
      </c>
      <c r="P146" s="206" t="s">
        <v>352</v>
      </c>
      <c r="Q146" s="206" t="s">
        <v>609</v>
      </c>
      <c r="R146" s="206" t="s">
        <v>610</v>
      </c>
      <c r="S146" s="97" t="s">
        <v>842</v>
      </c>
      <c r="T146" s="97"/>
      <c r="U146" s="97" t="s">
        <v>842</v>
      </c>
      <c r="V146" s="206"/>
    </row>
    <row r="147" spans="1:22" ht="15.75">
      <c r="A147" s="223">
        <v>65</v>
      </c>
      <c r="B147" s="206" t="s">
        <v>2077</v>
      </c>
      <c r="C147" s="231" t="s">
        <v>839</v>
      </c>
      <c r="D147" s="164" t="s">
        <v>840</v>
      </c>
      <c r="E147" s="231" t="s">
        <v>69</v>
      </c>
      <c r="F147" s="202" t="str">
        <f>_xlfn.CONCAT(B147,"_",C147,"_",D147,"_",E147)</f>
        <v>PE_CALL_FADESA CALLAO_UNE</v>
      </c>
      <c r="G147" s="164" t="s">
        <v>604</v>
      </c>
      <c r="H147" s="231" t="s">
        <v>602</v>
      </c>
      <c r="I147" s="221" t="s">
        <v>2140</v>
      </c>
      <c r="J147" s="164" t="s">
        <v>847</v>
      </c>
      <c r="K147" s="200" t="str">
        <f>_xlfn.CONCAT(I147,"-",J147)</f>
        <v>PE_CAL_UNE_SW__FADESA CALLAO-172.16.1.12</v>
      </c>
      <c r="L147" s="61" t="s">
        <v>1408</v>
      </c>
      <c r="M147" s="164" t="s">
        <v>841</v>
      </c>
      <c r="N147" s="164" t="s">
        <v>845</v>
      </c>
      <c r="O147" s="236" t="s">
        <v>846</v>
      </c>
      <c r="P147" s="231" t="s">
        <v>352</v>
      </c>
      <c r="Q147" s="231" t="s">
        <v>609</v>
      </c>
      <c r="R147" s="231" t="s">
        <v>610</v>
      </c>
      <c r="S147" s="164" t="s">
        <v>845</v>
      </c>
      <c r="T147" s="164"/>
      <c r="U147" s="164" t="s">
        <v>845</v>
      </c>
      <c r="V147" s="231"/>
    </row>
    <row r="148" spans="1:22" ht="15.75">
      <c r="A148" s="216">
        <v>66</v>
      </c>
      <c r="B148" s="206" t="s">
        <v>2077</v>
      </c>
      <c r="C148" s="206" t="s">
        <v>839</v>
      </c>
      <c r="D148" s="97" t="s">
        <v>840</v>
      </c>
      <c r="E148" s="206" t="s">
        <v>69</v>
      </c>
      <c r="F148" s="202" t="str">
        <f>_xlfn.CONCAT(B148,"_",C148,"_",D148,"_",E148)</f>
        <v>PE_CALL_FADESA CALLAO_UNE</v>
      </c>
      <c r="G148" s="97" t="s">
        <v>604</v>
      </c>
      <c r="H148" s="206" t="s">
        <v>602</v>
      </c>
      <c r="I148" s="203" t="s">
        <v>2140</v>
      </c>
      <c r="J148" s="97" t="s">
        <v>850</v>
      </c>
      <c r="K148" s="200" t="str">
        <f>_xlfn.CONCAT(I148,"-",J148)</f>
        <v>PE_CAL_UNE_SW__FADESA CALLAO-172.16.1.14</v>
      </c>
      <c r="L148" s="61" t="s">
        <v>1408</v>
      </c>
      <c r="M148" s="97" t="s">
        <v>841</v>
      </c>
      <c r="N148" s="97" t="s">
        <v>848</v>
      </c>
      <c r="O148" s="204" t="s">
        <v>849</v>
      </c>
      <c r="P148" s="206" t="s">
        <v>352</v>
      </c>
      <c r="Q148" s="206" t="s">
        <v>609</v>
      </c>
      <c r="R148" s="206" t="s">
        <v>610</v>
      </c>
      <c r="S148" s="97" t="s">
        <v>848</v>
      </c>
      <c r="T148" s="97"/>
      <c r="U148" s="97" t="s">
        <v>848</v>
      </c>
      <c r="V148" s="206"/>
    </row>
    <row r="149" spans="1:22" ht="15.75">
      <c r="A149" s="216">
        <v>67</v>
      </c>
      <c r="B149" s="206" t="s">
        <v>2077</v>
      </c>
      <c r="C149" s="206" t="s">
        <v>839</v>
      </c>
      <c r="D149" s="97" t="s">
        <v>840</v>
      </c>
      <c r="E149" s="206" t="s">
        <v>69</v>
      </c>
      <c r="F149" s="202" t="str">
        <f>_xlfn.CONCAT(B149,"_",C149,"_",D149,"_",E149)</f>
        <v>PE_CALL_FADESA CALLAO_UNE</v>
      </c>
      <c r="G149" s="97" t="s">
        <v>604</v>
      </c>
      <c r="H149" s="206" t="s">
        <v>602</v>
      </c>
      <c r="I149" s="203" t="s">
        <v>2140</v>
      </c>
      <c r="J149" s="97" t="s">
        <v>852</v>
      </c>
      <c r="K149" s="200" t="str">
        <f>_xlfn.CONCAT(I149,"-",J149)</f>
        <v>PE_CAL_UNE_SW__FADESA CALLAO-172.16.1.20</v>
      </c>
      <c r="L149" s="61" t="s">
        <v>1408</v>
      </c>
      <c r="M149" s="97" t="s">
        <v>841</v>
      </c>
      <c r="N149" s="97" t="s">
        <v>845</v>
      </c>
      <c r="O149" s="201" t="s">
        <v>851</v>
      </c>
      <c r="P149" s="206" t="s">
        <v>352</v>
      </c>
      <c r="Q149" s="206" t="s">
        <v>609</v>
      </c>
      <c r="R149" s="206" t="s">
        <v>610</v>
      </c>
      <c r="S149" s="97" t="s">
        <v>845</v>
      </c>
      <c r="T149" s="97"/>
      <c r="U149" s="97" t="s">
        <v>845</v>
      </c>
      <c r="V149" s="206"/>
    </row>
    <row r="150" spans="1:22" ht="15.75">
      <c r="A150" s="216">
        <v>68</v>
      </c>
      <c r="B150" s="206" t="s">
        <v>2077</v>
      </c>
      <c r="C150" s="206" t="s">
        <v>839</v>
      </c>
      <c r="D150" s="97" t="s">
        <v>840</v>
      </c>
      <c r="E150" s="206" t="s">
        <v>69</v>
      </c>
      <c r="F150" s="202" t="str">
        <f>_xlfn.CONCAT(B150,"_",C150,"_",D150,"_",E150)</f>
        <v>PE_CALL_FADESA CALLAO_UNE</v>
      </c>
      <c r="G150" s="97" t="s">
        <v>604</v>
      </c>
      <c r="H150" s="206" t="s">
        <v>602</v>
      </c>
      <c r="I150" s="203" t="s">
        <v>2140</v>
      </c>
      <c r="J150" s="97" t="s">
        <v>854</v>
      </c>
      <c r="K150" s="200" t="str">
        <f>_xlfn.CONCAT(I150,"-",J150)</f>
        <v>PE_CAL_UNE_SW__FADESA CALLAO-172.16.1.220</v>
      </c>
      <c r="L150" s="61" t="s">
        <v>1408</v>
      </c>
      <c r="M150" s="97" t="s">
        <v>841</v>
      </c>
      <c r="N150" s="97" t="s">
        <v>848</v>
      </c>
      <c r="O150" s="204" t="s">
        <v>853</v>
      </c>
      <c r="P150" s="206" t="s">
        <v>352</v>
      </c>
      <c r="Q150" s="206" t="s">
        <v>609</v>
      </c>
      <c r="R150" s="206" t="s">
        <v>610</v>
      </c>
      <c r="S150" s="97" t="s">
        <v>848</v>
      </c>
      <c r="T150" s="97"/>
      <c r="U150" s="97" t="s">
        <v>848</v>
      </c>
      <c r="V150" s="206"/>
    </row>
    <row r="151" spans="1:22" ht="15.75">
      <c r="A151" s="216">
        <v>69</v>
      </c>
      <c r="B151" s="206" t="s">
        <v>2077</v>
      </c>
      <c r="C151" s="206" t="s">
        <v>839</v>
      </c>
      <c r="D151" s="97" t="s">
        <v>840</v>
      </c>
      <c r="E151" s="206" t="s">
        <v>69</v>
      </c>
      <c r="F151" s="202" t="str">
        <f>_xlfn.CONCAT(B151,"_",C151,"_",D151,"_",E151)</f>
        <v>PE_CALL_FADESA CALLAO_UNE</v>
      </c>
      <c r="G151" s="97" t="s">
        <v>604</v>
      </c>
      <c r="H151" s="206" t="s">
        <v>602</v>
      </c>
      <c r="I151" s="203" t="s">
        <v>2140</v>
      </c>
      <c r="J151" s="97" t="s">
        <v>857</v>
      </c>
      <c r="K151" s="200" t="str">
        <f>_xlfn.CONCAT(I151,"-",J151)</f>
        <v>PE_CAL_UNE_SW__FADESA CALLAO-172.16.1.7</v>
      </c>
      <c r="L151" s="61" t="s">
        <v>1408</v>
      </c>
      <c r="M151" s="97" t="s">
        <v>841</v>
      </c>
      <c r="N151" s="97" t="s">
        <v>855</v>
      </c>
      <c r="O151" s="201" t="s">
        <v>856</v>
      </c>
      <c r="P151" s="206" t="s">
        <v>352</v>
      </c>
      <c r="Q151" s="206" t="s">
        <v>609</v>
      </c>
      <c r="R151" s="206" t="s">
        <v>610</v>
      </c>
      <c r="S151" s="97" t="s">
        <v>855</v>
      </c>
      <c r="T151" s="97"/>
      <c r="U151" s="97" t="s">
        <v>855</v>
      </c>
      <c r="V151" s="206"/>
    </row>
    <row r="152" spans="1:22" ht="15.75">
      <c r="A152" s="216">
        <v>70</v>
      </c>
      <c r="B152" s="206" t="s">
        <v>2077</v>
      </c>
      <c r="C152" s="206" t="s">
        <v>839</v>
      </c>
      <c r="D152" s="97" t="s">
        <v>840</v>
      </c>
      <c r="E152" s="206" t="s">
        <v>69</v>
      </c>
      <c r="F152" s="202" t="str">
        <f>_xlfn.CONCAT(B152,"_",C152,"_",D152,"_",E152)</f>
        <v>PE_CALL_FADESA CALLAO_UNE</v>
      </c>
      <c r="G152" s="97" t="s">
        <v>604</v>
      </c>
      <c r="H152" s="206" t="s">
        <v>602</v>
      </c>
      <c r="I152" s="203" t="s">
        <v>2140</v>
      </c>
      <c r="J152" s="97" t="s">
        <v>860</v>
      </c>
      <c r="K152" s="200" t="str">
        <f>_xlfn.CONCAT(I152,"-",J152)</f>
        <v>PE_CAL_UNE_SW__FADESA CALLAO-172.16.2.100</v>
      </c>
      <c r="L152" s="61" t="s">
        <v>1408</v>
      </c>
      <c r="M152" s="97" t="s">
        <v>841</v>
      </c>
      <c r="N152" s="97" t="s">
        <v>858</v>
      </c>
      <c r="O152" s="201" t="s">
        <v>859</v>
      </c>
      <c r="P152" s="206" t="s">
        <v>352</v>
      </c>
      <c r="Q152" s="206" t="s">
        <v>609</v>
      </c>
      <c r="R152" s="206" t="s">
        <v>610</v>
      </c>
      <c r="S152" s="97" t="s">
        <v>858</v>
      </c>
      <c r="T152" s="97"/>
      <c r="U152" s="97" t="s">
        <v>858</v>
      </c>
      <c r="V152" s="206"/>
    </row>
    <row r="153" spans="1:22" ht="31.5">
      <c r="A153" s="216">
        <v>150</v>
      </c>
      <c r="B153" s="206" t="s">
        <v>2077</v>
      </c>
      <c r="C153" s="206" t="s">
        <v>2190</v>
      </c>
      <c r="D153" s="155" t="s">
        <v>2191</v>
      </c>
      <c r="E153" s="206" t="s">
        <v>561</v>
      </c>
      <c r="F153" s="202" t="str">
        <f>_xlfn.CONCAT(B153,"_",C153,"_",D153,"_",E153)</f>
        <v xml:space="preserve">PE_LIM_LA LLAVE-SAN ISIDRO_UNS </v>
      </c>
      <c r="G153" s="97" t="s">
        <v>604</v>
      </c>
      <c r="H153" s="206" t="s">
        <v>602</v>
      </c>
      <c r="I153" s="203" t="s">
        <v>2192</v>
      </c>
      <c r="J153" s="97" t="s">
        <v>1125</v>
      </c>
      <c r="K153" s="200" t="str">
        <f>_xlfn.CONCAT(I153,"-",J153)</f>
        <v>PE_LIM_UNS_SW_ACCE_LA LLAVE-SAN ISIDRO-172.23.100.250</v>
      </c>
      <c r="L153" s="61" t="s">
        <v>1408</v>
      </c>
      <c r="M153" s="97" t="s">
        <v>1090</v>
      </c>
      <c r="N153" s="97" t="s">
        <v>1123</v>
      </c>
      <c r="O153" s="204" t="s">
        <v>1124</v>
      </c>
      <c r="P153" s="206" t="s">
        <v>1126</v>
      </c>
      <c r="Q153" s="206" t="s">
        <v>609</v>
      </c>
      <c r="R153" s="206" t="s">
        <v>610</v>
      </c>
      <c r="S153" s="164" t="s">
        <v>1123</v>
      </c>
      <c r="T153" s="240" t="s">
        <v>643</v>
      </c>
      <c r="U153" s="164" t="s">
        <v>1123</v>
      </c>
      <c r="V153" s="206"/>
    </row>
    <row r="154" spans="1:22" ht="15.75">
      <c r="A154" s="216">
        <v>151</v>
      </c>
      <c r="B154" s="206" t="s">
        <v>2077</v>
      </c>
      <c r="C154" s="206" t="s">
        <v>2190</v>
      </c>
      <c r="D154" s="155" t="s">
        <v>2191</v>
      </c>
      <c r="E154" s="206" t="s">
        <v>561</v>
      </c>
      <c r="F154" s="202" t="str">
        <f>_xlfn.CONCAT(B154,"_",C154,"_",D154,"_",E154)</f>
        <v xml:space="preserve">PE_LIM_LA LLAVE-SAN ISIDRO_UNS </v>
      </c>
      <c r="G154" s="97" t="s">
        <v>604</v>
      </c>
      <c r="H154" s="206" t="s">
        <v>602</v>
      </c>
      <c r="I154" s="203" t="s">
        <v>2193</v>
      </c>
      <c r="J154" s="97" t="s">
        <v>1128</v>
      </c>
      <c r="K154" s="200" t="str">
        <f>_xlfn.CONCAT(I154,"-",J154)</f>
        <v>PE_LIM_UNS_SW_DIST_LA LLAVE-SAN ISIDRO-172.23.100.251</v>
      </c>
      <c r="L154" s="61" t="s">
        <v>1408</v>
      </c>
      <c r="M154" s="97" t="s">
        <v>1090</v>
      </c>
      <c r="N154" s="97" t="s">
        <v>1123</v>
      </c>
      <c r="O154" s="204" t="s">
        <v>1127</v>
      </c>
      <c r="P154" s="206" t="s">
        <v>1126</v>
      </c>
      <c r="Q154" s="206" t="s">
        <v>609</v>
      </c>
      <c r="R154" s="206" t="s">
        <v>610</v>
      </c>
      <c r="S154" s="97" t="s">
        <v>1123</v>
      </c>
      <c r="T154" s="97" t="s">
        <v>2181</v>
      </c>
      <c r="U154" s="97" t="s">
        <v>1123</v>
      </c>
      <c r="V154" s="250"/>
    </row>
    <row r="155" spans="1:22" ht="15.75">
      <c r="A155" s="216">
        <v>152</v>
      </c>
      <c r="B155" s="206" t="s">
        <v>2077</v>
      </c>
      <c r="C155" s="206" t="s">
        <v>2194</v>
      </c>
      <c r="D155" s="97" t="s">
        <v>2195</v>
      </c>
      <c r="E155" s="206" t="s">
        <v>561</v>
      </c>
      <c r="F155" s="202" t="str">
        <f>_xlfn.CONCAT(B155,"_",C155,"_",D155,"_",E155)</f>
        <v xml:space="preserve">PE_VES_LA LLAVE VES_UNS </v>
      </c>
      <c r="G155" s="97" t="s">
        <v>604</v>
      </c>
      <c r="H155" s="206" t="s">
        <v>602</v>
      </c>
      <c r="I155" s="203" t="s">
        <v>2196</v>
      </c>
      <c r="J155" s="97" t="s">
        <v>1130</v>
      </c>
      <c r="K155" s="200" t="str">
        <f>_xlfn.CONCAT(I155,"-",J155)</f>
        <v>PE_VES_UNS_SW_DIST_LA LLAVE VES-172.23.200.250</v>
      </c>
      <c r="L155" s="61" t="s">
        <v>1408</v>
      </c>
      <c r="M155" s="165" t="s">
        <v>1090</v>
      </c>
      <c r="N155" s="165" t="s">
        <v>1123</v>
      </c>
      <c r="O155" s="204" t="s">
        <v>1129</v>
      </c>
      <c r="P155" s="206" t="s">
        <v>1131</v>
      </c>
      <c r="Q155" s="206" t="s">
        <v>609</v>
      </c>
      <c r="R155" s="206" t="s">
        <v>610</v>
      </c>
      <c r="S155" s="97" t="s">
        <v>1123</v>
      </c>
      <c r="T155" s="97" t="s">
        <v>611</v>
      </c>
      <c r="U155" s="97" t="s">
        <v>1123</v>
      </c>
      <c r="V155" s="206"/>
    </row>
  </sheetData>
  <autoFilter ref="A1:V155" xr:uid="{E7ACD4C2-1D02-4E00-A58B-EA38A3D0A7AB}">
    <sortState xmlns:xlrd2="http://schemas.microsoft.com/office/spreadsheetml/2017/richdata2" ref="A2:V155">
      <sortCondition ref="B1:B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9F7"/>
  </sheetPr>
  <dimension ref="A1:X62"/>
  <sheetViews>
    <sheetView zoomScale="80" zoomScaleNormal="80" workbookViewId="0">
      <selection activeCell="X1" sqref="X1"/>
    </sheetView>
  </sheetViews>
  <sheetFormatPr baseColWidth="10" defaultColWidth="12.5703125" defaultRowHeight="15" customHeight="1"/>
  <cols>
    <col min="1" max="1" width="7.42578125" customWidth="1"/>
    <col min="2" max="2" width="12.85546875" customWidth="1"/>
    <col min="3" max="3" width="10.140625" customWidth="1"/>
    <col min="4" max="4" width="15.42578125" customWidth="1"/>
    <col min="5" max="6" width="34.5703125" customWidth="1"/>
    <col min="7" max="7" width="19.5703125" bestFit="1" customWidth="1"/>
    <col min="8" max="10" width="18.42578125" customWidth="1"/>
    <col min="11" max="11" width="30.7109375" bestFit="1" customWidth="1"/>
    <col min="12" max="13" width="18.42578125" customWidth="1"/>
    <col min="14" max="14" width="59" customWidth="1"/>
    <col min="15" max="17" width="18.42578125" customWidth="1"/>
    <col min="18" max="18" width="19.140625" bestFit="1" customWidth="1"/>
    <col min="19" max="21" width="18.42578125" customWidth="1"/>
    <col min="22" max="22" width="32.85546875" customWidth="1"/>
    <col min="23" max="23" width="32.140625" customWidth="1"/>
    <col min="24" max="24" width="19.85546875" customWidth="1"/>
  </cols>
  <sheetData>
    <row r="1" spans="1:24" ht="33" customHeight="1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2228</v>
      </c>
      <c r="H1" s="197" t="s">
        <v>2227</v>
      </c>
      <c r="I1" s="197" t="s">
        <v>599</v>
      </c>
      <c r="J1" s="197" t="s">
        <v>1986</v>
      </c>
      <c r="K1" s="197" t="s">
        <v>2224</v>
      </c>
      <c r="L1" s="197" t="s">
        <v>2222</v>
      </c>
      <c r="M1" s="197" t="s">
        <v>2229</v>
      </c>
      <c r="N1" s="1" t="s">
        <v>2225</v>
      </c>
      <c r="O1" s="1" t="s">
        <v>2230</v>
      </c>
      <c r="P1" s="1" t="s">
        <v>2231</v>
      </c>
      <c r="Q1" s="1" t="s">
        <v>2232</v>
      </c>
      <c r="R1" s="1" t="s">
        <v>2235</v>
      </c>
      <c r="S1" s="1" t="s">
        <v>2233</v>
      </c>
      <c r="T1" s="1" t="s">
        <v>2234</v>
      </c>
      <c r="U1" s="1" t="s">
        <v>259</v>
      </c>
      <c r="V1" s="1" t="s">
        <v>2236</v>
      </c>
      <c r="W1" s="1" t="s">
        <v>2237</v>
      </c>
      <c r="X1" s="2" t="s">
        <v>2238</v>
      </c>
    </row>
    <row r="2" spans="1:24">
      <c r="A2" s="4">
        <v>1</v>
      </c>
      <c r="B2" s="5" t="s">
        <v>2078</v>
      </c>
      <c r="C2" s="5" t="s">
        <v>2218</v>
      </c>
      <c r="D2" s="5" t="s">
        <v>43</v>
      </c>
      <c r="E2" s="6" t="s">
        <v>40</v>
      </c>
      <c r="F2" s="199" t="str">
        <f>_xlfn.CONCAT(B2,"_",C2,"_",D2,"_",E2)</f>
        <v xml:space="preserve">EC_SUIZ_VIRTUAL_SEMVRA </v>
      </c>
      <c r="G2" s="5" t="s">
        <v>39</v>
      </c>
      <c r="H2" s="7" t="s">
        <v>41</v>
      </c>
      <c r="I2" s="8" t="s">
        <v>41</v>
      </c>
      <c r="J2" s="13" t="s">
        <v>42</v>
      </c>
      <c r="K2" s="13" t="str">
        <f>_xlfn.CONCAT(I2,"-",J2)</f>
        <v>GVA032-10.0.1.64</v>
      </c>
      <c r="L2" s="8" t="s">
        <v>43</v>
      </c>
      <c r="M2" s="8" t="s">
        <v>44</v>
      </c>
      <c r="N2" s="9" t="s">
        <v>45</v>
      </c>
      <c r="O2" s="8">
        <v>6</v>
      </c>
      <c r="P2" s="8">
        <v>16</v>
      </c>
      <c r="Q2" s="8">
        <v>200</v>
      </c>
      <c r="R2" s="4"/>
      <c r="S2" s="10" t="s">
        <v>46</v>
      </c>
      <c r="T2" s="10" t="s">
        <v>47</v>
      </c>
      <c r="U2" s="7" t="s">
        <v>48</v>
      </c>
      <c r="V2" s="10" t="s">
        <v>45</v>
      </c>
      <c r="W2" s="11"/>
      <c r="X2" s="5" t="s">
        <v>49</v>
      </c>
    </row>
    <row r="3" spans="1:24">
      <c r="A3" s="4">
        <v>2</v>
      </c>
      <c r="B3" s="5" t="s">
        <v>2078</v>
      </c>
      <c r="C3" s="5" t="s">
        <v>2218</v>
      </c>
      <c r="D3" s="5" t="s">
        <v>43</v>
      </c>
      <c r="E3" s="6" t="s">
        <v>40</v>
      </c>
      <c r="F3" s="199" t="str">
        <f t="shared" ref="F3:F62" si="0">_xlfn.CONCAT(B3,"_",C3,"_",D3,"_",E3)</f>
        <v xml:space="preserve">EC_SUIZ_VIRTUAL_SEMVRA </v>
      </c>
      <c r="G3" s="5" t="s">
        <v>39</v>
      </c>
      <c r="H3" s="7" t="s">
        <v>50</v>
      </c>
      <c r="I3" s="8" t="s">
        <v>50</v>
      </c>
      <c r="J3" s="13" t="s">
        <v>51</v>
      </c>
      <c r="K3" s="13" t="str">
        <f t="shared" ref="K3:K62" si="1">_xlfn.CONCAT(I3,"-",J3)</f>
        <v>GVA033-10.0.1.33</v>
      </c>
      <c r="L3" s="8" t="s">
        <v>43</v>
      </c>
      <c r="M3" s="8" t="s">
        <v>52</v>
      </c>
      <c r="N3" s="9" t="s">
        <v>53</v>
      </c>
      <c r="O3" s="8">
        <v>4</v>
      </c>
      <c r="P3" s="8">
        <v>8</v>
      </c>
      <c r="Q3" s="8">
        <v>220</v>
      </c>
      <c r="R3" s="4"/>
      <c r="S3" s="10" t="s">
        <v>46</v>
      </c>
      <c r="T3" s="10" t="s">
        <v>47</v>
      </c>
      <c r="U3" s="7" t="s">
        <v>54</v>
      </c>
      <c r="V3" s="10" t="s">
        <v>53</v>
      </c>
      <c r="W3" s="11"/>
      <c r="X3" s="5" t="s">
        <v>49</v>
      </c>
    </row>
    <row r="4" spans="1:24">
      <c r="A4" s="4">
        <v>3</v>
      </c>
      <c r="B4" s="5" t="s">
        <v>2078</v>
      </c>
      <c r="C4" s="5" t="s">
        <v>2218</v>
      </c>
      <c r="D4" s="5" t="s">
        <v>43</v>
      </c>
      <c r="E4" s="6" t="s">
        <v>40</v>
      </c>
      <c r="F4" s="199" t="str">
        <f t="shared" si="0"/>
        <v xml:space="preserve">EC_SUIZ_VIRTUAL_SEMVRA </v>
      </c>
      <c r="G4" s="5" t="s">
        <v>39</v>
      </c>
      <c r="H4" s="7" t="s">
        <v>55</v>
      </c>
      <c r="I4" s="8" t="s">
        <v>55</v>
      </c>
      <c r="J4" s="13" t="s">
        <v>56</v>
      </c>
      <c r="K4" s="13" t="str">
        <f t="shared" si="1"/>
        <v>GVA034-10.0.1.34</v>
      </c>
      <c r="L4" s="8" t="s">
        <v>43</v>
      </c>
      <c r="M4" s="8" t="s">
        <v>57</v>
      </c>
      <c r="N4" s="9" t="s">
        <v>58</v>
      </c>
      <c r="O4" s="8">
        <v>4</v>
      </c>
      <c r="P4" s="8">
        <v>24</v>
      </c>
      <c r="Q4" s="8">
        <v>160</v>
      </c>
      <c r="R4" s="4"/>
      <c r="S4" s="10" t="s">
        <v>46</v>
      </c>
      <c r="T4" s="10" t="s">
        <v>47</v>
      </c>
      <c r="U4" s="7" t="s">
        <v>54</v>
      </c>
      <c r="V4" s="10" t="s">
        <v>58</v>
      </c>
      <c r="W4" s="11"/>
      <c r="X4" s="5" t="s">
        <v>49</v>
      </c>
    </row>
    <row r="5" spans="1:24">
      <c r="A5" s="4">
        <v>4</v>
      </c>
      <c r="B5" s="5" t="s">
        <v>2078</v>
      </c>
      <c r="C5" s="5" t="s">
        <v>2218</v>
      </c>
      <c r="D5" s="5" t="s">
        <v>43</v>
      </c>
      <c r="E5" s="6" t="s">
        <v>40</v>
      </c>
      <c r="F5" s="199" t="str">
        <f t="shared" si="0"/>
        <v xml:space="preserve">EC_SUIZ_VIRTUAL_SEMVRA </v>
      </c>
      <c r="G5" s="5" t="s">
        <v>39</v>
      </c>
      <c r="H5" s="7" t="s">
        <v>59</v>
      </c>
      <c r="I5" s="8" t="s">
        <v>59</v>
      </c>
      <c r="J5" s="13" t="s">
        <v>60</v>
      </c>
      <c r="K5" s="13" t="str">
        <f t="shared" si="1"/>
        <v>GVA045-10.0.1.177</v>
      </c>
      <c r="L5" s="8" t="s">
        <v>43</v>
      </c>
      <c r="M5" s="8" t="s">
        <v>61</v>
      </c>
      <c r="N5" s="9" t="s">
        <v>62</v>
      </c>
      <c r="O5" s="8">
        <v>4</v>
      </c>
      <c r="P5" s="8">
        <v>16</v>
      </c>
      <c r="Q5" s="8">
        <v>100</v>
      </c>
      <c r="R5" s="4"/>
      <c r="S5" s="10" t="s">
        <v>46</v>
      </c>
      <c r="T5" s="10" t="s">
        <v>47</v>
      </c>
      <c r="U5" s="7" t="s">
        <v>54</v>
      </c>
      <c r="V5" s="10" t="s">
        <v>62</v>
      </c>
      <c r="W5" s="11"/>
      <c r="X5" s="5" t="s">
        <v>49</v>
      </c>
    </row>
    <row r="6" spans="1:24">
      <c r="A6" s="4">
        <v>5</v>
      </c>
      <c r="B6" s="5" t="s">
        <v>2078</v>
      </c>
      <c r="C6" s="5" t="s">
        <v>2218</v>
      </c>
      <c r="D6" s="5" t="s">
        <v>43</v>
      </c>
      <c r="E6" s="6" t="s">
        <v>40</v>
      </c>
      <c r="F6" s="199" t="str">
        <f t="shared" si="0"/>
        <v xml:space="preserve">EC_SUIZ_VIRTUAL_SEMVRA </v>
      </c>
      <c r="G6" s="5" t="s">
        <v>39</v>
      </c>
      <c r="H6" s="7" t="s">
        <v>63</v>
      </c>
      <c r="I6" s="8" t="s">
        <v>63</v>
      </c>
      <c r="J6" s="13" t="s">
        <v>64</v>
      </c>
      <c r="K6" s="13" t="str">
        <f t="shared" si="1"/>
        <v>GVA130-10.0.1.230</v>
      </c>
      <c r="L6" s="8" t="s">
        <v>43</v>
      </c>
      <c r="M6" s="8" t="s">
        <v>61</v>
      </c>
      <c r="N6" s="9" t="s">
        <v>65</v>
      </c>
      <c r="O6" s="8">
        <v>6</v>
      </c>
      <c r="P6" s="8">
        <v>96</v>
      </c>
      <c r="Q6" s="8">
        <v>500</v>
      </c>
      <c r="R6" s="4"/>
      <c r="S6" s="10" t="s">
        <v>46</v>
      </c>
      <c r="T6" s="10" t="s">
        <v>47</v>
      </c>
      <c r="U6" s="7" t="s">
        <v>54</v>
      </c>
      <c r="V6" s="10" t="s">
        <v>65</v>
      </c>
      <c r="W6" s="11"/>
      <c r="X6" s="5" t="s">
        <v>49</v>
      </c>
    </row>
    <row r="7" spans="1:24">
      <c r="A7" s="4">
        <v>6</v>
      </c>
      <c r="B7" s="5" t="s">
        <v>2078</v>
      </c>
      <c r="C7" s="5" t="s">
        <v>2218</v>
      </c>
      <c r="D7" s="5" t="s">
        <v>43</v>
      </c>
      <c r="E7" s="6" t="s">
        <v>40</v>
      </c>
      <c r="F7" s="199" t="str">
        <f t="shared" si="0"/>
        <v xml:space="preserve">EC_SUIZ_VIRTUAL_SEMVRA </v>
      </c>
      <c r="G7" s="5" t="s">
        <v>39</v>
      </c>
      <c r="H7" s="7" t="s">
        <v>66</v>
      </c>
      <c r="I7" s="8" t="s">
        <v>66</v>
      </c>
      <c r="J7" s="13" t="s">
        <v>67</v>
      </c>
      <c r="K7" s="13" t="str">
        <f t="shared" si="1"/>
        <v>GVA030-10.255.255.230</v>
      </c>
      <c r="L7" s="8" t="s">
        <v>43</v>
      </c>
      <c r="M7" s="8" t="s">
        <v>61</v>
      </c>
      <c r="N7" s="9" t="s">
        <v>68</v>
      </c>
      <c r="O7" s="8">
        <v>6</v>
      </c>
      <c r="P7" s="8">
        <v>96</v>
      </c>
      <c r="Q7" s="8">
        <v>500</v>
      </c>
      <c r="R7" s="4"/>
      <c r="S7" s="10" t="s">
        <v>46</v>
      </c>
      <c r="T7" s="10" t="s">
        <v>47</v>
      </c>
      <c r="U7" s="7" t="s">
        <v>54</v>
      </c>
      <c r="V7" s="10" t="s">
        <v>68</v>
      </c>
      <c r="W7" s="11"/>
      <c r="X7" s="5" t="s">
        <v>49</v>
      </c>
    </row>
    <row r="8" spans="1:24">
      <c r="A8" s="4">
        <v>7</v>
      </c>
      <c r="B8" s="5" t="s">
        <v>2078</v>
      </c>
      <c r="C8" s="5" t="s">
        <v>2218</v>
      </c>
      <c r="D8" s="5" t="s">
        <v>43</v>
      </c>
      <c r="E8" s="6" t="s">
        <v>69</v>
      </c>
      <c r="F8" s="199" t="str">
        <f t="shared" si="0"/>
        <v>EC_SUIZ_VIRTUAL_UNE</v>
      </c>
      <c r="G8" s="5" t="s">
        <v>39</v>
      </c>
      <c r="H8" s="12" t="s">
        <v>70</v>
      </c>
      <c r="I8" s="8" t="s">
        <v>70</v>
      </c>
      <c r="J8" s="13" t="s">
        <v>71</v>
      </c>
      <c r="K8" s="13" t="str">
        <f t="shared" si="1"/>
        <v>GVAE20-10.0.1.20</v>
      </c>
      <c r="L8" s="8" t="s">
        <v>43</v>
      </c>
      <c r="M8" s="8" t="s">
        <v>72</v>
      </c>
      <c r="N8" s="9" t="s">
        <v>73</v>
      </c>
      <c r="O8" s="4"/>
      <c r="P8" s="4"/>
      <c r="Q8" s="4"/>
      <c r="R8" s="4"/>
      <c r="S8" s="10" t="s">
        <v>46</v>
      </c>
      <c r="T8" s="10" t="s">
        <v>47</v>
      </c>
      <c r="U8" s="12" t="s">
        <v>54</v>
      </c>
      <c r="V8" s="10" t="s">
        <v>73</v>
      </c>
      <c r="W8" s="11"/>
      <c r="X8" s="5" t="s">
        <v>49</v>
      </c>
    </row>
    <row r="9" spans="1:24">
      <c r="A9" s="4">
        <v>8</v>
      </c>
      <c r="B9" s="5" t="s">
        <v>2078</v>
      </c>
      <c r="C9" s="5" t="s">
        <v>2218</v>
      </c>
      <c r="D9" s="5" t="s">
        <v>43</v>
      </c>
      <c r="E9" s="6" t="s">
        <v>69</v>
      </c>
      <c r="F9" s="199" t="str">
        <f t="shared" si="0"/>
        <v>EC_SUIZ_VIRTUAL_UNE</v>
      </c>
      <c r="G9" s="5" t="s">
        <v>39</v>
      </c>
      <c r="H9" s="12" t="s">
        <v>74</v>
      </c>
      <c r="I9" s="8" t="s">
        <v>74</v>
      </c>
      <c r="J9" s="13" t="s">
        <v>75</v>
      </c>
      <c r="K9" s="13" t="str">
        <f t="shared" si="1"/>
        <v>GV030-10.0.1.30</v>
      </c>
      <c r="L9" s="8" t="s">
        <v>43</v>
      </c>
      <c r="M9" s="8" t="s">
        <v>72</v>
      </c>
      <c r="N9" s="9" t="s">
        <v>76</v>
      </c>
      <c r="O9" s="8">
        <v>2</v>
      </c>
      <c r="P9" s="8">
        <v>8</v>
      </c>
      <c r="Q9" s="8">
        <v>400</v>
      </c>
      <c r="R9" s="4"/>
      <c r="S9" s="10" t="s">
        <v>46</v>
      </c>
      <c r="T9" s="10" t="s">
        <v>47</v>
      </c>
      <c r="U9" s="12" t="s">
        <v>54</v>
      </c>
      <c r="V9" s="14" t="s">
        <v>76</v>
      </c>
      <c r="W9" s="11"/>
      <c r="X9" s="5" t="s">
        <v>49</v>
      </c>
    </row>
    <row r="10" spans="1:24">
      <c r="A10" s="4">
        <v>9</v>
      </c>
      <c r="B10" s="5" t="s">
        <v>2078</v>
      </c>
      <c r="C10" s="5" t="s">
        <v>2218</v>
      </c>
      <c r="D10" s="5" t="s">
        <v>43</v>
      </c>
      <c r="E10" s="6" t="s">
        <v>69</v>
      </c>
      <c r="F10" s="199" t="str">
        <f t="shared" si="0"/>
        <v>EC_SUIZ_VIRTUAL_UNE</v>
      </c>
      <c r="G10" s="5" t="s">
        <v>39</v>
      </c>
      <c r="H10" s="12" t="s">
        <v>77</v>
      </c>
      <c r="I10" s="8" t="s">
        <v>77</v>
      </c>
      <c r="J10" s="79" t="s">
        <v>78</v>
      </c>
      <c r="K10" s="13" t="str">
        <f t="shared" si="1"/>
        <v>GVCAE042-10.0.1.122</v>
      </c>
      <c r="L10" s="8" t="s">
        <v>43</v>
      </c>
      <c r="M10" s="14" t="s">
        <v>79</v>
      </c>
      <c r="N10" s="9" t="s">
        <v>80</v>
      </c>
      <c r="O10" s="14">
        <v>2</v>
      </c>
      <c r="P10" s="14">
        <v>32</v>
      </c>
      <c r="Q10" s="8">
        <v>200</v>
      </c>
      <c r="R10" s="4"/>
      <c r="S10" s="10" t="s">
        <v>46</v>
      </c>
      <c r="T10" s="10" t="s">
        <v>47</v>
      </c>
      <c r="U10" s="12" t="s">
        <v>54</v>
      </c>
      <c r="V10" s="14" t="s">
        <v>80</v>
      </c>
      <c r="W10" s="11"/>
      <c r="X10" s="5" t="s">
        <v>49</v>
      </c>
    </row>
    <row r="11" spans="1:24">
      <c r="A11" s="4">
        <v>10</v>
      </c>
      <c r="B11" s="5" t="s">
        <v>2078</v>
      </c>
      <c r="C11" s="5" t="s">
        <v>2218</v>
      </c>
      <c r="D11" s="5" t="s">
        <v>43</v>
      </c>
      <c r="E11" s="6" t="s">
        <v>69</v>
      </c>
      <c r="F11" s="199" t="str">
        <f t="shared" si="0"/>
        <v>EC_SUIZ_VIRTUAL_UNE</v>
      </c>
      <c r="G11" s="5" t="s">
        <v>39</v>
      </c>
      <c r="H11" s="12" t="s">
        <v>81</v>
      </c>
      <c r="I11" s="8" t="s">
        <v>81</v>
      </c>
      <c r="J11" s="13" t="s">
        <v>82</v>
      </c>
      <c r="K11" s="13" t="str">
        <f t="shared" si="1"/>
        <v>GVE022-10.0.1.48</v>
      </c>
      <c r="L11" s="8" t="s">
        <v>43</v>
      </c>
      <c r="M11" s="8" t="s">
        <v>57</v>
      </c>
      <c r="N11" s="9" t="s">
        <v>83</v>
      </c>
      <c r="O11" s="8">
        <v>4</v>
      </c>
      <c r="P11" s="8">
        <v>48</v>
      </c>
      <c r="Q11" s="8">
        <v>400</v>
      </c>
      <c r="R11" s="4"/>
      <c r="S11" s="10" t="s">
        <v>46</v>
      </c>
      <c r="T11" s="10" t="s">
        <v>47</v>
      </c>
      <c r="U11" s="12" t="s">
        <v>54</v>
      </c>
      <c r="V11" s="14" t="s">
        <v>83</v>
      </c>
      <c r="W11" s="11"/>
      <c r="X11" s="5" t="s">
        <v>49</v>
      </c>
    </row>
    <row r="12" spans="1:24">
      <c r="A12" s="4">
        <v>11</v>
      </c>
      <c r="B12" s="5" t="s">
        <v>2078</v>
      </c>
      <c r="C12" s="5" t="s">
        <v>2218</v>
      </c>
      <c r="D12" s="5" t="s">
        <v>43</v>
      </c>
      <c r="E12" s="6" t="s">
        <v>69</v>
      </c>
      <c r="F12" s="199" t="str">
        <f t="shared" si="0"/>
        <v>EC_SUIZ_VIRTUAL_UNE</v>
      </c>
      <c r="G12" s="5" t="s">
        <v>39</v>
      </c>
      <c r="H12" s="12" t="s">
        <v>84</v>
      </c>
      <c r="I12" s="8" t="s">
        <v>84</v>
      </c>
      <c r="J12" s="13" t="s">
        <v>85</v>
      </c>
      <c r="K12" s="13" t="str">
        <f t="shared" si="1"/>
        <v>GVE051-10.0.1.207</v>
      </c>
      <c r="L12" s="8" t="s">
        <v>43</v>
      </c>
      <c r="M12" s="8" t="s">
        <v>72</v>
      </c>
      <c r="N12" s="9" t="s">
        <v>86</v>
      </c>
      <c r="O12" s="8">
        <v>4</v>
      </c>
      <c r="P12" s="8">
        <v>16</v>
      </c>
      <c r="Q12" s="8">
        <v>200</v>
      </c>
      <c r="R12" s="4"/>
      <c r="S12" s="10" t="s">
        <v>46</v>
      </c>
      <c r="T12" s="10" t="s">
        <v>47</v>
      </c>
      <c r="U12" s="12" t="s">
        <v>54</v>
      </c>
      <c r="V12" s="14" t="s">
        <v>86</v>
      </c>
      <c r="W12" s="11"/>
      <c r="X12" s="5" t="s">
        <v>49</v>
      </c>
    </row>
    <row r="13" spans="1:24">
      <c r="A13" s="4">
        <v>12</v>
      </c>
      <c r="B13" s="5" t="s">
        <v>2078</v>
      </c>
      <c r="C13" s="5" t="s">
        <v>2218</v>
      </c>
      <c r="D13" s="5" t="s">
        <v>43</v>
      </c>
      <c r="E13" s="6" t="s">
        <v>69</v>
      </c>
      <c r="F13" s="199" t="str">
        <f t="shared" si="0"/>
        <v>EC_SUIZ_VIRTUAL_UNE</v>
      </c>
      <c r="G13" s="5" t="s">
        <v>39</v>
      </c>
      <c r="H13" s="12" t="s">
        <v>87</v>
      </c>
      <c r="I13" s="8" t="s">
        <v>87</v>
      </c>
      <c r="J13" s="13" t="s">
        <v>88</v>
      </c>
      <c r="K13" s="13" t="str">
        <f t="shared" si="1"/>
        <v>GVE052-10.0.1.96</v>
      </c>
      <c r="L13" s="8" t="s">
        <v>43</v>
      </c>
      <c r="M13" s="8" t="s">
        <v>57</v>
      </c>
      <c r="N13" s="9" t="s">
        <v>89</v>
      </c>
      <c r="O13" s="8">
        <v>4</v>
      </c>
      <c r="P13" s="8">
        <v>16</v>
      </c>
      <c r="Q13" s="8">
        <v>200</v>
      </c>
      <c r="R13" s="4"/>
      <c r="S13" s="10" t="s">
        <v>46</v>
      </c>
      <c r="T13" s="10" t="s">
        <v>47</v>
      </c>
      <c r="U13" s="12" t="s">
        <v>54</v>
      </c>
      <c r="V13" s="14" t="s">
        <v>89</v>
      </c>
      <c r="W13" s="11"/>
      <c r="X13" s="5" t="s">
        <v>49</v>
      </c>
    </row>
    <row r="14" spans="1:24">
      <c r="A14" s="4">
        <v>13</v>
      </c>
      <c r="B14" s="5" t="s">
        <v>2078</v>
      </c>
      <c r="C14" s="5" t="s">
        <v>2218</v>
      </c>
      <c r="D14" s="5" t="s">
        <v>43</v>
      </c>
      <c r="E14" s="6" t="s">
        <v>69</v>
      </c>
      <c r="F14" s="199" t="str">
        <f t="shared" si="0"/>
        <v>EC_SUIZ_VIRTUAL_UNE</v>
      </c>
      <c r="G14" s="5" t="s">
        <v>39</v>
      </c>
      <c r="H14" s="12" t="s">
        <v>90</v>
      </c>
      <c r="I14" s="8" t="s">
        <v>90</v>
      </c>
      <c r="J14" s="13" t="s">
        <v>91</v>
      </c>
      <c r="K14" s="13" t="str">
        <f t="shared" si="1"/>
        <v>GVCAE045-10.0.1.102</v>
      </c>
      <c r="L14" s="8" t="s">
        <v>43</v>
      </c>
      <c r="M14" s="8" t="s">
        <v>79</v>
      </c>
      <c r="N14" s="9" t="s">
        <v>92</v>
      </c>
      <c r="O14" s="79">
        <v>2</v>
      </c>
      <c r="P14" s="14">
        <v>32</v>
      </c>
      <c r="Q14" s="8">
        <v>230</v>
      </c>
      <c r="R14" s="4"/>
      <c r="S14" s="10" t="s">
        <v>46</v>
      </c>
      <c r="T14" s="10" t="s">
        <v>47</v>
      </c>
      <c r="U14" s="12" t="s">
        <v>54</v>
      </c>
      <c r="V14" s="14" t="s">
        <v>92</v>
      </c>
      <c r="W14" s="11"/>
      <c r="X14" s="5" t="s">
        <v>49</v>
      </c>
    </row>
    <row r="15" spans="1:24">
      <c r="A15" s="4">
        <v>14</v>
      </c>
      <c r="B15" s="5" t="s">
        <v>2078</v>
      </c>
      <c r="C15" s="5" t="s">
        <v>2218</v>
      </c>
      <c r="D15" s="5" t="s">
        <v>43</v>
      </c>
      <c r="E15" s="6" t="s">
        <v>69</v>
      </c>
      <c r="F15" s="199" t="str">
        <f t="shared" si="0"/>
        <v>EC_SUIZ_VIRTUAL_UNE</v>
      </c>
      <c r="G15" s="5" t="s">
        <v>39</v>
      </c>
      <c r="H15" s="12" t="s">
        <v>93</v>
      </c>
      <c r="I15" s="8" t="s">
        <v>93</v>
      </c>
      <c r="J15" s="13" t="s">
        <v>94</v>
      </c>
      <c r="K15" s="13" t="str">
        <f t="shared" si="1"/>
        <v>GVE055-10.255.255.89</v>
      </c>
      <c r="L15" s="8" t="s">
        <v>43</v>
      </c>
      <c r="M15" s="8" t="s">
        <v>52</v>
      </c>
      <c r="N15" s="9" t="s">
        <v>95</v>
      </c>
      <c r="O15" s="14">
        <v>2</v>
      </c>
      <c r="P15" s="14">
        <v>8</v>
      </c>
      <c r="Q15" s="8">
        <v>100</v>
      </c>
      <c r="R15" s="4"/>
      <c r="S15" s="10" t="s">
        <v>46</v>
      </c>
      <c r="T15" s="10" t="s">
        <v>47</v>
      </c>
      <c r="U15" s="12" t="s">
        <v>54</v>
      </c>
      <c r="V15" s="14" t="s">
        <v>95</v>
      </c>
      <c r="W15" s="11"/>
      <c r="X15" s="5" t="s">
        <v>49</v>
      </c>
    </row>
    <row r="16" spans="1:24">
      <c r="A16" s="4">
        <v>15</v>
      </c>
      <c r="B16" s="5" t="s">
        <v>2078</v>
      </c>
      <c r="C16" s="5" t="s">
        <v>2218</v>
      </c>
      <c r="D16" s="5" t="s">
        <v>43</v>
      </c>
      <c r="E16" s="6" t="s">
        <v>69</v>
      </c>
      <c r="F16" s="199" t="str">
        <f t="shared" si="0"/>
        <v>EC_SUIZ_VIRTUAL_UNE</v>
      </c>
      <c r="G16" s="5" t="s">
        <v>39</v>
      </c>
      <c r="H16" s="12" t="s">
        <v>96</v>
      </c>
      <c r="I16" s="8" t="s">
        <v>96</v>
      </c>
      <c r="J16" s="13" t="s">
        <v>97</v>
      </c>
      <c r="K16" s="13" t="str">
        <f t="shared" si="1"/>
        <v>GVE056-10.0.1.107</v>
      </c>
      <c r="L16" s="8" t="s">
        <v>43</v>
      </c>
      <c r="M16" s="8" t="s">
        <v>57</v>
      </c>
      <c r="N16" s="9" t="s">
        <v>98</v>
      </c>
      <c r="O16" s="8">
        <v>4</v>
      </c>
      <c r="P16" s="8">
        <v>24</v>
      </c>
      <c r="Q16" s="8">
        <v>300</v>
      </c>
      <c r="R16" s="4"/>
      <c r="S16" s="10" t="s">
        <v>46</v>
      </c>
      <c r="T16" s="10" t="s">
        <v>47</v>
      </c>
      <c r="U16" s="12" t="s">
        <v>54</v>
      </c>
      <c r="V16" s="14" t="s">
        <v>98</v>
      </c>
      <c r="W16" s="11"/>
      <c r="X16" s="5" t="s">
        <v>49</v>
      </c>
    </row>
    <row r="17" spans="1:24">
      <c r="A17" s="4">
        <v>16</v>
      </c>
      <c r="B17" s="5" t="s">
        <v>2078</v>
      </c>
      <c r="C17" s="5" t="s">
        <v>2218</v>
      </c>
      <c r="D17" s="5" t="s">
        <v>43</v>
      </c>
      <c r="E17" s="6" t="s">
        <v>69</v>
      </c>
      <c r="F17" s="199" t="str">
        <f t="shared" si="0"/>
        <v>EC_SUIZ_VIRTUAL_UNE</v>
      </c>
      <c r="G17" s="5" t="s">
        <v>39</v>
      </c>
      <c r="H17" s="12" t="s">
        <v>99</v>
      </c>
      <c r="I17" s="8" t="s">
        <v>99</v>
      </c>
      <c r="J17" s="13" t="s">
        <v>100</v>
      </c>
      <c r="K17" s="13" t="str">
        <f t="shared" si="1"/>
        <v>GVE058-10.0.1.90</v>
      </c>
      <c r="L17" s="8" t="s">
        <v>43</v>
      </c>
      <c r="M17" s="8" t="s">
        <v>61</v>
      </c>
      <c r="N17" s="9" t="s">
        <v>101</v>
      </c>
      <c r="O17" s="8">
        <v>4</v>
      </c>
      <c r="P17" s="8">
        <v>48</v>
      </c>
      <c r="Q17" s="8">
        <v>1000</v>
      </c>
      <c r="R17" s="4"/>
      <c r="S17" s="10" t="s">
        <v>46</v>
      </c>
      <c r="T17" s="10" t="s">
        <v>47</v>
      </c>
      <c r="U17" s="12" t="s">
        <v>54</v>
      </c>
      <c r="V17" s="14" t="s">
        <v>101</v>
      </c>
      <c r="W17" s="11"/>
      <c r="X17" s="5" t="s">
        <v>49</v>
      </c>
    </row>
    <row r="18" spans="1:24">
      <c r="A18" s="4">
        <v>17</v>
      </c>
      <c r="B18" s="5" t="s">
        <v>2078</v>
      </c>
      <c r="C18" s="5" t="s">
        <v>2218</v>
      </c>
      <c r="D18" s="5" t="s">
        <v>43</v>
      </c>
      <c r="E18" s="6" t="s">
        <v>69</v>
      </c>
      <c r="F18" s="199" t="str">
        <f t="shared" si="0"/>
        <v>EC_SUIZ_VIRTUAL_UNE</v>
      </c>
      <c r="G18" s="5" t="s">
        <v>39</v>
      </c>
      <c r="H18" s="12" t="s">
        <v>102</v>
      </c>
      <c r="I18" s="8" t="s">
        <v>102</v>
      </c>
      <c r="J18" s="13" t="s">
        <v>103</v>
      </c>
      <c r="K18" s="13" t="str">
        <f t="shared" si="1"/>
        <v>GVE034-10.0.1.45</v>
      </c>
      <c r="L18" s="8" t="s">
        <v>43</v>
      </c>
      <c r="M18" s="8" t="s">
        <v>61</v>
      </c>
      <c r="N18" s="9" t="s">
        <v>58</v>
      </c>
      <c r="O18" s="8">
        <v>8</v>
      </c>
      <c r="P18" s="8">
        <v>16</v>
      </c>
      <c r="Q18" s="8">
        <v>120</v>
      </c>
      <c r="R18" s="4"/>
      <c r="S18" s="10" t="s">
        <v>46</v>
      </c>
      <c r="T18" s="10" t="s">
        <v>47</v>
      </c>
      <c r="U18" s="12" t="s">
        <v>54</v>
      </c>
      <c r="V18" s="14" t="s">
        <v>58</v>
      </c>
      <c r="W18" s="11"/>
      <c r="X18" s="5" t="s">
        <v>49</v>
      </c>
    </row>
    <row r="19" spans="1:24">
      <c r="A19" s="4">
        <v>19</v>
      </c>
      <c r="B19" s="5" t="s">
        <v>2078</v>
      </c>
      <c r="C19" s="5" t="s">
        <v>2218</v>
      </c>
      <c r="D19" s="5" t="s">
        <v>43</v>
      </c>
      <c r="E19" s="80" t="s">
        <v>105</v>
      </c>
      <c r="F19" s="199" t="str">
        <f t="shared" si="0"/>
        <v>EC_SUIZ_VIRTUAL_UNS</v>
      </c>
      <c r="G19" s="5" t="s">
        <v>39</v>
      </c>
      <c r="H19" s="17" t="s">
        <v>110</v>
      </c>
      <c r="I19" s="8" t="s">
        <v>110</v>
      </c>
      <c r="J19" s="83" t="s">
        <v>111</v>
      </c>
      <c r="K19" s="13" t="str">
        <f t="shared" si="1"/>
        <v>GVS070-10.0.1.105</v>
      </c>
      <c r="L19" s="8" t="s">
        <v>43</v>
      </c>
      <c r="M19" s="8" t="s">
        <v>112</v>
      </c>
      <c r="N19" s="9" t="s">
        <v>113</v>
      </c>
      <c r="O19" s="8">
        <v>12</v>
      </c>
      <c r="P19" s="8">
        <v>100</v>
      </c>
      <c r="Q19" s="8">
        <v>200</v>
      </c>
      <c r="R19" s="18"/>
      <c r="S19" s="10" t="s">
        <v>46</v>
      </c>
      <c r="T19" s="10" t="s">
        <v>47</v>
      </c>
      <c r="U19" s="17" t="s">
        <v>54</v>
      </c>
      <c r="V19" s="14" t="s">
        <v>113</v>
      </c>
      <c r="W19" s="82"/>
      <c r="X19" s="5" t="s">
        <v>49</v>
      </c>
    </row>
    <row r="20" spans="1:24">
      <c r="A20" s="4">
        <v>20</v>
      </c>
      <c r="B20" s="5" t="s">
        <v>2078</v>
      </c>
      <c r="C20" s="5" t="s">
        <v>2218</v>
      </c>
      <c r="D20" s="5" t="s">
        <v>43</v>
      </c>
      <c r="E20" s="80" t="s">
        <v>105</v>
      </c>
      <c r="F20" s="199" t="str">
        <f t="shared" si="0"/>
        <v>EC_SUIZ_VIRTUAL_UNS</v>
      </c>
      <c r="G20" s="5" t="s">
        <v>39</v>
      </c>
      <c r="H20" s="17" t="s">
        <v>114</v>
      </c>
      <c r="I20" s="8" t="s">
        <v>114</v>
      </c>
      <c r="J20" s="81" t="s">
        <v>115</v>
      </c>
      <c r="K20" s="13" t="str">
        <f t="shared" si="1"/>
        <v>GVS072-10.0.1.117</v>
      </c>
      <c r="L20" s="8" t="s">
        <v>43</v>
      </c>
      <c r="M20" s="8" t="s">
        <v>112</v>
      </c>
      <c r="N20" s="9" t="s">
        <v>116</v>
      </c>
      <c r="O20" s="8">
        <v>18</v>
      </c>
      <c r="P20" s="8">
        <v>150</v>
      </c>
      <c r="Q20" s="8">
        <v>200</v>
      </c>
      <c r="R20" s="18"/>
      <c r="S20" s="10" t="s">
        <v>46</v>
      </c>
      <c r="T20" s="10" t="s">
        <v>47</v>
      </c>
      <c r="U20" s="17" t="s">
        <v>54</v>
      </c>
      <c r="V20" s="14" t="s">
        <v>116</v>
      </c>
      <c r="W20" s="82"/>
      <c r="X20" s="5" t="s">
        <v>49</v>
      </c>
    </row>
    <row r="21" spans="1:24">
      <c r="A21" s="4">
        <v>21</v>
      </c>
      <c r="B21" s="5" t="s">
        <v>2078</v>
      </c>
      <c r="C21" s="5" t="s">
        <v>2218</v>
      </c>
      <c r="D21" s="5" t="s">
        <v>43</v>
      </c>
      <c r="E21" s="80" t="s">
        <v>105</v>
      </c>
      <c r="F21" s="199" t="str">
        <f t="shared" si="0"/>
        <v>EC_SUIZ_VIRTUAL_UNS</v>
      </c>
      <c r="G21" s="5" t="s">
        <v>39</v>
      </c>
      <c r="H21" s="17" t="s">
        <v>117</v>
      </c>
      <c r="I21" s="8" t="s">
        <v>117</v>
      </c>
      <c r="J21" s="81" t="s">
        <v>118</v>
      </c>
      <c r="K21" s="13" t="str">
        <f t="shared" si="1"/>
        <v>GVS064-10.0.1.109</v>
      </c>
      <c r="L21" s="8" t="s">
        <v>43</v>
      </c>
      <c r="M21" s="8" t="s">
        <v>112</v>
      </c>
      <c r="N21" s="9" t="s">
        <v>113</v>
      </c>
      <c r="O21" s="8">
        <v>8</v>
      </c>
      <c r="P21" s="8">
        <v>100</v>
      </c>
      <c r="Q21" s="8">
        <v>220</v>
      </c>
      <c r="R21" s="18"/>
      <c r="S21" s="10" t="s">
        <v>46</v>
      </c>
      <c r="T21" s="10" t="s">
        <v>47</v>
      </c>
      <c r="U21" s="17" t="s">
        <v>54</v>
      </c>
      <c r="V21" s="14" t="s">
        <v>113</v>
      </c>
      <c r="W21" s="82"/>
      <c r="X21" s="5" t="s">
        <v>49</v>
      </c>
    </row>
    <row r="22" spans="1:24">
      <c r="A22" s="4">
        <v>22</v>
      </c>
      <c r="B22" s="5" t="s">
        <v>2078</v>
      </c>
      <c r="C22" s="5" t="s">
        <v>2218</v>
      </c>
      <c r="D22" s="5" t="s">
        <v>43</v>
      </c>
      <c r="E22" s="80" t="s">
        <v>105</v>
      </c>
      <c r="F22" s="199" t="str">
        <f t="shared" si="0"/>
        <v>EC_SUIZ_VIRTUAL_UNS</v>
      </c>
      <c r="G22" s="5" t="s">
        <v>39</v>
      </c>
      <c r="H22" s="17" t="s">
        <v>119</v>
      </c>
      <c r="I22" s="8" t="s">
        <v>119</v>
      </c>
      <c r="J22" s="81" t="s">
        <v>120</v>
      </c>
      <c r="K22" s="13" t="str">
        <f t="shared" si="1"/>
        <v>GVS066-10.0.1.110</v>
      </c>
      <c r="L22" s="8" t="s">
        <v>43</v>
      </c>
      <c r="M22" s="8" t="s">
        <v>112</v>
      </c>
      <c r="N22" s="9" t="s">
        <v>121</v>
      </c>
      <c r="O22" s="8">
        <v>10</v>
      </c>
      <c r="P22" s="8">
        <v>80</v>
      </c>
      <c r="Q22" s="8">
        <v>200</v>
      </c>
      <c r="R22" s="18"/>
      <c r="S22" s="10" t="s">
        <v>46</v>
      </c>
      <c r="T22" s="10" t="s">
        <v>47</v>
      </c>
      <c r="U22" s="17" t="s">
        <v>54</v>
      </c>
      <c r="V22" s="14" t="s">
        <v>121</v>
      </c>
      <c r="W22" s="82"/>
      <c r="X22" s="5" t="s">
        <v>49</v>
      </c>
    </row>
    <row r="23" spans="1:24">
      <c r="A23" s="4">
        <v>25</v>
      </c>
      <c r="B23" s="5" t="s">
        <v>2078</v>
      </c>
      <c r="C23" s="5" t="s">
        <v>2218</v>
      </c>
      <c r="D23" s="5" t="s">
        <v>43</v>
      </c>
      <c r="E23" s="80" t="s">
        <v>105</v>
      </c>
      <c r="F23" s="199" t="str">
        <f t="shared" si="0"/>
        <v>EC_SUIZ_VIRTUAL_UNS</v>
      </c>
      <c r="G23" s="5" t="s">
        <v>39</v>
      </c>
      <c r="H23" s="17" t="s">
        <v>127</v>
      </c>
      <c r="I23" s="8" t="s">
        <v>127</v>
      </c>
      <c r="J23" s="81" t="s">
        <v>128</v>
      </c>
      <c r="K23" s="13" t="str">
        <f t="shared" si="1"/>
        <v>GVS074-10.0.1.120</v>
      </c>
      <c r="L23" s="8" t="s">
        <v>43</v>
      </c>
      <c r="M23" s="8" t="s">
        <v>129</v>
      </c>
      <c r="N23" s="9" t="s">
        <v>130</v>
      </c>
      <c r="O23" s="21">
        <v>6</v>
      </c>
      <c r="P23" s="21">
        <v>30</v>
      </c>
      <c r="Q23" s="21">
        <v>200</v>
      </c>
      <c r="R23" s="18"/>
      <c r="S23" s="10" t="s">
        <v>46</v>
      </c>
      <c r="T23" s="10" t="s">
        <v>47</v>
      </c>
      <c r="U23" s="17" t="s">
        <v>54</v>
      </c>
      <c r="V23" s="14" t="s">
        <v>130</v>
      </c>
      <c r="W23" s="82"/>
      <c r="X23" s="5" t="s">
        <v>49</v>
      </c>
    </row>
    <row r="24" spans="1:24">
      <c r="A24" s="4">
        <v>26</v>
      </c>
      <c r="B24" s="5" t="s">
        <v>2078</v>
      </c>
      <c r="C24" s="5" t="s">
        <v>2218</v>
      </c>
      <c r="D24" s="5" t="s">
        <v>43</v>
      </c>
      <c r="E24" s="80" t="s">
        <v>105</v>
      </c>
      <c r="F24" s="199" t="str">
        <f t="shared" si="0"/>
        <v>EC_SUIZ_VIRTUAL_UNS</v>
      </c>
      <c r="G24" s="5" t="s">
        <v>39</v>
      </c>
      <c r="H24" s="17" t="s">
        <v>131</v>
      </c>
      <c r="I24" s="8" t="s">
        <v>131</v>
      </c>
      <c r="J24" s="81" t="s">
        <v>132</v>
      </c>
      <c r="K24" s="13" t="str">
        <f t="shared" si="1"/>
        <v>GVS076-10.0.1.76</v>
      </c>
      <c r="L24" s="8" t="s">
        <v>43</v>
      </c>
      <c r="M24" s="8" t="s">
        <v>61</v>
      </c>
      <c r="N24" s="9" t="s">
        <v>133</v>
      </c>
      <c r="O24" s="10">
        <v>2</v>
      </c>
      <c r="P24" s="10">
        <v>16</v>
      </c>
      <c r="Q24" s="10">
        <v>100</v>
      </c>
      <c r="R24" s="18"/>
      <c r="S24" s="10" t="s">
        <v>46</v>
      </c>
      <c r="T24" s="10" t="s">
        <v>47</v>
      </c>
      <c r="U24" s="17" t="s">
        <v>54</v>
      </c>
      <c r="V24" s="14" t="s">
        <v>133</v>
      </c>
      <c r="W24" s="82"/>
      <c r="X24" s="5" t="s">
        <v>49</v>
      </c>
    </row>
    <row r="25" spans="1:24">
      <c r="A25" s="4">
        <v>27</v>
      </c>
      <c r="B25" s="5" t="s">
        <v>2078</v>
      </c>
      <c r="C25" s="5" t="s">
        <v>2218</v>
      </c>
      <c r="D25" s="5" t="s">
        <v>43</v>
      </c>
      <c r="E25" s="80" t="s">
        <v>105</v>
      </c>
      <c r="F25" s="199" t="str">
        <f t="shared" si="0"/>
        <v>EC_SUIZ_VIRTUAL_UNS</v>
      </c>
      <c r="G25" s="5" t="s">
        <v>39</v>
      </c>
      <c r="H25" s="17" t="s">
        <v>134</v>
      </c>
      <c r="I25" s="8" t="s">
        <v>134</v>
      </c>
      <c r="J25" s="81" t="s">
        <v>135</v>
      </c>
      <c r="K25" s="13" t="str">
        <f t="shared" si="1"/>
        <v>GVS077-10.0.1.77</v>
      </c>
      <c r="L25" s="8" t="s">
        <v>43</v>
      </c>
      <c r="M25" s="8" t="s">
        <v>61</v>
      </c>
      <c r="N25" s="9" t="s">
        <v>136</v>
      </c>
      <c r="O25" s="10">
        <v>2</v>
      </c>
      <c r="P25" s="10">
        <v>16</v>
      </c>
      <c r="Q25" s="10">
        <v>100</v>
      </c>
      <c r="R25" s="18"/>
      <c r="S25" s="10" t="s">
        <v>46</v>
      </c>
      <c r="T25" s="10" t="s">
        <v>47</v>
      </c>
      <c r="U25" s="17" t="s">
        <v>54</v>
      </c>
      <c r="V25" s="14" t="s">
        <v>136</v>
      </c>
      <c r="W25" s="82"/>
      <c r="X25" s="5" t="s">
        <v>49</v>
      </c>
    </row>
    <row r="26" spans="1:24">
      <c r="A26" s="4">
        <v>28</v>
      </c>
      <c r="B26" s="5" t="s">
        <v>2078</v>
      </c>
      <c r="C26" s="5" t="s">
        <v>2218</v>
      </c>
      <c r="D26" s="5" t="s">
        <v>43</v>
      </c>
      <c r="E26" s="80" t="s">
        <v>105</v>
      </c>
      <c r="F26" s="199" t="str">
        <f t="shared" si="0"/>
        <v>EC_SUIZ_VIRTUAL_UNS</v>
      </c>
      <c r="G26" s="5" t="s">
        <v>39</v>
      </c>
      <c r="H26" s="17" t="s">
        <v>137</v>
      </c>
      <c r="I26" s="8" t="s">
        <v>137</v>
      </c>
      <c r="J26" s="81" t="s">
        <v>138</v>
      </c>
      <c r="K26" s="13" t="str">
        <f t="shared" si="1"/>
        <v>GVS078-10.0.1.78</v>
      </c>
      <c r="L26" s="8" t="s">
        <v>43</v>
      </c>
      <c r="M26" s="8" t="s">
        <v>61</v>
      </c>
      <c r="N26" s="9" t="s">
        <v>139</v>
      </c>
      <c r="O26" s="10">
        <v>2</v>
      </c>
      <c r="P26" s="10">
        <v>16</v>
      </c>
      <c r="Q26" s="10">
        <v>100</v>
      </c>
      <c r="R26" s="18"/>
      <c r="S26" s="10" t="s">
        <v>46</v>
      </c>
      <c r="T26" s="10" t="s">
        <v>47</v>
      </c>
      <c r="U26" s="17" t="s">
        <v>54</v>
      </c>
      <c r="V26" s="14" t="s">
        <v>139</v>
      </c>
      <c r="W26" s="82"/>
      <c r="X26" s="5" t="s">
        <v>49</v>
      </c>
    </row>
    <row r="27" spans="1:24">
      <c r="A27" s="4">
        <v>29</v>
      </c>
      <c r="B27" s="5" t="s">
        <v>2078</v>
      </c>
      <c r="C27" s="5" t="s">
        <v>2218</v>
      </c>
      <c r="D27" s="5" t="s">
        <v>43</v>
      </c>
      <c r="E27" s="80" t="s">
        <v>105</v>
      </c>
      <c r="F27" s="199" t="str">
        <f t="shared" si="0"/>
        <v>EC_SUIZ_VIRTUAL_UNS</v>
      </c>
      <c r="G27" s="5" t="s">
        <v>39</v>
      </c>
      <c r="H27" s="17" t="s">
        <v>140</v>
      </c>
      <c r="I27" s="8" t="s">
        <v>140</v>
      </c>
      <c r="J27" s="81" t="s">
        <v>141</v>
      </c>
      <c r="K27" s="13" t="str">
        <f t="shared" si="1"/>
        <v>GVC045-10.0.1.50</v>
      </c>
      <c r="L27" s="8" t="s">
        <v>43</v>
      </c>
      <c r="M27" s="8" t="s">
        <v>142</v>
      </c>
      <c r="N27" s="9" t="s">
        <v>143</v>
      </c>
      <c r="O27" s="21">
        <v>2</v>
      </c>
      <c r="P27" s="21">
        <v>8</v>
      </c>
      <c r="Q27" s="21">
        <v>50</v>
      </c>
      <c r="R27" s="18"/>
      <c r="S27" s="10" t="s">
        <v>46</v>
      </c>
      <c r="T27" s="10" t="s">
        <v>47</v>
      </c>
      <c r="U27" s="17" t="s">
        <v>54</v>
      </c>
      <c r="V27" s="14" t="s">
        <v>143</v>
      </c>
      <c r="W27" s="82"/>
      <c r="X27" s="5" t="s">
        <v>49</v>
      </c>
    </row>
    <row r="28" spans="1:24">
      <c r="A28" s="4">
        <v>30</v>
      </c>
      <c r="B28" s="5" t="s">
        <v>2078</v>
      </c>
      <c r="C28" s="5" t="s">
        <v>2218</v>
      </c>
      <c r="D28" s="5" t="s">
        <v>43</v>
      </c>
      <c r="E28" s="80" t="s">
        <v>105</v>
      </c>
      <c r="F28" s="199" t="str">
        <f t="shared" si="0"/>
        <v>EC_SUIZ_VIRTUAL_UNS</v>
      </c>
      <c r="G28" s="5" t="s">
        <v>39</v>
      </c>
      <c r="H28" s="17" t="s">
        <v>144</v>
      </c>
      <c r="I28" s="8" t="s">
        <v>144</v>
      </c>
      <c r="J28" s="81" t="s">
        <v>145</v>
      </c>
      <c r="K28" s="13" t="str">
        <f t="shared" si="1"/>
        <v>GVS085-10.255.255.207</v>
      </c>
      <c r="L28" s="8" t="s">
        <v>43</v>
      </c>
      <c r="M28" s="8" t="s">
        <v>129</v>
      </c>
      <c r="N28" s="9" t="s">
        <v>146</v>
      </c>
      <c r="O28" s="21">
        <v>6</v>
      </c>
      <c r="P28" s="21">
        <v>40</v>
      </c>
      <c r="Q28" s="21">
        <v>200</v>
      </c>
      <c r="R28" s="18"/>
      <c r="S28" s="10" t="s">
        <v>46</v>
      </c>
      <c r="T28" s="10" t="s">
        <v>47</v>
      </c>
      <c r="U28" s="17" t="s">
        <v>54</v>
      </c>
      <c r="V28" s="14" t="s">
        <v>146</v>
      </c>
      <c r="W28" s="82"/>
      <c r="X28" s="5" t="s">
        <v>49</v>
      </c>
    </row>
    <row r="29" spans="1:24">
      <c r="A29" s="4">
        <v>31</v>
      </c>
      <c r="B29" s="5" t="s">
        <v>2078</v>
      </c>
      <c r="C29" s="5" t="s">
        <v>2218</v>
      </c>
      <c r="D29" s="5" t="s">
        <v>43</v>
      </c>
      <c r="E29" s="80" t="s">
        <v>105</v>
      </c>
      <c r="F29" s="199" t="str">
        <f t="shared" si="0"/>
        <v>EC_SUIZ_VIRTUAL_UNS</v>
      </c>
      <c r="G29" s="5" t="s">
        <v>39</v>
      </c>
      <c r="H29" s="17" t="s">
        <v>147</v>
      </c>
      <c r="I29" s="8" t="s">
        <v>147</v>
      </c>
      <c r="J29" s="81" t="s">
        <v>148</v>
      </c>
      <c r="K29" s="13" t="str">
        <f t="shared" si="1"/>
        <v>GVS086-10.255.255.210</v>
      </c>
      <c r="L29" s="8" t="s">
        <v>43</v>
      </c>
      <c r="M29" s="8" t="s">
        <v>129</v>
      </c>
      <c r="N29" s="9" t="s">
        <v>149</v>
      </c>
      <c r="O29" s="21">
        <v>6</v>
      </c>
      <c r="P29" s="21">
        <v>39</v>
      </c>
      <c r="Q29" s="21">
        <v>200</v>
      </c>
      <c r="R29" s="18"/>
      <c r="S29" s="10" t="s">
        <v>46</v>
      </c>
      <c r="T29" s="10" t="s">
        <v>47</v>
      </c>
      <c r="U29" s="17" t="s">
        <v>54</v>
      </c>
      <c r="V29" s="14" t="s">
        <v>149</v>
      </c>
      <c r="W29" s="82"/>
      <c r="X29" s="5" t="s">
        <v>49</v>
      </c>
    </row>
    <row r="30" spans="1:24">
      <c r="A30" s="4">
        <v>32</v>
      </c>
      <c r="B30" s="5" t="s">
        <v>2078</v>
      </c>
      <c r="C30" s="5" t="s">
        <v>2218</v>
      </c>
      <c r="D30" s="5" t="s">
        <v>43</v>
      </c>
      <c r="E30" s="80" t="s">
        <v>105</v>
      </c>
      <c r="F30" s="199" t="str">
        <f t="shared" si="0"/>
        <v>EC_SUIZ_VIRTUAL_UNS</v>
      </c>
      <c r="G30" s="5" t="s">
        <v>39</v>
      </c>
      <c r="H30" s="17" t="s">
        <v>150</v>
      </c>
      <c r="I30" s="8" t="s">
        <v>150</v>
      </c>
      <c r="J30" s="81" t="s">
        <v>151</v>
      </c>
      <c r="K30" s="13" t="str">
        <f t="shared" si="1"/>
        <v>GVS087-10.255.255.208</v>
      </c>
      <c r="L30" s="8" t="s">
        <v>43</v>
      </c>
      <c r="M30" s="8" t="s">
        <v>129</v>
      </c>
      <c r="N30" s="9" t="s">
        <v>152</v>
      </c>
      <c r="O30" s="21">
        <v>6</v>
      </c>
      <c r="P30" s="21">
        <v>39</v>
      </c>
      <c r="Q30" s="21">
        <v>200</v>
      </c>
      <c r="R30" s="18"/>
      <c r="S30" s="10" t="s">
        <v>46</v>
      </c>
      <c r="T30" s="10" t="s">
        <v>47</v>
      </c>
      <c r="U30" s="17" t="s">
        <v>54</v>
      </c>
      <c r="V30" s="14" t="s">
        <v>152</v>
      </c>
      <c r="W30" s="82"/>
      <c r="X30" s="5" t="s">
        <v>49</v>
      </c>
    </row>
    <row r="31" spans="1:24">
      <c r="A31" s="4">
        <v>33</v>
      </c>
      <c r="B31" s="5" t="s">
        <v>2078</v>
      </c>
      <c r="C31" s="5" t="s">
        <v>2218</v>
      </c>
      <c r="D31" s="5" t="s">
        <v>43</v>
      </c>
      <c r="E31" s="80" t="s">
        <v>105</v>
      </c>
      <c r="F31" s="199" t="str">
        <f t="shared" si="0"/>
        <v>EC_SUIZ_VIRTUAL_UNS</v>
      </c>
      <c r="G31" s="5" t="s">
        <v>39</v>
      </c>
      <c r="H31" s="17" t="s">
        <v>153</v>
      </c>
      <c r="I31" s="8" t="s">
        <v>153</v>
      </c>
      <c r="J31" s="81" t="s">
        <v>154</v>
      </c>
      <c r="K31" s="13" t="str">
        <f t="shared" si="1"/>
        <v>GVS090-10.255.255.197</v>
      </c>
      <c r="L31" s="8" t="s">
        <v>43</v>
      </c>
      <c r="M31" s="8" t="s">
        <v>129</v>
      </c>
      <c r="N31" s="9" t="s">
        <v>155</v>
      </c>
      <c r="O31" s="21">
        <v>4</v>
      </c>
      <c r="P31" s="21">
        <v>16</v>
      </c>
      <c r="Q31" s="21">
        <v>220</v>
      </c>
      <c r="R31" s="18"/>
      <c r="S31" s="10" t="s">
        <v>46</v>
      </c>
      <c r="T31" s="10" t="s">
        <v>47</v>
      </c>
      <c r="U31" s="17" t="s">
        <v>54</v>
      </c>
      <c r="V31" s="14" t="s">
        <v>155</v>
      </c>
      <c r="W31" s="82"/>
      <c r="X31" s="5" t="s">
        <v>49</v>
      </c>
    </row>
    <row r="32" spans="1:24">
      <c r="A32" s="4">
        <v>34</v>
      </c>
      <c r="B32" s="5" t="s">
        <v>2078</v>
      </c>
      <c r="C32" s="5" t="s">
        <v>2218</v>
      </c>
      <c r="D32" s="5" t="s">
        <v>43</v>
      </c>
      <c r="E32" s="80" t="s">
        <v>105</v>
      </c>
      <c r="F32" s="199" t="str">
        <f t="shared" si="0"/>
        <v>EC_SUIZ_VIRTUAL_UNS</v>
      </c>
      <c r="G32" s="5" t="s">
        <v>39</v>
      </c>
      <c r="H32" s="17" t="s">
        <v>156</v>
      </c>
      <c r="I32" s="8" t="s">
        <v>156</v>
      </c>
      <c r="J32" s="81" t="s">
        <v>157</v>
      </c>
      <c r="K32" s="13" t="str">
        <f t="shared" si="1"/>
        <v>GVS091-10.255.255.136</v>
      </c>
      <c r="L32" s="8" t="s">
        <v>43</v>
      </c>
      <c r="M32" s="8" t="s">
        <v>57</v>
      </c>
      <c r="N32" s="9" t="s">
        <v>158</v>
      </c>
      <c r="O32" s="21">
        <v>4</v>
      </c>
      <c r="P32" s="21">
        <v>8</v>
      </c>
      <c r="Q32" s="21">
        <v>208</v>
      </c>
      <c r="R32" s="18"/>
      <c r="S32" s="10" t="s">
        <v>46</v>
      </c>
      <c r="T32" s="10" t="s">
        <v>47</v>
      </c>
      <c r="U32" s="17" t="s">
        <v>48</v>
      </c>
      <c r="V32" s="14" t="s">
        <v>158</v>
      </c>
      <c r="W32" s="82"/>
      <c r="X32" s="5" t="s">
        <v>49</v>
      </c>
    </row>
    <row r="33" spans="1:24">
      <c r="A33" s="4">
        <v>35</v>
      </c>
      <c r="B33" s="5" t="s">
        <v>2078</v>
      </c>
      <c r="C33" s="5" t="s">
        <v>2218</v>
      </c>
      <c r="D33" s="5" t="s">
        <v>43</v>
      </c>
      <c r="E33" s="6" t="s">
        <v>159</v>
      </c>
      <c r="F33" s="199" t="str">
        <f t="shared" si="0"/>
        <v>EC_SUIZ_VIRTUAL_CORP</v>
      </c>
      <c r="G33" s="5" t="s">
        <v>39</v>
      </c>
      <c r="H33" s="22" t="s">
        <v>160</v>
      </c>
      <c r="I33" s="8" t="s">
        <v>160</v>
      </c>
      <c r="J33" s="23" t="s">
        <v>161</v>
      </c>
      <c r="K33" s="13" t="str">
        <f t="shared" si="1"/>
        <v>GVC020-10.0.1.40</v>
      </c>
      <c r="L33" s="8" t="s">
        <v>43</v>
      </c>
      <c r="M33" s="8" t="s">
        <v>162</v>
      </c>
      <c r="N33" s="9" t="s">
        <v>163</v>
      </c>
      <c r="O33" s="8">
        <v>4</v>
      </c>
      <c r="P33" s="8">
        <v>8</v>
      </c>
      <c r="Q33" s="8">
        <v>500</v>
      </c>
      <c r="R33" s="18"/>
      <c r="S33" s="10" t="s">
        <v>46</v>
      </c>
      <c r="T33" s="10" t="s">
        <v>47</v>
      </c>
      <c r="U33" s="22" t="s">
        <v>54</v>
      </c>
      <c r="V33" s="84" t="s">
        <v>163</v>
      </c>
      <c r="W33" s="82"/>
      <c r="X33" s="5" t="s">
        <v>49</v>
      </c>
    </row>
    <row r="34" spans="1:24">
      <c r="A34" s="4">
        <v>36</v>
      </c>
      <c r="B34" s="5" t="s">
        <v>2078</v>
      </c>
      <c r="C34" s="5" t="s">
        <v>2218</v>
      </c>
      <c r="D34" s="5" t="s">
        <v>43</v>
      </c>
      <c r="E34" s="24" t="s">
        <v>159</v>
      </c>
      <c r="F34" s="199" t="str">
        <f t="shared" si="0"/>
        <v>EC_SUIZ_VIRTUAL_CORP</v>
      </c>
      <c r="G34" s="5" t="s">
        <v>39</v>
      </c>
      <c r="H34" s="25" t="s">
        <v>164</v>
      </c>
      <c r="I34" s="8" t="s">
        <v>164</v>
      </c>
      <c r="J34" s="26">
        <v>10255255174</v>
      </c>
      <c r="K34" s="13" t="str">
        <f t="shared" si="1"/>
        <v>GVC030-10255255174</v>
      </c>
      <c r="L34" s="8" t="s">
        <v>43</v>
      </c>
      <c r="M34" s="20" t="s">
        <v>72</v>
      </c>
      <c r="N34" s="9" t="s">
        <v>165</v>
      </c>
      <c r="O34" s="20">
        <v>8</v>
      </c>
      <c r="P34" s="20">
        <v>48</v>
      </c>
      <c r="Q34" s="20">
        <v>400</v>
      </c>
      <c r="R34" s="18"/>
      <c r="S34" s="10" t="s">
        <v>46</v>
      </c>
      <c r="T34" s="10" t="s">
        <v>47</v>
      </c>
      <c r="U34" s="22" t="s">
        <v>54</v>
      </c>
      <c r="V34" s="27" t="s">
        <v>165</v>
      </c>
      <c r="W34" s="82"/>
      <c r="X34" s="5" t="s">
        <v>49</v>
      </c>
    </row>
    <row r="35" spans="1:24">
      <c r="A35" s="4">
        <v>37</v>
      </c>
      <c r="B35" s="5" t="s">
        <v>2078</v>
      </c>
      <c r="C35" s="5" t="s">
        <v>2218</v>
      </c>
      <c r="D35" s="5" t="s">
        <v>43</v>
      </c>
      <c r="E35" s="24" t="s">
        <v>159</v>
      </c>
      <c r="F35" s="199" t="str">
        <f t="shared" si="0"/>
        <v>EC_SUIZ_VIRTUAL_CORP</v>
      </c>
      <c r="G35" s="5" t="s">
        <v>39</v>
      </c>
      <c r="H35" s="25" t="s">
        <v>166</v>
      </c>
      <c r="I35" s="8" t="s">
        <v>166</v>
      </c>
      <c r="J35" s="28" t="s">
        <v>167</v>
      </c>
      <c r="K35" s="13" t="str">
        <f t="shared" si="1"/>
        <v>GVC021-10.0.1.226</v>
      </c>
      <c r="L35" s="8" t="s">
        <v>43</v>
      </c>
      <c r="M35" s="28" t="s">
        <v>61</v>
      </c>
      <c r="N35" s="9" t="s">
        <v>168</v>
      </c>
      <c r="O35" s="28">
        <v>6</v>
      </c>
      <c r="P35" s="28">
        <v>64</v>
      </c>
      <c r="Q35" s="28">
        <v>320</v>
      </c>
      <c r="R35" s="18"/>
      <c r="S35" s="10" t="s">
        <v>46</v>
      </c>
      <c r="T35" s="10" t="s">
        <v>47</v>
      </c>
      <c r="U35" s="22" t="s">
        <v>54</v>
      </c>
      <c r="V35" s="27" t="s">
        <v>168</v>
      </c>
      <c r="W35" s="82"/>
      <c r="X35" s="5" t="s">
        <v>49</v>
      </c>
    </row>
    <row r="36" spans="1:24">
      <c r="A36" s="4">
        <v>38</v>
      </c>
      <c r="B36" s="5" t="s">
        <v>2078</v>
      </c>
      <c r="C36" s="5" t="s">
        <v>2218</v>
      </c>
      <c r="D36" s="5" t="s">
        <v>43</v>
      </c>
      <c r="E36" s="24" t="s">
        <v>159</v>
      </c>
      <c r="F36" s="199" t="str">
        <f t="shared" si="0"/>
        <v>EC_SUIZ_VIRTUAL_CORP</v>
      </c>
      <c r="G36" s="5" t="s">
        <v>39</v>
      </c>
      <c r="H36" s="25" t="s">
        <v>169</v>
      </c>
      <c r="I36" s="8" t="s">
        <v>169</v>
      </c>
      <c r="J36" s="26" t="s">
        <v>170</v>
      </c>
      <c r="K36" s="13" t="str">
        <f t="shared" si="1"/>
        <v>GVC032-10.0.1.32</v>
      </c>
      <c r="L36" s="8" t="s">
        <v>43</v>
      </c>
      <c r="M36" s="20" t="s">
        <v>72</v>
      </c>
      <c r="N36" s="9" t="s">
        <v>171</v>
      </c>
      <c r="O36" s="20">
        <v>4</v>
      </c>
      <c r="P36" s="20">
        <v>12</v>
      </c>
      <c r="Q36" s="20">
        <v>300</v>
      </c>
      <c r="R36" s="18"/>
      <c r="S36" s="10" t="s">
        <v>46</v>
      </c>
      <c r="T36" s="10" t="s">
        <v>47</v>
      </c>
      <c r="U36" s="22" t="s">
        <v>54</v>
      </c>
      <c r="V36" s="27" t="s">
        <v>171</v>
      </c>
      <c r="W36" s="82"/>
      <c r="X36" s="5" t="s">
        <v>49</v>
      </c>
    </row>
    <row r="37" spans="1:24">
      <c r="A37" s="4">
        <v>39</v>
      </c>
      <c r="B37" s="5" t="s">
        <v>2078</v>
      </c>
      <c r="C37" s="5" t="s">
        <v>2218</v>
      </c>
      <c r="D37" s="5" t="s">
        <v>43</v>
      </c>
      <c r="E37" s="24" t="s">
        <v>159</v>
      </c>
      <c r="F37" s="199" t="str">
        <f t="shared" si="0"/>
        <v>EC_SUIZ_VIRTUAL_CORP</v>
      </c>
      <c r="G37" s="5" t="s">
        <v>39</v>
      </c>
      <c r="H37" s="25" t="s">
        <v>172</v>
      </c>
      <c r="I37" s="8" t="s">
        <v>172</v>
      </c>
      <c r="J37" s="26" t="s">
        <v>173</v>
      </c>
      <c r="K37" s="13" t="str">
        <f t="shared" si="1"/>
        <v>GV001-10.0.1.2</v>
      </c>
      <c r="L37" s="8" t="s">
        <v>43</v>
      </c>
      <c r="M37" s="20" t="s">
        <v>61</v>
      </c>
      <c r="N37" s="9" t="s">
        <v>174</v>
      </c>
      <c r="O37" s="20">
        <v>4</v>
      </c>
      <c r="P37" s="20">
        <v>8</v>
      </c>
      <c r="Q37" s="20">
        <v>80</v>
      </c>
      <c r="R37" s="18"/>
      <c r="S37" s="10" t="s">
        <v>46</v>
      </c>
      <c r="T37" s="10" t="s">
        <v>47</v>
      </c>
      <c r="U37" s="22" t="s">
        <v>54</v>
      </c>
      <c r="V37" s="27" t="s">
        <v>174</v>
      </c>
      <c r="W37" s="82"/>
      <c r="X37" s="5" t="s">
        <v>49</v>
      </c>
    </row>
    <row r="38" spans="1:24">
      <c r="A38" s="4">
        <v>40</v>
      </c>
      <c r="B38" s="5" t="s">
        <v>2078</v>
      </c>
      <c r="C38" s="5" t="s">
        <v>2218</v>
      </c>
      <c r="D38" s="5" t="s">
        <v>43</v>
      </c>
      <c r="E38" s="24" t="s">
        <v>175</v>
      </c>
      <c r="F38" s="199" t="str">
        <f t="shared" si="0"/>
        <v>EC_SUIZ_VIRTUAL_CORP/UNE/UNA</v>
      </c>
      <c r="G38" s="5" t="s">
        <v>39</v>
      </c>
      <c r="H38" s="25" t="s">
        <v>176</v>
      </c>
      <c r="I38" s="8" t="s">
        <v>176</v>
      </c>
      <c r="J38" s="28" t="s">
        <v>177</v>
      </c>
      <c r="K38" s="13" t="str">
        <f t="shared" si="1"/>
        <v>GVCAE021-10.0.1.21</v>
      </c>
      <c r="L38" s="8" t="s">
        <v>43</v>
      </c>
      <c r="M38" s="28" t="s">
        <v>72</v>
      </c>
      <c r="N38" s="9" t="s">
        <v>178</v>
      </c>
      <c r="O38" s="28">
        <v>4</v>
      </c>
      <c r="P38" s="28">
        <v>64</v>
      </c>
      <c r="Q38" s="28">
        <v>500</v>
      </c>
      <c r="R38" s="18"/>
      <c r="S38" s="10" t="s">
        <v>46</v>
      </c>
      <c r="T38" s="10" t="s">
        <v>47</v>
      </c>
      <c r="U38" s="25" t="s">
        <v>54</v>
      </c>
      <c r="V38" s="27" t="s">
        <v>178</v>
      </c>
      <c r="W38" s="82"/>
      <c r="X38" s="5" t="s">
        <v>49</v>
      </c>
    </row>
    <row r="39" spans="1:24">
      <c r="A39" s="4">
        <v>41</v>
      </c>
      <c r="B39" s="5" t="s">
        <v>2078</v>
      </c>
      <c r="C39" s="5" t="s">
        <v>2218</v>
      </c>
      <c r="D39" s="5" t="s">
        <v>43</v>
      </c>
      <c r="E39" s="24" t="s">
        <v>179</v>
      </c>
      <c r="F39" s="199" t="str">
        <f t="shared" si="0"/>
        <v>EC_SUIZ_VIRTUAL_CORP/UNE/UNA/UNI</v>
      </c>
      <c r="G39" s="5" t="s">
        <v>39</v>
      </c>
      <c r="H39" s="25" t="s">
        <v>180</v>
      </c>
      <c r="I39" s="8" t="s">
        <v>180</v>
      </c>
      <c r="J39" s="29" t="s">
        <v>181</v>
      </c>
      <c r="K39" s="13" t="str">
        <f t="shared" si="1"/>
        <v>GVCAE044-10.0.1.162</v>
      </c>
      <c r="L39" s="8" t="s">
        <v>43</v>
      </c>
      <c r="M39" s="28" t="s">
        <v>79</v>
      </c>
      <c r="N39" s="9" t="s">
        <v>182</v>
      </c>
      <c r="O39" s="20">
        <v>4</v>
      </c>
      <c r="P39" s="20">
        <v>16</v>
      </c>
      <c r="Q39" s="20">
        <v>200</v>
      </c>
      <c r="R39" s="18"/>
      <c r="S39" s="10" t="s">
        <v>46</v>
      </c>
      <c r="T39" s="10" t="s">
        <v>47</v>
      </c>
      <c r="U39" s="25" t="s">
        <v>54</v>
      </c>
      <c r="V39" s="27" t="s">
        <v>182</v>
      </c>
      <c r="W39" s="82"/>
      <c r="X39" s="5" t="s">
        <v>49</v>
      </c>
    </row>
    <row r="40" spans="1:24">
      <c r="A40" s="4">
        <v>42</v>
      </c>
      <c r="B40" s="5" t="s">
        <v>2078</v>
      </c>
      <c r="C40" s="5" t="s">
        <v>2218</v>
      </c>
      <c r="D40" s="5" t="s">
        <v>43</v>
      </c>
      <c r="E40" s="24" t="s">
        <v>159</v>
      </c>
      <c r="F40" s="199" t="str">
        <f t="shared" si="0"/>
        <v>EC_SUIZ_VIRTUAL_CORP</v>
      </c>
      <c r="G40" s="5" t="s">
        <v>39</v>
      </c>
      <c r="H40" s="25" t="s">
        <v>183</v>
      </c>
      <c r="I40" s="8" t="s">
        <v>183</v>
      </c>
      <c r="J40" s="31" t="s">
        <v>184</v>
      </c>
      <c r="K40" s="13" t="str">
        <f t="shared" si="1"/>
        <v>WEBSERVER-NEW-10.255.255.95</v>
      </c>
      <c r="L40" s="8" t="s">
        <v>43</v>
      </c>
      <c r="M40" s="28" t="s">
        <v>185</v>
      </c>
      <c r="N40" s="9" t="s">
        <v>186</v>
      </c>
      <c r="O40" s="28">
        <v>4</v>
      </c>
      <c r="P40" s="28">
        <v>16</v>
      </c>
      <c r="Q40" s="28">
        <v>500</v>
      </c>
      <c r="R40" s="18"/>
      <c r="S40" s="10" t="s">
        <v>46</v>
      </c>
      <c r="T40" s="10" t="s">
        <v>47</v>
      </c>
      <c r="U40" s="25" t="s">
        <v>54</v>
      </c>
      <c r="V40" s="27" t="s">
        <v>186</v>
      </c>
      <c r="W40" s="82"/>
      <c r="X40" s="5" t="s">
        <v>49</v>
      </c>
    </row>
    <row r="41" spans="1:24">
      <c r="A41" s="4">
        <v>43</v>
      </c>
      <c r="B41" s="5" t="s">
        <v>2078</v>
      </c>
      <c r="C41" s="5" t="s">
        <v>2218</v>
      </c>
      <c r="D41" s="5" t="s">
        <v>43</v>
      </c>
      <c r="E41" s="24" t="s">
        <v>159</v>
      </c>
      <c r="F41" s="199" t="str">
        <f t="shared" si="0"/>
        <v>EC_SUIZ_VIRTUAL_CORP</v>
      </c>
      <c r="G41" s="5" t="s">
        <v>39</v>
      </c>
      <c r="H41" s="25" t="s">
        <v>187</v>
      </c>
      <c r="I41" s="8" t="s">
        <v>187</v>
      </c>
      <c r="J41" s="31" t="s">
        <v>188</v>
      </c>
      <c r="K41" s="13" t="str">
        <f t="shared" si="1"/>
        <v>GVC035-10.0.1.101</v>
      </c>
      <c r="L41" s="8" t="s">
        <v>43</v>
      </c>
      <c r="M41" s="28" t="s">
        <v>57</v>
      </c>
      <c r="N41" s="9" t="s">
        <v>189</v>
      </c>
      <c r="O41" s="20">
        <v>2</v>
      </c>
      <c r="P41" s="28">
        <v>8</v>
      </c>
      <c r="Q41" s="28">
        <v>80</v>
      </c>
      <c r="R41" s="18"/>
      <c r="S41" s="10" t="s">
        <v>46</v>
      </c>
      <c r="T41" s="10" t="s">
        <v>47</v>
      </c>
      <c r="U41" s="25" t="s">
        <v>54</v>
      </c>
      <c r="V41" s="27" t="s">
        <v>189</v>
      </c>
      <c r="W41" s="82"/>
      <c r="X41" s="5" t="s">
        <v>49</v>
      </c>
    </row>
    <row r="42" spans="1:24">
      <c r="A42" s="4">
        <v>44</v>
      </c>
      <c r="B42" s="5" t="s">
        <v>2078</v>
      </c>
      <c r="C42" s="5" t="s">
        <v>2218</v>
      </c>
      <c r="D42" s="5" t="s">
        <v>43</v>
      </c>
      <c r="E42" s="24" t="s">
        <v>159</v>
      </c>
      <c r="F42" s="199" t="str">
        <f t="shared" si="0"/>
        <v>EC_SUIZ_VIRTUAL_CORP</v>
      </c>
      <c r="G42" s="5" t="s">
        <v>39</v>
      </c>
      <c r="H42" s="25" t="s">
        <v>190</v>
      </c>
      <c r="I42" s="8" t="s">
        <v>190</v>
      </c>
      <c r="J42" s="28" t="s">
        <v>191</v>
      </c>
      <c r="K42" s="13" t="str">
        <f t="shared" si="1"/>
        <v>GVC024-10.0.1.39</v>
      </c>
      <c r="L42" s="8" t="s">
        <v>43</v>
      </c>
      <c r="M42" s="28" t="s">
        <v>72</v>
      </c>
      <c r="N42" s="9" t="s">
        <v>192</v>
      </c>
      <c r="O42" s="28">
        <v>2</v>
      </c>
      <c r="P42" s="28">
        <v>16</v>
      </c>
      <c r="Q42" s="28">
        <v>130</v>
      </c>
      <c r="R42" s="18"/>
      <c r="S42" s="10" t="s">
        <v>46</v>
      </c>
      <c r="T42" s="10" t="s">
        <v>47</v>
      </c>
      <c r="U42" s="25" t="s">
        <v>54</v>
      </c>
      <c r="V42" s="27" t="s">
        <v>192</v>
      </c>
      <c r="W42" s="82"/>
      <c r="X42" s="5" t="s">
        <v>49</v>
      </c>
    </row>
    <row r="43" spans="1:24">
      <c r="A43" s="4">
        <v>45</v>
      </c>
      <c r="B43" s="5" t="s">
        <v>2078</v>
      </c>
      <c r="C43" s="5" t="s">
        <v>2218</v>
      </c>
      <c r="D43" s="5" t="s">
        <v>43</v>
      </c>
      <c r="E43" s="24" t="s">
        <v>159</v>
      </c>
      <c r="F43" s="199" t="str">
        <f t="shared" si="0"/>
        <v>EC_SUIZ_VIRTUAL_CORP</v>
      </c>
      <c r="G43" s="5" t="s">
        <v>39</v>
      </c>
      <c r="H43" s="25" t="s">
        <v>193</v>
      </c>
      <c r="I43" s="8" t="s">
        <v>193</v>
      </c>
      <c r="J43" s="29" t="s">
        <v>194</v>
      </c>
      <c r="K43" s="13" t="str">
        <f t="shared" si="1"/>
        <v>GVC023-10.0.1.133</v>
      </c>
      <c r="L43" s="8" t="s">
        <v>43</v>
      </c>
      <c r="M43" s="20" t="s">
        <v>61</v>
      </c>
      <c r="N43" s="9" t="s">
        <v>163</v>
      </c>
      <c r="O43" s="20">
        <v>8</v>
      </c>
      <c r="P43" s="20">
        <v>12</v>
      </c>
      <c r="Q43" s="20">
        <v>200</v>
      </c>
      <c r="R43" s="18"/>
      <c r="S43" s="10" t="s">
        <v>46</v>
      </c>
      <c r="T43" s="10" t="s">
        <v>47</v>
      </c>
      <c r="U43" s="25" t="s">
        <v>54</v>
      </c>
      <c r="V43" s="27" t="s">
        <v>163</v>
      </c>
      <c r="W43" s="82"/>
      <c r="X43" s="5" t="s">
        <v>49</v>
      </c>
    </row>
    <row r="44" spans="1:24">
      <c r="A44" s="4">
        <v>46</v>
      </c>
      <c r="B44" s="5" t="s">
        <v>2078</v>
      </c>
      <c r="C44" s="5" t="s">
        <v>2218</v>
      </c>
      <c r="D44" s="5" t="s">
        <v>43</v>
      </c>
      <c r="E44" s="24" t="s">
        <v>159</v>
      </c>
      <c r="F44" s="199" t="str">
        <f t="shared" si="0"/>
        <v>EC_SUIZ_VIRTUAL_CORP</v>
      </c>
      <c r="G44" s="5" t="s">
        <v>39</v>
      </c>
      <c r="H44" s="25" t="s">
        <v>195</v>
      </c>
      <c r="I44" s="8" t="s">
        <v>195</v>
      </c>
      <c r="J44" s="28" t="s">
        <v>196</v>
      </c>
      <c r="K44" s="13" t="str">
        <f t="shared" si="1"/>
        <v>GVC026-10.0.1.47</v>
      </c>
      <c r="L44" s="8" t="s">
        <v>43</v>
      </c>
      <c r="M44" s="28" t="s">
        <v>72</v>
      </c>
      <c r="N44" s="9" t="s">
        <v>197</v>
      </c>
      <c r="O44" s="28">
        <v>4</v>
      </c>
      <c r="P44" s="28">
        <v>8</v>
      </c>
      <c r="Q44" s="28">
        <v>130</v>
      </c>
      <c r="R44" s="18"/>
      <c r="S44" s="10" t="s">
        <v>46</v>
      </c>
      <c r="T44" s="10" t="s">
        <v>47</v>
      </c>
      <c r="U44" s="25" t="s">
        <v>54</v>
      </c>
      <c r="V44" s="27" t="s">
        <v>197</v>
      </c>
      <c r="W44" s="82"/>
      <c r="X44" s="5" t="s">
        <v>49</v>
      </c>
    </row>
    <row r="45" spans="1:24">
      <c r="A45" s="4">
        <v>47</v>
      </c>
      <c r="B45" s="5" t="s">
        <v>2078</v>
      </c>
      <c r="C45" s="5" t="s">
        <v>2218</v>
      </c>
      <c r="D45" s="5" t="s">
        <v>43</v>
      </c>
      <c r="E45" s="24" t="s">
        <v>159</v>
      </c>
      <c r="F45" s="199" t="str">
        <f t="shared" si="0"/>
        <v>EC_SUIZ_VIRTUAL_CORP</v>
      </c>
      <c r="G45" s="5" t="s">
        <v>39</v>
      </c>
      <c r="H45" s="25" t="s">
        <v>198</v>
      </c>
      <c r="I45" s="8" t="s">
        <v>198</v>
      </c>
      <c r="J45" s="29" t="s">
        <v>199</v>
      </c>
      <c r="K45" s="13" t="str">
        <f t="shared" si="1"/>
        <v>GVC040-10.0.1.119</v>
      </c>
      <c r="L45" s="8" t="s">
        <v>43</v>
      </c>
      <c r="M45" s="20" t="s">
        <v>200</v>
      </c>
      <c r="N45" s="9" t="s">
        <v>201</v>
      </c>
      <c r="O45" s="20">
        <v>4</v>
      </c>
      <c r="P45" s="20">
        <v>8</v>
      </c>
      <c r="Q45" s="20">
        <v>120</v>
      </c>
      <c r="R45" s="18"/>
      <c r="S45" s="10" t="s">
        <v>46</v>
      </c>
      <c r="T45" s="10" t="s">
        <v>47</v>
      </c>
      <c r="U45" s="25" t="s">
        <v>54</v>
      </c>
      <c r="V45" s="27" t="s">
        <v>201</v>
      </c>
      <c r="W45" s="82"/>
      <c r="X45" s="5" t="s">
        <v>49</v>
      </c>
    </row>
    <row r="46" spans="1:24">
      <c r="A46" s="4">
        <v>48</v>
      </c>
      <c r="B46" s="5" t="s">
        <v>2078</v>
      </c>
      <c r="C46" s="5" t="s">
        <v>2218</v>
      </c>
      <c r="D46" s="5" t="s">
        <v>43</v>
      </c>
      <c r="E46" s="24" t="s">
        <v>159</v>
      </c>
      <c r="F46" s="199" t="str">
        <f t="shared" si="0"/>
        <v>EC_SUIZ_VIRTUAL_CORP</v>
      </c>
      <c r="G46" s="5" t="s">
        <v>39</v>
      </c>
      <c r="H46" s="25" t="s">
        <v>202</v>
      </c>
      <c r="I46" s="8" t="s">
        <v>202</v>
      </c>
      <c r="J46" s="29" t="s">
        <v>203</v>
      </c>
      <c r="K46" s="13" t="str">
        <f t="shared" si="1"/>
        <v>GVC041-10.0.1.203</v>
      </c>
      <c r="L46" s="8" t="s">
        <v>43</v>
      </c>
      <c r="M46" s="20" t="s">
        <v>200</v>
      </c>
      <c r="N46" s="9" t="s">
        <v>201</v>
      </c>
      <c r="O46" s="20">
        <v>4</v>
      </c>
      <c r="P46" s="20">
        <v>8</v>
      </c>
      <c r="Q46" s="20">
        <v>100</v>
      </c>
      <c r="R46" s="18"/>
      <c r="S46" s="10" t="s">
        <v>46</v>
      </c>
      <c r="T46" s="10" t="s">
        <v>47</v>
      </c>
      <c r="U46" s="25" t="s">
        <v>54</v>
      </c>
      <c r="V46" s="27" t="s">
        <v>201</v>
      </c>
      <c r="W46" s="82"/>
      <c r="X46" s="5" t="s">
        <v>49</v>
      </c>
    </row>
    <row r="47" spans="1:24">
      <c r="A47" s="4">
        <v>49</v>
      </c>
      <c r="B47" s="5" t="s">
        <v>2078</v>
      </c>
      <c r="C47" s="5" t="s">
        <v>2218</v>
      </c>
      <c r="D47" s="5" t="s">
        <v>43</v>
      </c>
      <c r="E47" s="24" t="s">
        <v>159</v>
      </c>
      <c r="F47" s="199" t="str">
        <f t="shared" si="0"/>
        <v>EC_SUIZ_VIRTUAL_CORP</v>
      </c>
      <c r="G47" s="5" t="s">
        <v>39</v>
      </c>
      <c r="H47" s="25" t="s">
        <v>204</v>
      </c>
      <c r="I47" s="8" t="s">
        <v>204</v>
      </c>
      <c r="J47" s="29" t="s">
        <v>205</v>
      </c>
      <c r="K47" s="13" t="str">
        <f t="shared" si="1"/>
        <v>NetScaler-VPX-1-10.0.1.251</v>
      </c>
      <c r="L47" s="8" t="s">
        <v>43</v>
      </c>
      <c r="M47" s="20" t="s">
        <v>206</v>
      </c>
      <c r="N47" s="9" t="s">
        <v>204</v>
      </c>
      <c r="O47" s="20">
        <v>2</v>
      </c>
      <c r="P47" s="20">
        <v>2</v>
      </c>
      <c r="Q47" s="20">
        <v>20</v>
      </c>
      <c r="R47" s="18"/>
      <c r="S47" s="10" t="s">
        <v>46</v>
      </c>
      <c r="T47" s="10" t="s">
        <v>47</v>
      </c>
      <c r="U47" s="25" t="s">
        <v>54</v>
      </c>
      <c r="V47" s="27" t="s">
        <v>204</v>
      </c>
      <c r="W47" s="82"/>
      <c r="X47" s="5" t="s">
        <v>49</v>
      </c>
    </row>
    <row r="48" spans="1:24">
      <c r="A48" s="4">
        <v>50</v>
      </c>
      <c r="B48" s="5" t="s">
        <v>2078</v>
      </c>
      <c r="C48" s="5" t="s">
        <v>2218</v>
      </c>
      <c r="D48" s="5" t="s">
        <v>43</v>
      </c>
      <c r="E48" s="24" t="s">
        <v>159</v>
      </c>
      <c r="F48" s="199" t="str">
        <f t="shared" si="0"/>
        <v>EC_SUIZ_VIRTUAL_CORP</v>
      </c>
      <c r="G48" s="5" t="s">
        <v>39</v>
      </c>
      <c r="H48" s="25" t="s">
        <v>207</v>
      </c>
      <c r="I48" s="8" t="s">
        <v>207</v>
      </c>
      <c r="J48" s="29" t="s">
        <v>208</v>
      </c>
      <c r="K48" s="13" t="str">
        <f t="shared" si="1"/>
        <v>NetScaler-VPX-2-10.0.1.4</v>
      </c>
      <c r="L48" s="8" t="s">
        <v>43</v>
      </c>
      <c r="M48" s="20" t="s">
        <v>206</v>
      </c>
      <c r="N48" s="9" t="s">
        <v>207</v>
      </c>
      <c r="O48" s="20">
        <v>2</v>
      </c>
      <c r="P48" s="20">
        <v>2</v>
      </c>
      <c r="Q48" s="20">
        <v>20</v>
      </c>
      <c r="R48" s="18"/>
      <c r="S48" s="10" t="s">
        <v>46</v>
      </c>
      <c r="T48" s="10" t="s">
        <v>47</v>
      </c>
      <c r="U48" s="25" t="s">
        <v>54</v>
      </c>
      <c r="V48" s="27" t="s">
        <v>207</v>
      </c>
      <c r="W48" s="82"/>
      <c r="X48" s="5" t="s">
        <v>49</v>
      </c>
    </row>
    <row r="49" spans="1:24">
      <c r="A49" s="4">
        <v>51</v>
      </c>
      <c r="B49" s="5" t="s">
        <v>2078</v>
      </c>
      <c r="C49" s="5" t="s">
        <v>2218</v>
      </c>
      <c r="D49" s="5" t="s">
        <v>43</v>
      </c>
      <c r="E49" s="24" t="s">
        <v>159</v>
      </c>
      <c r="F49" s="199" t="str">
        <f t="shared" si="0"/>
        <v>EC_SUIZ_VIRTUAL_CORP</v>
      </c>
      <c r="G49" s="5" t="s">
        <v>39</v>
      </c>
      <c r="H49" s="25" t="s">
        <v>209</v>
      </c>
      <c r="I49" s="8" t="s">
        <v>209</v>
      </c>
      <c r="J49" s="29" t="s">
        <v>210</v>
      </c>
      <c r="K49" s="13" t="str">
        <f t="shared" si="1"/>
        <v>GV020-10.0.1.25</v>
      </c>
      <c r="L49" s="8" t="s">
        <v>43</v>
      </c>
      <c r="M49" s="29" t="s">
        <v>72</v>
      </c>
      <c r="N49" s="9" t="s">
        <v>211</v>
      </c>
      <c r="O49" s="29">
        <v>4</v>
      </c>
      <c r="P49" s="29">
        <v>16</v>
      </c>
      <c r="Q49" s="29">
        <v>200</v>
      </c>
      <c r="R49" s="18"/>
      <c r="S49" s="10" t="s">
        <v>46</v>
      </c>
      <c r="T49" s="10" t="s">
        <v>47</v>
      </c>
      <c r="U49" s="25" t="s">
        <v>212</v>
      </c>
      <c r="V49" s="27" t="s">
        <v>211</v>
      </c>
      <c r="W49" s="82"/>
      <c r="X49" s="5" t="s">
        <v>49</v>
      </c>
    </row>
    <row r="50" spans="1:24">
      <c r="A50" s="4">
        <v>52</v>
      </c>
      <c r="B50" s="5" t="s">
        <v>2078</v>
      </c>
      <c r="C50" s="5" t="s">
        <v>2218</v>
      </c>
      <c r="D50" s="5" t="s">
        <v>43</v>
      </c>
      <c r="E50" s="24" t="s">
        <v>159</v>
      </c>
      <c r="F50" s="199" t="str">
        <f t="shared" si="0"/>
        <v>EC_SUIZ_VIRTUAL_CORP</v>
      </c>
      <c r="G50" s="5" t="s">
        <v>39</v>
      </c>
      <c r="H50" s="25" t="s">
        <v>213</v>
      </c>
      <c r="I50" s="8" t="s">
        <v>213</v>
      </c>
      <c r="J50" s="29" t="s">
        <v>214</v>
      </c>
      <c r="K50" s="13" t="str">
        <f t="shared" si="1"/>
        <v>GVC050-10.0.1.10</v>
      </c>
      <c r="L50" s="8" t="s">
        <v>43</v>
      </c>
      <c r="M50" s="20" t="s">
        <v>215</v>
      </c>
      <c r="N50" s="9" t="s">
        <v>216</v>
      </c>
      <c r="O50" s="20">
        <v>2</v>
      </c>
      <c r="P50" s="20">
        <v>8</v>
      </c>
      <c r="Q50" s="20">
        <v>80</v>
      </c>
      <c r="R50" s="18"/>
      <c r="S50" s="10" t="s">
        <v>46</v>
      </c>
      <c r="T50" s="10" t="s">
        <v>47</v>
      </c>
      <c r="U50" s="25" t="s">
        <v>54</v>
      </c>
      <c r="V50" s="27" t="s">
        <v>216</v>
      </c>
      <c r="W50" s="82"/>
      <c r="X50" s="5" t="s">
        <v>49</v>
      </c>
    </row>
    <row r="51" spans="1:24">
      <c r="A51" s="4">
        <v>53</v>
      </c>
      <c r="B51" s="5" t="s">
        <v>2078</v>
      </c>
      <c r="C51" s="5" t="s">
        <v>2218</v>
      </c>
      <c r="D51" s="5" t="s">
        <v>43</v>
      </c>
      <c r="E51" s="24" t="s">
        <v>159</v>
      </c>
      <c r="F51" s="199" t="str">
        <f t="shared" si="0"/>
        <v>EC_SUIZ_VIRTUAL_CORP</v>
      </c>
      <c r="G51" s="5" t="s">
        <v>39</v>
      </c>
      <c r="H51" s="25" t="s">
        <v>217</v>
      </c>
      <c r="I51" s="8" t="s">
        <v>217</v>
      </c>
      <c r="J51" s="29" t="s">
        <v>218</v>
      </c>
      <c r="K51" s="13" t="str">
        <f t="shared" si="1"/>
        <v xml:space="preserve">GVC051-10.0.1.223 </v>
      </c>
      <c r="L51" s="8" t="s">
        <v>43</v>
      </c>
      <c r="M51" s="28" t="s">
        <v>52</v>
      </c>
      <c r="N51" s="9" t="s">
        <v>219</v>
      </c>
      <c r="O51" s="28">
        <v>4</v>
      </c>
      <c r="P51" s="28">
        <v>48</v>
      </c>
      <c r="Q51" s="28">
        <v>200</v>
      </c>
      <c r="R51" s="18"/>
      <c r="S51" s="10" t="s">
        <v>46</v>
      </c>
      <c r="T51" s="10" t="s">
        <v>47</v>
      </c>
      <c r="U51" s="25" t="s">
        <v>54</v>
      </c>
      <c r="V51" s="27" t="s">
        <v>219</v>
      </c>
      <c r="W51" s="82"/>
      <c r="X51" s="5" t="s">
        <v>49</v>
      </c>
    </row>
    <row r="52" spans="1:24">
      <c r="A52" s="4">
        <v>54</v>
      </c>
      <c r="B52" s="5" t="s">
        <v>2078</v>
      </c>
      <c r="C52" s="5" t="s">
        <v>2218</v>
      </c>
      <c r="D52" s="5" t="s">
        <v>43</v>
      </c>
      <c r="E52" s="24" t="s">
        <v>159</v>
      </c>
      <c r="F52" s="199" t="str">
        <f t="shared" si="0"/>
        <v>EC_SUIZ_VIRTUAL_CORP</v>
      </c>
      <c r="G52" s="5" t="s">
        <v>39</v>
      </c>
      <c r="H52" s="25" t="s">
        <v>220</v>
      </c>
      <c r="I52" s="8" t="s">
        <v>220</v>
      </c>
      <c r="J52" s="29" t="s">
        <v>221</v>
      </c>
      <c r="K52" s="13" t="str">
        <f t="shared" si="1"/>
        <v>GVCAE046-10.0.1.222</v>
      </c>
      <c r="L52" s="8" t="s">
        <v>43</v>
      </c>
      <c r="M52" s="20" t="s">
        <v>61</v>
      </c>
      <c r="N52" s="9" t="s">
        <v>222</v>
      </c>
      <c r="O52" s="20">
        <v>4</v>
      </c>
      <c r="P52" s="20">
        <v>48</v>
      </c>
      <c r="Q52" s="20">
        <v>200</v>
      </c>
      <c r="R52" s="18"/>
      <c r="S52" s="10" t="s">
        <v>46</v>
      </c>
      <c r="T52" s="10" t="s">
        <v>47</v>
      </c>
      <c r="U52" s="25" t="s">
        <v>54</v>
      </c>
      <c r="V52" s="27" t="s">
        <v>222</v>
      </c>
      <c r="W52" s="82"/>
      <c r="X52" s="5" t="s">
        <v>49</v>
      </c>
    </row>
    <row r="53" spans="1:24">
      <c r="A53" s="4">
        <v>55</v>
      </c>
      <c r="B53" s="5" t="s">
        <v>2078</v>
      </c>
      <c r="C53" s="5" t="s">
        <v>2218</v>
      </c>
      <c r="D53" s="5" t="s">
        <v>43</v>
      </c>
      <c r="E53" s="24" t="s">
        <v>159</v>
      </c>
      <c r="F53" s="199" t="str">
        <f t="shared" si="0"/>
        <v>EC_SUIZ_VIRTUAL_CORP</v>
      </c>
      <c r="G53" s="5" t="s">
        <v>39</v>
      </c>
      <c r="H53" s="25" t="s">
        <v>223</v>
      </c>
      <c r="I53" s="8" t="s">
        <v>223</v>
      </c>
      <c r="J53" s="29" t="s">
        <v>224</v>
      </c>
      <c r="K53" s="13" t="str">
        <f t="shared" si="1"/>
        <v>SRVPache-10.0.1.91</v>
      </c>
      <c r="L53" s="8" t="s">
        <v>43</v>
      </c>
      <c r="M53" s="20" t="s">
        <v>61</v>
      </c>
      <c r="N53" s="9" t="s">
        <v>225</v>
      </c>
      <c r="O53" s="20">
        <v>8</v>
      </c>
      <c r="P53" s="20">
        <v>16</v>
      </c>
      <c r="Q53" s="30">
        <v>160</v>
      </c>
      <c r="R53" s="18"/>
      <c r="S53" s="10" t="s">
        <v>46</v>
      </c>
      <c r="T53" s="10" t="s">
        <v>47</v>
      </c>
      <c r="U53" s="25" t="s">
        <v>54</v>
      </c>
      <c r="V53" s="27" t="s">
        <v>225</v>
      </c>
      <c r="W53" s="82"/>
      <c r="X53" s="5" t="s">
        <v>49</v>
      </c>
    </row>
    <row r="54" spans="1:24">
      <c r="A54" s="4">
        <v>56</v>
      </c>
      <c r="B54" s="5" t="s">
        <v>2078</v>
      </c>
      <c r="C54" s="5" t="s">
        <v>2218</v>
      </c>
      <c r="D54" s="5" t="s">
        <v>43</v>
      </c>
      <c r="E54" s="24" t="s">
        <v>159</v>
      </c>
      <c r="F54" s="199" t="str">
        <f t="shared" si="0"/>
        <v>EC_SUIZ_VIRTUAL_CORP</v>
      </c>
      <c r="G54" s="5" t="s">
        <v>39</v>
      </c>
      <c r="H54" s="25" t="s">
        <v>226</v>
      </c>
      <c r="I54" s="8" t="s">
        <v>226</v>
      </c>
      <c r="J54" s="29" t="s">
        <v>227</v>
      </c>
      <c r="K54" s="13" t="str">
        <f t="shared" si="1"/>
        <v>GVC052-10.0.1.52</v>
      </c>
      <c r="L54" s="8" t="s">
        <v>43</v>
      </c>
      <c r="M54" s="20" t="s">
        <v>61</v>
      </c>
      <c r="N54" s="9" t="s">
        <v>228</v>
      </c>
      <c r="O54" s="28">
        <v>6</v>
      </c>
      <c r="P54" s="28">
        <v>12</v>
      </c>
      <c r="Q54" s="28">
        <v>300</v>
      </c>
      <c r="R54" s="18"/>
      <c r="S54" s="10" t="s">
        <v>46</v>
      </c>
      <c r="T54" s="10" t="s">
        <v>47</v>
      </c>
      <c r="U54" s="25" t="s">
        <v>54</v>
      </c>
      <c r="V54" s="27" t="s">
        <v>228</v>
      </c>
      <c r="W54" s="82"/>
      <c r="X54" s="5" t="s">
        <v>49</v>
      </c>
    </row>
    <row r="55" spans="1:24">
      <c r="A55" s="4">
        <v>57</v>
      </c>
      <c r="B55" s="5" t="s">
        <v>2078</v>
      </c>
      <c r="C55" s="5" t="s">
        <v>2218</v>
      </c>
      <c r="D55" s="5" t="s">
        <v>43</v>
      </c>
      <c r="E55" s="24" t="s">
        <v>159</v>
      </c>
      <c r="F55" s="199" t="str">
        <f t="shared" si="0"/>
        <v>EC_SUIZ_VIRTUAL_CORP</v>
      </c>
      <c r="G55" s="5" t="s">
        <v>39</v>
      </c>
      <c r="H55" s="25" t="s">
        <v>229</v>
      </c>
      <c r="I55" s="8" t="s">
        <v>229</v>
      </c>
      <c r="J55" s="29" t="s">
        <v>230</v>
      </c>
      <c r="K55" s="13" t="str">
        <f t="shared" si="1"/>
        <v>GVC053-10.255.255.53</v>
      </c>
      <c r="L55" s="8" t="s">
        <v>43</v>
      </c>
      <c r="M55" s="20" t="s">
        <v>61</v>
      </c>
      <c r="N55" s="9" t="s">
        <v>231</v>
      </c>
      <c r="O55" s="28">
        <v>6</v>
      </c>
      <c r="P55" s="28">
        <v>16</v>
      </c>
      <c r="Q55" s="28">
        <v>300</v>
      </c>
      <c r="R55" s="18"/>
      <c r="S55" s="10" t="s">
        <v>46</v>
      </c>
      <c r="T55" s="10" t="s">
        <v>47</v>
      </c>
      <c r="U55" s="25" t="s">
        <v>54</v>
      </c>
      <c r="V55" s="27" t="s">
        <v>231</v>
      </c>
      <c r="W55" s="82"/>
      <c r="X55" s="5" t="s">
        <v>49</v>
      </c>
    </row>
    <row r="56" spans="1:24">
      <c r="A56" s="4">
        <v>58</v>
      </c>
      <c r="B56" s="5" t="s">
        <v>2078</v>
      </c>
      <c r="C56" s="5" t="s">
        <v>2218</v>
      </c>
      <c r="D56" s="5" t="s">
        <v>43</v>
      </c>
      <c r="E56" s="24" t="s">
        <v>159</v>
      </c>
      <c r="F56" s="199" t="str">
        <f t="shared" si="0"/>
        <v>EC_SUIZ_VIRTUAL_CORP</v>
      </c>
      <c r="G56" s="5" t="s">
        <v>39</v>
      </c>
      <c r="H56" s="25" t="s">
        <v>232</v>
      </c>
      <c r="I56" s="8" t="s">
        <v>232</v>
      </c>
      <c r="J56" s="31" t="s">
        <v>233</v>
      </c>
      <c r="K56" s="13" t="str">
        <f t="shared" si="1"/>
        <v>GVDEVSRV01-10.20.30.23</v>
      </c>
      <c r="L56" s="8" t="s">
        <v>43</v>
      </c>
      <c r="M56" s="28" t="s">
        <v>61</v>
      </c>
      <c r="N56" s="9" t="s">
        <v>234</v>
      </c>
      <c r="O56" s="28">
        <v>2</v>
      </c>
      <c r="P56" s="28">
        <v>24</v>
      </c>
      <c r="Q56" s="28">
        <v>100</v>
      </c>
      <c r="R56" s="18"/>
      <c r="S56" s="10" t="s">
        <v>46</v>
      </c>
      <c r="T56" s="10" t="s">
        <v>47</v>
      </c>
      <c r="U56" s="25" t="s">
        <v>54</v>
      </c>
      <c r="V56" s="27" t="s">
        <v>235</v>
      </c>
      <c r="W56" s="82"/>
      <c r="X56" s="5" t="s">
        <v>49</v>
      </c>
    </row>
    <row r="57" spans="1:24">
      <c r="A57" s="4">
        <v>59</v>
      </c>
      <c r="B57" s="5" t="s">
        <v>2078</v>
      </c>
      <c r="C57" s="5" t="s">
        <v>2218</v>
      </c>
      <c r="D57" s="5" t="s">
        <v>43</v>
      </c>
      <c r="E57" s="24" t="s">
        <v>159</v>
      </c>
      <c r="F57" s="199" t="str">
        <f t="shared" si="0"/>
        <v>EC_SUIZ_VIRTUAL_CORP</v>
      </c>
      <c r="G57" s="5" t="s">
        <v>39</v>
      </c>
      <c r="H57" s="25" t="s">
        <v>236</v>
      </c>
      <c r="I57" s="8" t="s">
        <v>236</v>
      </c>
      <c r="J57" s="21" t="s">
        <v>237</v>
      </c>
      <c r="K57" s="13" t="str">
        <f t="shared" si="1"/>
        <v>GVDEVIIS01-10.20.30.20</v>
      </c>
      <c r="L57" s="8" t="s">
        <v>43</v>
      </c>
      <c r="M57" s="28" t="s">
        <v>61</v>
      </c>
      <c r="N57" s="9" t="s">
        <v>234</v>
      </c>
      <c r="O57" s="28">
        <v>4</v>
      </c>
      <c r="P57" s="28">
        <v>12</v>
      </c>
      <c r="Q57" s="28">
        <v>120</v>
      </c>
      <c r="R57" s="18"/>
      <c r="S57" s="10" t="s">
        <v>46</v>
      </c>
      <c r="T57" s="10" t="s">
        <v>47</v>
      </c>
      <c r="U57" s="25" t="s">
        <v>54</v>
      </c>
      <c r="V57" s="27" t="s">
        <v>238</v>
      </c>
      <c r="W57" s="82"/>
      <c r="X57" s="5" t="s">
        <v>49</v>
      </c>
    </row>
    <row r="58" spans="1:24">
      <c r="A58" s="4">
        <v>60</v>
      </c>
      <c r="B58" s="5" t="s">
        <v>2078</v>
      </c>
      <c r="C58" s="5" t="s">
        <v>2218</v>
      </c>
      <c r="D58" s="5" t="s">
        <v>43</v>
      </c>
      <c r="E58" s="24" t="s">
        <v>159</v>
      </c>
      <c r="F58" s="199" t="str">
        <f t="shared" si="0"/>
        <v>EC_SUIZ_VIRTUAL_CORP</v>
      </c>
      <c r="G58" s="5" t="s">
        <v>39</v>
      </c>
      <c r="H58" s="25" t="s">
        <v>239</v>
      </c>
      <c r="I58" s="8" t="s">
        <v>239</v>
      </c>
      <c r="J58" s="21" t="s">
        <v>240</v>
      </c>
      <c r="K58" s="13" t="str">
        <f t="shared" si="1"/>
        <v>GVDEVSQL01-10.20.30.21</v>
      </c>
      <c r="L58" s="8" t="s">
        <v>43</v>
      </c>
      <c r="M58" s="28" t="s">
        <v>61</v>
      </c>
      <c r="N58" s="9" t="s">
        <v>234</v>
      </c>
      <c r="O58" s="28">
        <v>2</v>
      </c>
      <c r="P58" s="28">
        <v>24</v>
      </c>
      <c r="Q58" s="28">
        <v>500</v>
      </c>
      <c r="R58" s="18"/>
      <c r="S58" s="10" t="s">
        <v>46</v>
      </c>
      <c r="T58" s="10" t="s">
        <v>47</v>
      </c>
      <c r="U58" s="25" t="s">
        <v>54</v>
      </c>
      <c r="V58" s="27" t="s">
        <v>241</v>
      </c>
      <c r="W58" s="82"/>
      <c r="X58" s="5" t="s">
        <v>49</v>
      </c>
    </row>
    <row r="59" spans="1:24">
      <c r="A59" s="4">
        <v>61</v>
      </c>
      <c r="B59" s="5" t="s">
        <v>2078</v>
      </c>
      <c r="C59" s="5" t="s">
        <v>2218</v>
      </c>
      <c r="D59" s="5" t="s">
        <v>43</v>
      </c>
      <c r="E59" s="24" t="s">
        <v>159</v>
      </c>
      <c r="F59" s="199" t="str">
        <f t="shared" si="0"/>
        <v>EC_SUIZ_VIRTUAL_CORP</v>
      </c>
      <c r="G59" s="5" t="s">
        <v>39</v>
      </c>
      <c r="H59" s="25" t="s">
        <v>242</v>
      </c>
      <c r="I59" s="8" t="s">
        <v>242</v>
      </c>
      <c r="J59" s="21" t="s">
        <v>243</v>
      </c>
      <c r="K59" s="13" t="str">
        <f t="shared" si="1"/>
        <v>GVDEVRDS01-10.20.30.22</v>
      </c>
      <c r="L59" s="8" t="s">
        <v>43</v>
      </c>
      <c r="M59" s="28" t="s">
        <v>61</v>
      </c>
      <c r="N59" s="9" t="s">
        <v>234</v>
      </c>
      <c r="O59" s="28">
        <v>2</v>
      </c>
      <c r="P59" s="28">
        <v>24</v>
      </c>
      <c r="Q59" s="28">
        <v>500</v>
      </c>
      <c r="R59" s="18"/>
      <c r="S59" s="10" t="s">
        <v>46</v>
      </c>
      <c r="T59" s="10" t="s">
        <v>47</v>
      </c>
      <c r="U59" s="25" t="s">
        <v>54</v>
      </c>
      <c r="V59" s="27" t="s">
        <v>244</v>
      </c>
      <c r="W59" s="82"/>
      <c r="X59" s="5" t="s">
        <v>49</v>
      </c>
    </row>
    <row r="60" spans="1:24">
      <c r="A60" s="4">
        <v>18</v>
      </c>
      <c r="B60" s="16" t="s">
        <v>2077</v>
      </c>
      <c r="C60" s="5" t="s">
        <v>2218</v>
      </c>
      <c r="D60" s="5" t="s">
        <v>43</v>
      </c>
      <c r="E60" s="80" t="s">
        <v>105</v>
      </c>
      <c r="F60" s="199" t="str">
        <f t="shared" si="0"/>
        <v>PE_SUIZ_VIRTUAL_UNS</v>
      </c>
      <c r="G60" s="5" t="s">
        <v>39</v>
      </c>
      <c r="H60" s="17" t="s">
        <v>106</v>
      </c>
      <c r="I60" s="8" t="s">
        <v>106</v>
      </c>
      <c r="J60" s="81" t="s">
        <v>107</v>
      </c>
      <c r="K60" s="13" t="str">
        <f t="shared" si="1"/>
        <v>GVS032-10.0.1.191</v>
      </c>
      <c r="L60" s="8" t="s">
        <v>43</v>
      </c>
      <c r="M60" s="8" t="s">
        <v>108</v>
      </c>
      <c r="N60" s="9" t="s">
        <v>109</v>
      </c>
      <c r="O60" s="14">
        <v>4</v>
      </c>
      <c r="P60" s="14">
        <v>12</v>
      </c>
      <c r="Q60" s="14">
        <v>179</v>
      </c>
      <c r="R60" s="18"/>
      <c r="S60" s="10" t="s">
        <v>46</v>
      </c>
      <c r="T60" s="10" t="s">
        <v>47</v>
      </c>
      <c r="U60" s="17" t="s">
        <v>54</v>
      </c>
      <c r="V60" s="14" t="s">
        <v>109</v>
      </c>
      <c r="W60" s="82"/>
      <c r="X60" s="5" t="s">
        <v>49</v>
      </c>
    </row>
    <row r="61" spans="1:24">
      <c r="A61" s="4">
        <v>23</v>
      </c>
      <c r="B61" s="16" t="s">
        <v>2077</v>
      </c>
      <c r="C61" s="5" t="s">
        <v>2218</v>
      </c>
      <c r="D61" s="5" t="s">
        <v>43</v>
      </c>
      <c r="E61" s="80" t="s">
        <v>105</v>
      </c>
      <c r="F61" s="199" t="str">
        <f t="shared" si="0"/>
        <v>PE_SUIZ_VIRTUAL_UNS</v>
      </c>
      <c r="G61" s="5" t="s">
        <v>39</v>
      </c>
      <c r="H61" s="17" t="s">
        <v>122</v>
      </c>
      <c r="I61" s="8" t="s">
        <v>122</v>
      </c>
      <c r="J61" s="81" t="s">
        <v>123</v>
      </c>
      <c r="K61" s="13" t="str">
        <f t="shared" si="1"/>
        <v>GVS067-10.0.1.111</v>
      </c>
      <c r="L61" s="8" t="s">
        <v>43</v>
      </c>
      <c r="M61" s="8" t="s">
        <v>112</v>
      </c>
      <c r="N61" s="9" t="s">
        <v>113</v>
      </c>
      <c r="O61" s="8">
        <v>10</v>
      </c>
      <c r="P61" s="8">
        <v>128</v>
      </c>
      <c r="Q61" s="19">
        <v>274</v>
      </c>
      <c r="R61" s="18"/>
      <c r="S61" s="10" t="s">
        <v>46</v>
      </c>
      <c r="T61" s="10" t="s">
        <v>47</v>
      </c>
      <c r="U61" s="17" t="s">
        <v>54</v>
      </c>
      <c r="V61" s="14" t="s">
        <v>113</v>
      </c>
      <c r="W61" s="82"/>
      <c r="X61" s="5" t="s">
        <v>49</v>
      </c>
    </row>
    <row r="62" spans="1:24">
      <c r="A62" s="4">
        <v>24</v>
      </c>
      <c r="B62" s="16" t="s">
        <v>2077</v>
      </c>
      <c r="C62" s="5" t="s">
        <v>2218</v>
      </c>
      <c r="D62" s="5" t="s">
        <v>43</v>
      </c>
      <c r="E62" s="80" t="s">
        <v>105</v>
      </c>
      <c r="F62" s="199" t="str">
        <f t="shared" si="0"/>
        <v>PE_SUIZ_VIRTUAL_UNS</v>
      </c>
      <c r="G62" s="5" t="s">
        <v>39</v>
      </c>
      <c r="H62" s="17" t="s">
        <v>124</v>
      </c>
      <c r="I62" s="8" t="s">
        <v>124</v>
      </c>
      <c r="J62" s="81" t="s">
        <v>125</v>
      </c>
      <c r="K62" s="13" t="str">
        <f t="shared" si="1"/>
        <v>GVS069-10.0.1.112</v>
      </c>
      <c r="L62" s="8" t="s">
        <v>43</v>
      </c>
      <c r="M62" s="8" t="s">
        <v>126</v>
      </c>
      <c r="N62" s="9" t="s">
        <v>121</v>
      </c>
      <c r="O62" s="20">
        <v>20</v>
      </c>
      <c r="P62" s="20">
        <v>185</v>
      </c>
      <c r="Q62" s="20">
        <v>219</v>
      </c>
      <c r="R62" s="18"/>
      <c r="S62" s="10" t="s">
        <v>46</v>
      </c>
      <c r="T62" s="10" t="s">
        <v>47</v>
      </c>
      <c r="U62" s="17" t="s">
        <v>54</v>
      </c>
      <c r="V62" s="14" t="s">
        <v>121</v>
      </c>
      <c r="W62" s="82"/>
      <c r="X62" s="5" t="s">
        <v>49</v>
      </c>
    </row>
  </sheetData>
  <autoFilter ref="A1:X62" xr:uid="{00000000-0009-0000-0000-000000000000}">
    <sortState xmlns:xlrd2="http://schemas.microsoft.com/office/spreadsheetml/2017/richdata2" ref="A2:X62">
      <sortCondition ref="B1:B62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3"/>
  <sheetViews>
    <sheetView showGridLines="0" topLeftCell="A33" zoomScale="90" zoomScaleNormal="90" workbookViewId="0">
      <selection activeCell="G8" sqref="G8"/>
    </sheetView>
  </sheetViews>
  <sheetFormatPr baseColWidth="10" defaultColWidth="12.5703125" defaultRowHeight="15" customHeight="1"/>
  <cols>
    <col min="1" max="1" width="8.28515625" bestFit="1" customWidth="1"/>
    <col min="2" max="2" width="14" customWidth="1"/>
    <col min="3" max="3" width="29.7109375" bestFit="1" customWidth="1"/>
    <col min="4" max="4" width="52.5703125" bestFit="1" customWidth="1"/>
    <col min="5" max="5" width="13.7109375" bestFit="1" customWidth="1"/>
    <col min="6" max="6" width="27.85546875" bestFit="1" customWidth="1"/>
    <col min="7" max="7" width="18.7109375" bestFit="1" customWidth="1"/>
    <col min="8" max="8" width="77" bestFit="1" customWidth="1"/>
    <col min="9" max="9" width="23.140625" bestFit="1" customWidth="1"/>
    <col min="10" max="10" width="19.5703125" bestFit="1" customWidth="1"/>
    <col min="11" max="11" width="48.42578125" bestFit="1" customWidth="1"/>
    <col min="12" max="12" width="44" bestFit="1" customWidth="1"/>
    <col min="13" max="13" width="16.42578125" bestFit="1" customWidth="1"/>
    <col min="14" max="14" width="24.85546875" style="67" bestFit="1" customWidth="1"/>
    <col min="15" max="15" width="53.140625" bestFit="1" customWidth="1"/>
  </cols>
  <sheetData>
    <row r="1" spans="1:15" ht="28.5" customHeight="1">
      <c r="A1" s="65" t="s">
        <v>435</v>
      </c>
      <c r="B1" s="65" t="s">
        <v>1413</v>
      </c>
      <c r="C1" s="65" t="s">
        <v>1414</v>
      </c>
      <c r="D1" s="65" t="s">
        <v>1415</v>
      </c>
      <c r="E1" s="65" t="s">
        <v>1416</v>
      </c>
      <c r="F1" s="65" t="s">
        <v>1417</v>
      </c>
      <c r="G1" s="65" t="s">
        <v>1418</v>
      </c>
      <c r="H1" s="65" t="s">
        <v>1419</v>
      </c>
      <c r="I1" s="65" t="s">
        <v>1420</v>
      </c>
      <c r="J1" s="65" t="s">
        <v>600</v>
      </c>
      <c r="K1" s="65" t="s">
        <v>441</v>
      </c>
      <c r="L1" s="65" t="s">
        <v>1421</v>
      </c>
      <c r="M1" s="65" t="s">
        <v>256</v>
      </c>
      <c r="N1" s="65" t="s">
        <v>1422</v>
      </c>
      <c r="O1" s="65" t="s">
        <v>37</v>
      </c>
    </row>
    <row r="2" spans="1:15">
      <c r="A2" s="66">
        <v>1</v>
      </c>
      <c r="B2" s="66" t="s">
        <v>159</v>
      </c>
      <c r="C2" s="66" t="s">
        <v>1423</v>
      </c>
      <c r="D2" s="66" t="s">
        <v>337</v>
      </c>
      <c r="E2" s="66" t="s">
        <v>1424</v>
      </c>
      <c r="F2" s="66" t="s">
        <v>1425</v>
      </c>
      <c r="G2" s="68" t="s">
        <v>1426</v>
      </c>
      <c r="H2" s="66" t="s">
        <v>1427</v>
      </c>
      <c r="I2" s="66" t="s">
        <v>1428</v>
      </c>
      <c r="J2" s="66" t="s">
        <v>352</v>
      </c>
      <c r="K2" s="66"/>
      <c r="L2" s="66"/>
      <c r="M2" s="66"/>
      <c r="N2" s="66"/>
      <c r="O2" s="88" t="s">
        <v>268</v>
      </c>
    </row>
    <row r="3" spans="1:15">
      <c r="A3" s="52">
        <v>2</v>
      </c>
      <c r="B3" s="52" t="s">
        <v>159</v>
      </c>
      <c r="C3" s="52" t="s">
        <v>1429</v>
      </c>
      <c r="D3" s="52" t="s">
        <v>270</v>
      </c>
      <c r="E3" s="52" t="s">
        <v>1430</v>
      </c>
      <c r="F3" s="52" t="s">
        <v>1431</v>
      </c>
      <c r="G3" s="69" t="s">
        <v>1432</v>
      </c>
      <c r="H3" s="52" t="s">
        <v>1433</v>
      </c>
      <c r="I3" s="52" t="s">
        <v>1434</v>
      </c>
      <c r="J3" s="52" t="s">
        <v>1435</v>
      </c>
      <c r="K3" s="52" t="s">
        <v>1436</v>
      </c>
      <c r="L3" s="52"/>
      <c r="M3" s="52" t="s">
        <v>266</v>
      </c>
      <c r="N3" s="52" t="s">
        <v>266</v>
      </c>
      <c r="O3" s="89" t="s">
        <v>309</v>
      </c>
    </row>
    <row r="4" spans="1:15">
      <c r="A4" s="52"/>
      <c r="B4" s="52" t="s">
        <v>159</v>
      </c>
      <c r="C4" s="52" t="s">
        <v>1437</v>
      </c>
      <c r="D4" s="52" t="s">
        <v>270</v>
      </c>
      <c r="E4" s="52" t="s">
        <v>1438</v>
      </c>
      <c r="F4" s="48"/>
      <c r="G4" s="69"/>
      <c r="H4" s="52" t="s">
        <v>1439</v>
      </c>
      <c r="I4" s="52" t="s">
        <v>1440</v>
      </c>
      <c r="J4" s="52"/>
      <c r="K4" s="52" t="s">
        <v>1441</v>
      </c>
      <c r="L4" s="52" t="s">
        <v>1442</v>
      </c>
      <c r="M4" s="52" t="s">
        <v>266</v>
      </c>
      <c r="N4" s="52" t="s">
        <v>267</v>
      </c>
      <c r="O4" s="89" t="s">
        <v>316</v>
      </c>
    </row>
    <row r="5" spans="1:15">
      <c r="A5" s="52">
        <v>3</v>
      </c>
      <c r="B5" s="52" t="s">
        <v>159</v>
      </c>
      <c r="C5" s="52" t="s">
        <v>1443</v>
      </c>
      <c r="D5" s="52" t="s">
        <v>270</v>
      </c>
      <c r="E5" s="52" t="s">
        <v>1430</v>
      </c>
      <c r="F5" s="52" t="s">
        <v>1444</v>
      </c>
      <c r="G5" s="69" t="s">
        <v>1445</v>
      </c>
      <c r="H5" s="52" t="s">
        <v>1446</v>
      </c>
      <c r="I5" s="52" t="s">
        <v>1447</v>
      </c>
      <c r="J5" s="52" t="s">
        <v>1448</v>
      </c>
      <c r="K5" s="52" t="s">
        <v>1436</v>
      </c>
      <c r="L5" s="52"/>
      <c r="M5" s="52" t="s">
        <v>266</v>
      </c>
      <c r="N5" s="52" t="s">
        <v>266</v>
      </c>
      <c r="O5" s="89" t="s">
        <v>309</v>
      </c>
    </row>
    <row r="6" spans="1:15">
      <c r="A6" s="52">
        <v>4</v>
      </c>
      <c r="B6" s="52" t="s">
        <v>159</v>
      </c>
      <c r="C6" s="52" t="s">
        <v>1443</v>
      </c>
      <c r="D6" s="52" t="s">
        <v>270</v>
      </c>
      <c r="E6" s="52" t="s">
        <v>1430</v>
      </c>
      <c r="F6" s="52" t="s">
        <v>1449</v>
      </c>
      <c r="G6" s="69" t="s">
        <v>1450</v>
      </c>
      <c r="H6" s="52" t="s">
        <v>1446</v>
      </c>
      <c r="I6" s="52" t="s">
        <v>1451</v>
      </c>
      <c r="J6" s="52" t="s">
        <v>1452</v>
      </c>
      <c r="K6" s="52"/>
      <c r="L6" s="52" t="s">
        <v>689</v>
      </c>
      <c r="M6" s="52" t="s">
        <v>266</v>
      </c>
      <c r="N6" s="52" t="s">
        <v>266</v>
      </c>
      <c r="O6" s="89" t="s">
        <v>309</v>
      </c>
    </row>
    <row r="7" spans="1:15">
      <c r="A7" s="52">
        <v>5</v>
      </c>
      <c r="B7" s="52" t="s">
        <v>159</v>
      </c>
      <c r="C7" s="52" t="s">
        <v>1453</v>
      </c>
      <c r="D7" s="52" t="s">
        <v>270</v>
      </c>
      <c r="E7" s="52" t="s">
        <v>1430</v>
      </c>
      <c r="F7" s="52" t="s">
        <v>1454</v>
      </c>
      <c r="G7" s="69" t="s">
        <v>1455</v>
      </c>
      <c r="H7" s="52" t="s">
        <v>1446</v>
      </c>
      <c r="I7" s="52" t="s">
        <v>1456</v>
      </c>
      <c r="J7" s="52" t="s">
        <v>1457</v>
      </c>
      <c r="K7" s="52" t="s">
        <v>1458</v>
      </c>
      <c r="L7" s="52"/>
      <c r="M7" s="52" t="s">
        <v>266</v>
      </c>
      <c r="N7" s="52" t="s">
        <v>266</v>
      </c>
      <c r="O7" s="89" t="s">
        <v>309</v>
      </c>
    </row>
    <row r="8" spans="1:15">
      <c r="A8" s="52">
        <v>6</v>
      </c>
      <c r="B8" s="52" t="s">
        <v>159</v>
      </c>
      <c r="C8" s="52" t="s">
        <v>1453</v>
      </c>
      <c r="D8" s="52" t="s">
        <v>270</v>
      </c>
      <c r="E8" s="52" t="s">
        <v>1430</v>
      </c>
      <c r="F8" s="52" t="s">
        <v>1459</v>
      </c>
      <c r="G8" s="69" t="s">
        <v>1460</v>
      </c>
      <c r="H8" s="52" t="s">
        <v>1446</v>
      </c>
      <c r="I8" s="52" t="s">
        <v>1461</v>
      </c>
      <c r="J8" s="52" t="s">
        <v>1462</v>
      </c>
      <c r="K8" s="52" t="s">
        <v>1463</v>
      </c>
      <c r="L8" s="52" t="s">
        <v>689</v>
      </c>
      <c r="M8" s="52" t="s">
        <v>266</v>
      </c>
      <c r="N8" s="52" t="s">
        <v>266</v>
      </c>
      <c r="O8" s="89" t="s">
        <v>309</v>
      </c>
    </row>
    <row r="9" spans="1:15">
      <c r="A9" s="52">
        <v>7</v>
      </c>
      <c r="B9" s="52" t="s">
        <v>159</v>
      </c>
      <c r="C9" s="52" t="s">
        <v>1453</v>
      </c>
      <c r="D9" s="52" t="s">
        <v>270</v>
      </c>
      <c r="E9" s="52" t="s">
        <v>1430</v>
      </c>
      <c r="F9" s="52" t="s">
        <v>1464</v>
      </c>
      <c r="G9" s="69" t="s">
        <v>1465</v>
      </c>
      <c r="H9" s="52" t="s">
        <v>1446</v>
      </c>
      <c r="I9" s="52" t="s">
        <v>1466</v>
      </c>
      <c r="J9" s="52" t="s">
        <v>1467</v>
      </c>
      <c r="K9" s="52"/>
      <c r="L9" s="52" t="s">
        <v>689</v>
      </c>
      <c r="M9" s="52" t="s">
        <v>266</v>
      </c>
      <c r="N9" s="52" t="s">
        <v>266</v>
      </c>
      <c r="O9" s="89" t="s">
        <v>309</v>
      </c>
    </row>
    <row r="10" spans="1:15">
      <c r="A10" s="52">
        <v>8</v>
      </c>
      <c r="B10" s="52" t="s">
        <v>159</v>
      </c>
      <c r="C10" s="52" t="s">
        <v>1453</v>
      </c>
      <c r="D10" s="52" t="s">
        <v>270</v>
      </c>
      <c r="E10" s="52" t="s">
        <v>1430</v>
      </c>
      <c r="F10" s="52" t="s">
        <v>1468</v>
      </c>
      <c r="G10" s="69" t="s">
        <v>1469</v>
      </c>
      <c r="H10" s="52" t="s">
        <v>1446</v>
      </c>
      <c r="I10" s="52" t="s">
        <v>1470</v>
      </c>
      <c r="J10" s="52" t="s">
        <v>1471</v>
      </c>
      <c r="K10" s="52"/>
      <c r="L10" s="52" t="s">
        <v>689</v>
      </c>
      <c r="M10" s="52" t="s">
        <v>266</v>
      </c>
      <c r="N10" s="52" t="s">
        <v>266</v>
      </c>
      <c r="O10" s="89" t="s">
        <v>309</v>
      </c>
    </row>
    <row r="11" spans="1:15">
      <c r="A11" s="52">
        <v>9</v>
      </c>
      <c r="B11" s="52" t="s">
        <v>159</v>
      </c>
      <c r="C11" s="52" t="s">
        <v>1453</v>
      </c>
      <c r="D11" s="52" t="s">
        <v>270</v>
      </c>
      <c r="E11" s="52" t="s">
        <v>1430</v>
      </c>
      <c r="F11" s="52" t="s">
        <v>1472</v>
      </c>
      <c r="G11" s="69" t="s">
        <v>1473</v>
      </c>
      <c r="H11" s="52" t="s">
        <v>1446</v>
      </c>
      <c r="I11" s="52" t="s">
        <v>1474</v>
      </c>
      <c r="J11" s="52" t="s">
        <v>1475</v>
      </c>
      <c r="K11" s="52"/>
      <c r="L11" s="52" t="s">
        <v>689</v>
      </c>
      <c r="M11" s="52" t="s">
        <v>266</v>
      </c>
      <c r="N11" s="52" t="s">
        <v>266</v>
      </c>
      <c r="O11" s="89" t="s">
        <v>309</v>
      </c>
    </row>
    <row r="12" spans="1:15">
      <c r="A12" s="52">
        <v>10</v>
      </c>
      <c r="B12" s="52" t="s">
        <v>159</v>
      </c>
      <c r="C12" s="52" t="s">
        <v>1453</v>
      </c>
      <c r="D12" s="52" t="s">
        <v>270</v>
      </c>
      <c r="E12" s="52" t="s">
        <v>1430</v>
      </c>
      <c r="F12" s="52" t="s">
        <v>1476</v>
      </c>
      <c r="G12" s="69" t="s">
        <v>1477</v>
      </c>
      <c r="H12" s="52" t="s">
        <v>1446</v>
      </c>
      <c r="I12" s="52" t="s">
        <v>1478</v>
      </c>
      <c r="J12" s="52" t="s">
        <v>1479</v>
      </c>
      <c r="K12" s="52"/>
      <c r="L12" s="52" t="s">
        <v>689</v>
      </c>
      <c r="M12" s="52" t="s">
        <v>266</v>
      </c>
      <c r="N12" s="52" t="s">
        <v>266</v>
      </c>
      <c r="O12" s="89" t="s">
        <v>309</v>
      </c>
    </row>
    <row r="13" spans="1:15" ht="30">
      <c r="A13" s="114">
        <v>11</v>
      </c>
      <c r="B13" s="114" t="s">
        <v>159</v>
      </c>
      <c r="C13" s="52" t="s">
        <v>1453</v>
      </c>
      <c r="D13" s="114" t="s">
        <v>270</v>
      </c>
      <c r="E13" s="114" t="s">
        <v>1430</v>
      </c>
      <c r="F13" s="114" t="s">
        <v>1480</v>
      </c>
      <c r="G13" s="115" t="s">
        <v>1481</v>
      </c>
      <c r="H13" s="114" t="s">
        <v>1446</v>
      </c>
      <c r="I13" s="114" t="s">
        <v>1482</v>
      </c>
      <c r="J13" s="114" t="s">
        <v>1483</v>
      </c>
      <c r="K13" s="114"/>
      <c r="L13" s="154" t="s">
        <v>1484</v>
      </c>
      <c r="M13" s="114" t="s">
        <v>266</v>
      </c>
      <c r="N13" s="114" t="s">
        <v>266</v>
      </c>
      <c r="O13" s="89" t="s">
        <v>309</v>
      </c>
    </row>
    <row r="14" spans="1:15">
      <c r="A14" s="52">
        <v>12</v>
      </c>
      <c r="B14" s="52" t="s">
        <v>159</v>
      </c>
      <c r="C14" s="52" t="s">
        <v>1453</v>
      </c>
      <c r="D14" s="52" t="s">
        <v>270</v>
      </c>
      <c r="E14" s="52" t="s">
        <v>1430</v>
      </c>
      <c r="F14" s="52" t="s">
        <v>1485</v>
      </c>
      <c r="G14" s="69" t="s">
        <v>1486</v>
      </c>
      <c r="H14" s="52" t="s">
        <v>1446</v>
      </c>
      <c r="I14" s="52" t="s">
        <v>1487</v>
      </c>
      <c r="J14" s="52" t="s">
        <v>1488</v>
      </c>
      <c r="K14" s="52"/>
      <c r="L14" s="52" t="s">
        <v>689</v>
      </c>
      <c r="M14" s="52" t="s">
        <v>266</v>
      </c>
      <c r="N14" s="52" t="s">
        <v>266</v>
      </c>
      <c r="O14" s="89" t="s">
        <v>309</v>
      </c>
    </row>
    <row r="15" spans="1:15">
      <c r="A15" s="52">
        <v>13</v>
      </c>
      <c r="B15" s="52" t="s">
        <v>159</v>
      </c>
      <c r="C15" s="52" t="s">
        <v>1453</v>
      </c>
      <c r="D15" s="52" t="s">
        <v>270</v>
      </c>
      <c r="E15" s="52" t="s">
        <v>1430</v>
      </c>
      <c r="F15" s="52" t="s">
        <v>1489</v>
      </c>
      <c r="G15" s="69" t="s">
        <v>1490</v>
      </c>
      <c r="H15" s="52" t="s">
        <v>1446</v>
      </c>
      <c r="I15" s="52" t="s">
        <v>1491</v>
      </c>
      <c r="J15" s="52" t="s">
        <v>1492</v>
      </c>
      <c r="K15" s="126" t="s">
        <v>1493</v>
      </c>
      <c r="L15" s="52"/>
      <c r="M15" s="52" t="s">
        <v>266</v>
      </c>
      <c r="N15" s="52" t="s">
        <v>266</v>
      </c>
      <c r="O15" s="89" t="s">
        <v>309</v>
      </c>
    </row>
    <row r="16" spans="1:15">
      <c r="A16" s="52">
        <v>14</v>
      </c>
      <c r="B16" s="52" t="s">
        <v>159</v>
      </c>
      <c r="C16" s="52" t="s">
        <v>1453</v>
      </c>
      <c r="D16" s="52" t="s">
        <v>270</v>
      </c>
      <c r="E16" s="52" t="s">
        <v>1430</v>
      </c>
      <c r="F16" s="52" t="s">
        <v>1494</v>
      </c>
      <c r="G16" s="69" t="s">
        <v>1495</v>
      </c>
      <c r="H16" s="52" t="s">
        <v>1446</v>
      </c>
      <c r="I16" s="52" t="s">
        <v>1496</v>
      </c>
      <c r="J16" s="52" t="s">
        <v>1497</v>
      </c>
      <c r="K16" s="52" t="s">
        <v>1498</v>
      </c>
      <c r="L16" s="52"/>
      <c r="M16" s="52" t="s">
        <v>266</v>
      </c>
      <c r="N16" s="52" t="s">
        <v>266</v>
      </c>
      <c r="O16" s="89" t="s">
        <v>309</v>
      </c>
    </row>
    <row r="17" spans="1:15">
      <c r="A17" s="52">
        <v>15</v>
      </c>
      <c r="B17" s="52" t="s">
        <v>159</v>
      </c>
      <c r="C17" s="52" t="s">
        <v>1453</v>
      </c>
      <c r="D17" s="52" t="s">
        <v>270</v>
      </c>
      <c r="E17" s="52" t="s">
        <v>1430</v>
      </c>
      <c r="F17" s="52" t="s">
        <v>1499</v>
      </c>
      <c r="G17" s="69" t="s">
        <v>1500</v>
      </c>
      <c r="H17" s="52" t="s">
        <v>1446</v>
      </c>
      <c r="I17" s="52" t="s">
        <v>1501</v>
      </c>
      <c r="J17" s="52" t="s">
        <v>1502</v>
      </c>
      <c r="K17" s="52" t="s">
        <v>1503</v>
      </c>
      <c r="L17" s="52"/>
      <c r="M17" s="52" t="s">
        <v>266</v>
      </c>
      <c r="N17" s="52" t="s">
        <v>266</v>
      </c>
      <c r="O17" s="89" t="s">
        <v>309</v>
      </c>
    </row>
    <row r="18" spans="1:15">
      <c r="A18" s="52">
        <v>16</v>
      </c>
      <c r="B18" s="52" t="s">
        <v>159</v>
      </c>
      <c r="C18" s="52" t="s">
        <v>1453</v>
      </c>
      <c r="D18" s="52" t="s">
        <v>270</v>
      </c>
      <c r="E18" s="52" t="s">
        <v>1430</v>
      </c>
      <c r="F18" s="52" t="s">
        <v>1504</v>
      </c>
      <c r="G18" s="69" t="s">
        <v>1505</v>
      </c>
      <c r="H18" s="52" t="s">
        <v>1446</v>
      </c>
      <c r="I18" s="52" t="s">
        <v>1506</v>
      </c>
      <c r="J18" s="52" t="s">
        <v>1507</v>
      </c>
      <c r="K18" s="52" t="s">
        <v>1508</v>
      </c>
      <c r="L18" s="52"/>
      <c r="M18" s="52" t="s">
        <v>266</v>
      </c>
      <c r="N18" s="52" t="s">
        <v>266</v>
      </c>
      <c r="O18" s="89" t="s">
        <v>309</v>
      </c>
    </row>
    <row r="19" spans="1:15" ht="30">
      <c r="A19" s="52">
        <v>17</v>
      </c>
      <c r="B19" s="52" t="s">
        <v>159</v>
      </c>
      <c r="C19" s="52" t="s">
        <v>1453</v>
      </c>
      <c r="D19" s="52" t="s">
        <v>270</v>
      </c>
      <c r="E19" s="52" t="s">
        <v>1430</v>
      </c>
      <c r="F19" s="52" t="s">
        <v>1509</v>
      </c>
      <c r="G19" s="69" t="s">
        <v>1510</v>
      </c>
      <c r="H19" s="52" t="s">
        <v>1446</v>
      </c>
      <c r="I19" s="52" t="s">
        <v>1511</v>
      </c>
      <c r="J19" s="52" t="s">
        <v>1512</v>
      </c>
      <c r="K19" s="126" t="s">
        <v>1513</v>
      </c>
      <c r="L19" s="132" t="s">
        <v>1514</v>
      </c>
      <c r="M19" s="52" t="s">
        <v>266</v>
      </c>
      <c r="N19" s="52" t="s">
        <v>266</v>
      </c>
      <c r="O19" s="89" t="s">
        <v>309</v>
      </c>
    </row>
    <row r="20" spans="1:15">
      <c r="A20" s="52">
        <v>18</v>
      </c>
      <c r="B20" s="52" t="s">
        <v>159</v>
      </c>
      <c r="C20" s="52" t="s">
        <v>1453</v>
      </c>
      <c r="D20" s="52" t="s">
        <v>270</v>
      </c>
      <c r="E20" s="52" t="s">
        <v>1430</v>
      </c>
      <c r="F20" s="52" t="s">
        <v>1515</v>
      </c>
      <c r="G20" s="69" t="s">
        <v>1516</v>
      </c>
      <c r="H20" s="52" t="s">
        <v>1446</v>
      </c>
      <c r="I20" s="52" t="s">
        <v>1517</v>
      </c>
      <c r="J20" s="52" t="s">
        <v>1518</v>
      </c>
      <c r="K20" s="52" t="s">
        <v>1519</v>
      </c>
      <c r="L20" s="52"/>
      <c r="M20" s="52" t="s">
        <v>266</v>
      </c>
      <c r="N20" s="52" t="s">
        <v>266</v>
      </c>
      <c r="O20" s="89" t="s">
        <v>309</v>
      </c>
    </row>
    <row r="21" spans="1:15" ht="15.75" customHeight="1">
      <c r="A21" s="52">
        <v>19</v>
      </c>
      <c r="B21" s="52" t="s">
        <v>159</v>
      </c>
      <c r="C21" s="52" t="s">
        <v>1453</v>
      </c>
      <c r="D21" s="52" t="s">
        <v>270</v>
      </c>
      <c r="E21" s="52" t="s">
        <v>1430</v>
      </c>
      <c r="F21" s="52" t="s">
        <v>1520</v>
      </c>
      <c r="G21" s="69" t="s">
        <v>1521</v>
      </c>
      <c r="H21" s="52" t="s">
        <v>1446</v>
      </c>
      <c r="I21" s="52" t="s">
        <v>1522</v>
      </c>
      <c r="J21" s="52" t="s">
        <v>1523</v>
      </c>
      <c r="K21" s="52" t="s">
        <v>1524</v>
      </c>
      <c r="L21" s="52"/>
      <c r="M21" s="52" t="s">
        <v>266</v>
      </c>
      <c r="N21" s="52" t="s">
        <v>266</v>
      </c>
      <c r="O21" s="89" t="s">
        <v>309</v>
      </c>
    </row>
    <row r="22" spans="1:15" ht="15.75" customHeight="1">
      <c r="A22" s="52">
        <v>20</v>
      </c>
      <c r="B22" s="52" t="s">
        <v>159</v>
      </c>
      <c r="C22" s="52" t="s">
        <v>1453</v>
      </c>
      <c r="D22" s="52" t="s">
        <v>270</v>
      </c>
      <c r="E22" s="52" t="s">
        <v>1430</v>
      </c>
      <c r="F22" s="52" t="s">
        <v>1525</v>
      </c>
      <c r="G22" s="69" t="s">
        <v>1526</v>
      </c>
      <c r="H22" s="52" t="s">
        <v>1446</v>
      </c>
      <c r="I22" s="52" t="s">
        <v>1527</v>
      </c>
      <c r="J22" s="52" t="s">
        <v>1528</v>
      </c>
      <c r="K22" s="52" t="s">
        <v>1529</v>
      </c>
      <c r="L22" s="52"/>
      <c r="M22" s="52" t="s">
        <v>266</v>
      </c>
      <c r="N22" s="52" t="s">
        <v>266</v>
      </c>
      <c r="O22" s="89" t="s">
        <v>309</v>
      </c>
    </row>
    <row r="23" spans="1:15" ht="15.75" customHeight="1">
      <c r="A23" s="66">
        <v>21</v>
      </c>
      <c r="B23" s="66" t="s">
        <v>303</v>
      </c>
      <c r="C23" s="66" t="s">
        <v>1530</v>
      </c>
      <c r="D23" s="66"/>
      <c r="E23" s="66" t="s">
        <v>1531</v>
      </c>
      <c r="F23" s="66" t="s">
        <v>352</v>
      </c>
      <c r="G23" s="68" t="s">
        <v>1532</v>
      </c>
      <c r="H23" s="66" t="s">
        <v>1427</v>
      </c>
      <c r="I23" s="66" t="s">
        <v>1533</v>
      </c>
      <c r="J23" s="66" t="s">
        <v>352</v>
      </c>
      <c r="K23" s="66"/>
      <c r="L23" s="66"/>
      <c r="M23" s="66"/>
      <c r="N23" s="66"/>
      <c r="O23" s="88" t="s">
        <v>268</v>
      </c>
    </row>
    <row r="24" spans="1:15" ht="15.75" customHeight="1">
      <c r="A24" s="66">
        <v>22</v>
      </c>
      <c r="B24" s="66" t="s">
        <v>303</v>
      </c>
      <c r="C24" s="66" t="s">
        <v>1530</v>
      </c>
      <c r="D24" s="66"/>
      <c r="E24" s="66" t="s">
        <v>1531</v>
      </c>
      <c r="F24" s="66" t="s">
        <v>352</v>
      </c>
      <c r="G24" s="68" t="s">
        <v>1534</v>
      </c>
      <c r="H24" s="66" t="s">
        <v>1427</v>
      </c>
      <c r="I24" s="66" t="s">
        <v>1535</v>
      </c>
      <c r="J24" s="66" t="s">
        <v>352</v>
      </c>
      <c r="K24" s="66"/>
      <c r="L24" s="66"/>
      <c r="M24" s="66"/>
      <c r="N24" s="66"/>
      <c r="O24" s="88" t="s">
        <v>268</v>
      </c>
    </row>
    <row r="25" spans="1:15" ht="15.75" customHeight="1">
      <c r="A25" s="66">
        <v>23</v>
      </c>
      <c r="B25" s="66" t="s">
        <v>303</v>
      </c>
      <c r="C25" s="66" t="s">
        <v>1530</v>
      </c>
      <c r="D25" s="66"/>
      <c r="E25" s="66" t="s">
        <v>1531</v>
      </c>
      <c r="F25" s="66" t="s">
        <v>352</v>
      </c>
      <c r="G25" s="68" t="s">
        <v>1536</v>
      </c>
      <c r="H25" s="66" t="s">
        <v>1427</v>
      </c>
      <c r="I25" s="66" t="s">
        <v>1537</v>
      </c>
      <c r="J25" s="66" t="s">
        <v>352</v>
      </c>
      <c r="K25" s="66"/>
      <c r="L25" s="66"/>
      <c r="M25" s="66"/>
      <c r="N25" s="66"/>
      <c r="O25" s="88" t="s">
        <v>268</v>
      </c>
    </row>
    <row r="26" spans="1:15" ht="15.75" customHeight="1">
      <c r="A26" s="66">
        <v>24</v>
      </c>
      <c r="B26" s="66" t="s">
        <v>303</v>
      </c>
      <c r="C26" s="66" t="s">
        <v>1530</v>
      </c>
      <c r="D26" s="66"/>
      <c r="E26" s="66" t="s">
        <v>1531</v>
      </c>
      <c r="F26" s="66" t="s">
        <v>352</v>
      </c>
      <c r="G26" s="68" t="s">
        <v>1538</v>
      </c>
      <c r="H26" s="66" t="s">
        <v>1427</v>
      </c>
      <c r="I26" s="66" t="s">
        <v>1539</v>
      </c>
      <c r="J26" s="66" t="s">
        <v>352</v>
      </c>
      <c r="K26" s="66"/>
      <c r="L26" s="66"/>
      <c r="M26" s="66"/>
      <c r="N26" s="66"/>
      <c r="O26" s="88" t="s">
        <v>268</v>
      </c>
    </row>
    <row r="27" spans="1:15" ht="15.75" customHeight="1">
      <c r="A27" s="66">
        <v>25</v>
      </c>
      <c r="B27" s="66" t="s">
        <v>303</v>
      </c>
      <c r="C27" s="66" t="s">
        <v>1530</v>
      </c>
      <c r="D27" s="66"/>
      <c r="E27" s="66" t="s">
        <v>1531</v>
      </c>
      <c r="F27" s="66" t="s">
        <v>352</v>
      </c>
      <c r="G27" s="68" t="s">
        <v>1540</v>
      </c>
      <c r="H27" s="66" t="s">
        <v>1427</v>
      </c>
      <c r="I27" s="66" t="s">
        <v>1541</v>
      </c>
      <c r="J27" s="66" t="s">
        <v>352</v>
      </c>
      <c r="K27" s="66"/>
      <c r="L27" s="66"/>
      <c r="M27" s="66"/>
      <c r="N27" s="66"/>
      <c r="O27" s="88" t="s">
        <v>268</v>
      </c>
    </row>
    <row r="28" spans="1:15" ht="15.75" customHeight="1">
      <c r="A28" s="66">
        <v>26</v>
      </c>
      <c r="B28" s="66" t="s">
        <v>303</v>
      </c>
      <c r="C28" s="66" t="s">
        <v>1530</v>
      </c>
      <c r="D28" s="66"/>
      <c r="E28" s="66" t="s">
        <v>1531</v>
      </c>
      <c r="F28" s="66" t="s">
        <v>352</v>
      </c>
      <c r="G28" s="68" t="s">
        <v>1542</v>
      </c>
      <c r="H28" s="66" t="s">
        <v>1427</v>
      </c>
      <c r="I28" s="66" t="s">
        <v>1543</v>
      </c>
      <c r="J28" s="66" t="s">
        <v>352</v>
      </c>
      <c r="K28" s="66"/>
      <c r="L28" s="66"/>
      <c r="M28" s="66"/>
      <c r="N28" s="66"/>
      <c r="O28" s="88" t="s">
        <v>268</v>
      </c>
    </row>
    <row r="29" spans="1:15" ht="15.75" customHeight="1">
      <c r="A29" s="66">
        <v>27</v>
      </c>
      <c r="B29" s="66" t="s">
        <v>303</v>
      </c>
      <c r="C29" s="66" t="s">
        <v>1530</v>
      </c>
      <c r="D29" s="66"/>
      <c r="E29" s="66" t="s">
        <v>1531</v>
      </c>
      <c r="F29" s="66" t="s">
        <v>352</v>
      </c>
      <c r="G29" s="68" t="s">
        <v>1544</v>
      </c>
      <c r="H29" s="66" t="s">
        <v>1427</v>
      </c>
      <c r="I29" s="66" t="s">
        <v>1545</v>
      </c>
      <c r="J29" s="66" t="s">
        <v>352</v>
      </c>
      <c r="K29" s="66"/>
      <c r="L29" s="66"/>
      <c r="M29" s="66"/>
      <c r="N29" s="66"/>
      <c r="O29" s="88" t="s">
        <v>268</v>
      </c>
    </row>
    <row r="30" spans="1:15" s="119" customFormat="1" ht="15.75" customHeight="1">
      <c r="A30" s="114">
        <v>28</v>
      </c>
      <c r="B30" s="114" t="s">
        <v>303</v>
      </c>
      <c r="C30" s="114" t="s">
        <v>15</v>
      </c>
      <c r="D30" s="114"/>
      <c r="E30" s="114" t="s">
        <v>742</v>
      </c>
      <c r="F30" s="114" t="s">
        <v>1546</v>
      </c>
      <c r="G30" s="115" t="s">
        <v>1547</v>
      </c>
      <c r="H30" s="114" t="s">
        <v>1446</v>
      </c>
      <c r="I30" s="114" t="s">
        <v>1548</v>
      </c>
      <c r="J30" s="114" t="s">
        <v>1549</v>
      </c>
      <c r="K30" s="114"/>
      <c r="L30" s="114"/>
      <c r="M30" s="114" t="s">
        <v>266</v>
      </c>
      <c r="N30" s="114" t="s">
        <v>266</v>
      </c>
      <c r="O30" s="182" t="s">
        <v>309</v>
      </c>
    </row>
    <row r="31" spans="1:15" s="119" customFormat="1" ht="15.75" customHeight="1">
      <c r="A31" s="114">
        <v>29</v>
      </c>
      <c r="B31" s="114" t="s">
        <v>303</v>
      </c>
      <c r="C31" s="114" t="s">
        <v>15</v>
      </c>
      <c r="D31" s="114"/>
      <c r="E31" s="114" t="s">
        <v>1430</v>
      </c>
      <c r="F31" s="114" t="s">
        <v>1550</v>
      </c>
      <c r="G31" s="115" t="s">
        <v>1551</v>
      </c>
      <c r="H31" s="114" t="s">
        <v>1446</v>
      </c>
      <c r="I31" s="114" t="s">
        <v>1552</v>
      </c>
      <c r="J31" s="114" t="s">
        <v>1553</v>
      </c>
      <c r="K31" s="114"/>
      <c r="L31" s="114"/>
      <c r="M31" s="114" t="s">
        <v>266</v>
      </c>
      <c r="N31" s="114" t="s">
        <v>266</v>
      </c>
      <c r="O31" s="182" t="s">
        <v>309</v>
      </c>
    </row>
    <row r="32" spans="1:15" s="119" customFormat="1" ht="15.75" customHeight="1">
      <c r="A32" s="114">
        <v>30</v>
      </c>
      <c r="B32" s="114" t="s">
        <v>303</v>
      </c>
      <c r="C32" s="114" t="s">
        <v>15</v>
      </c>
      <c r="D32" s="114"/>
      <c r="E32" s="114" t="s">
        <v>1430</v>
      </c>
      <c r="F32" s="114" t="s">
        <v>1554</v>
      </c>
      <c r="G32" s="115" t="s">
        <v>1555</v>
      </c>
      <c r="H32" s="114" t="s">
        <v>1556</v>
      </c>
      <c r="I32" s="114" t="s">
        <v>1557</v>
      </c>
      <c r="J32" s="114" t="s">
        <v>1558</v>
      </c>
      <c r="K32" s="114"/>
      <c r="L32" s="114"/>
      <c r="M32" s="114" t="s">
        <v>266</v>
      </c>
      <c r="N32" s="114" t="s">
        <v>266</v>
      </c>
      <c r="O32" s="182" t="s">
        <v>309</v>
      </c>
    </row>
    <row r="33" spans="1:15" s="119" customFormat="1" ht="15.75" customHeight="1">
      <c r="A33" s="114">
        <v>31</v>
      </c>
      <c r="B33" s="114" t="s">
        <v>303</v>
      </c>
      <c r="C33" s="114" t="s">
        <v>15</v>
      </c>
      <c r="D33" s="114"/>
      <c r="E33" s="114" t="s">
        <v>1430</v>
      </c>
      <c r="F33" s="114" t="s">
        <v>1559</v>
      </c>
      <c r="G33" s="115" t="s">
        <v>1560</v>
      </c>
      <c r="H33" s="114" t="s">
        <v>1556</v>
      </c>
      <c r="I33" s="114" t="s">
        <v>1561</v>
      </c>
      <c r="J33" s="114" t="s">
        <v>1562</v>
      </c>
      <c r="K33" s="114"/>
      <c r="L33" s="114"/>
      <c r="M33" s="114" t="s">
        <v>266</v>
      </c>
      <c r="N33" s="114" t="s">
        <v>266</v>
      </c>
      <c r="O33" s="182" t="s">
        <v>309</v>
      </c>
    </row>
    <row r="34" spans="1:15" s="119" customFormat="1" ht="15.75" customHeight="1">
      <c r="A34" s="114">
        <v>32</v>
      </c>
      <c r="B34" s="114" t="s">
        <v>303</v>
      </c>
      <c r="C34" s="114" t="s">
        <v>15</v>
      </c>
      <c r="D34" s="114"/>
      <c r="E34" s="114" t="s">
        <v>1531</v>
      </c>
      <c r="F34" s="114" t="s">
        <v>1563</v>
      </c>
      <c r="G34" s="186" t="s">
        <v>1564</v>
      </c>
      <c r="H34" s="114" t="s">
        <v>1565</v>
      </c>
      <c r="I34" s="114" t="s">
        <v>1566</v>
      </c>
      <c r="J34" s="114" t="s">
        <v>352</v>
      </c>
      <c r="K34" s="114"/>
      <c r="L34" s="114"/>
      <c r="M34" s="114" t="s">
        <v>266</v>
      </c>
      <c r="N34" s="114" t="s">
        <v>266</v>
      </c>
      <c r="O34" s="182" t="s">
        <v>309</v>
      </c>
    </row>
    <row r="35" spans="1:15" s="119" customFormat="1" ht="15.75" customHeight="1">
      <c r="A35" s="114">
        <v>33</v>
      </c>
      <c r="B35" s="114" t="s">
        <v>303</v>
      </c>
      <c r="C35" s="114" t="s">
        <v>15</v>
      </c>
      <c r="D35" s="114"/>
      <c r="E35" s="114" t="s">
        <v>1531</v>
      </c>
      <c r="F35" s="114" t="s">
        <v>1567</v>
      </c>
      <c r="G35" s="186" t="s">
        <v>1568</v>
      </c>
      <c r="H35" s="114" t="s">
        <v>1565</v>
      </c>
      <c r="I35" s="114" t="s">
        <v>1569</v>
      </c>
      <c r="J35" s="114" t="s">
        <v>352</v>
      </c>
      <c r="K35" s="114"/>
      <c r="L35" s="114"/>
      <c r="M35" s="114" t="s">
        <v>266</v>
      </c>
      <c r="N35" s="114" t="s">
        <v>266</v>
      </c>
      <c r="O35" s="182" t="s">
        <v>309</v>
      </c>
    </row>
    <row r="36" spans="1:15" s="119" customFormat="1" ht="15.75" customHeight="1">
      <c r="A36" s="114">
        <v>34</v>
      </c>
      <c r="B36" s="114" t="s">
        <v>303</v>
      </c>
      <c r="C36" s="114" t="s">
        <v>15</v>
      </c>
      <c r="D36" s="114"/>
      <c r="E36" s="114" t="s">
        <v>1531</v>
      </c>
      <c r="F36" s="114" t="s">
        <v>1570</v>
      </c>
      <c r="G36" s="186" t="s">
        <v>1571</v>
      </c>
      <c r="H36" s="114" t="s">
        <v>1565</v>
      </c>
      <c r="I36" s="114" t="s">
        <v>1572</v>
      </c>
      <c r="J36" s="114" t="s">
        <v>352</v>
      </c>
      <c r="K36" s="114"/>
      <c r="L36" s="114"/>
      <c r="M36" s="114" t="s">
        <v>266</v>
      </c>
      <c r="N36" s="114" t="s">
        <v>266</v>
      </c>
      <c r="O36" s="182" t="s">
        <v>309</v>
      </c>
    </row>
    <row r="37" spans="1:15" s="119" customFormat="1" ht="15.75" customHeight="1">
      <c r="A37" s="114">
        <v>35</v>
      </c>
      <c r="B37" s="114" t="s">
        <v>303</v>
      </c>
      <c r="C37" s="114" t="s">
        <v>15</v>
      </c>
      <c r="D37" s="114"/>
      <c r="E37" s="114" t="s">
        <v>1531</v>
      </c>
      <c r="F37" s="114" t="s">
        <v>1573</v>
      </c>
      <c r="G37" s="186" t="s">
        <v>1574</v>
      </c>
      <c r="H37" s="114" t="s">
        <v>1565</v>
      </c>
      <c r="I37" s="114" t="s">
        <v>1575</v>
      </c>
      <c r="J37" s="114" t="s">
        <v>352</v>
      </c>
      <c r="K37" s="114"/>
      <c r="L37" s="114"/>
      <c r="M37" s="114" t="s">
        <v>266</v>
      </c>
      <c r="N37" s="114" t="s">
        <v>266</v>
      </c>
      <c r="O37" s="182" t="s">
        <v>309</v>
      </c>
    </row>
    <row r="38" spans="1:15" s="119" customFormat="1" ht="15.75" customHeight="1">
      <c r="A38" s="114">
        <v>36</v>
      </c>
      <c r="B38" s="114" t="s">
        <v>303</v>
      </c>
      <c r="C38" s="114" t="s">
        <v>15</v>
      </c>
      <c r="D38" s="114"/>
      <c r="E38" s="114" t="s">
        <v>1531</v>
      </c>
      <c r="F38" s="114" t="s">
        <v>1576</v>
      </c>
      <c r="G38" s="186" t="s">
        <v>1577</v>
      </c>
      <c r="H38" s="114" t="s">
        <v>1565</v>
      </c>
      <c r="I38" s="114" t="s">
        <v>1578</v>
      </c>
      <c r="J38" s="114" t="s">
        <v>352</v>
      </c>
      <c r="K38" s="114"/>
      <c r="L38" s="114"/>
      <c r="M38" s="114" t="s">
        <v>266</v>
      </c>
      <c r="N38" s="114" t="s">
        <v>266</v>
      </c>
      <c r="O38" s="182" t="s">
        <v>309</v>
      </c>
    </row>
    <row r="39" spans="1:15" ht="15.75" customHeight="1">
      <c r="A39" s="66">
        <v>37</v>
      </c>
      <c r="B39" s="66" t="s">
        <v>303</v>
      </c>
      <c r="C39" s="66" t="s">
        <v>15</v>
      </c>
      <c r="D39" s="66"/>
      <c r="E39" s="66" t="s">
        <v>1531</v>
      </c>
      <c r="F39" s="66" t="s">
        <v>352</v>
      </c>
      <c r="G39" s="187" t="s">
        <v>1579</v>
      </c>
      <c r="H39" s="66" t="s">
        <v>1580</v>
      </c>
      <c r="I39" s="66" t="s">
        <v>1581</v>
      </c>
      <c r="J39" s="66" t="s">
        <v>352</v>
      </c>
      <c r="K39" s="66"/>
      <c r="L39" s="66"/>
      <c r="M39" s="66" t="s">
        <v>267</v>
      </c>
      <c r="N39" s="66" t="s">
        <v>266</v>
      </c>
      <c r="O39" s="89" t="s">
        <v>320</v>
      </c>
    </row>
    <row r="40" spans="1:15" s="119" customFormat="1" ht="15.75" customHeight="1">
      <c r="A40" s="114">
        <v>38</v>
      </c>
      <c r="B40" s="114" t="s">
        <v>303</v>
      </c>
      <c r="C40" s="114" t="s">
        <v>15</v>
      </c>
      <c r="D40" s="114"/>
      <c r="E40" s="114" t="s">
        <v>1531</v>
      </c>
      <c r="F40" s="114" t="s">
        <v>1582</v>
      </c>
      <c r="G40" s="186" t="s">
        <v>1583</v>
      </c>
      <c r="H40" s="114" t="s">
        <v>1580</v>
      </c>
      <c r="I40" s="114" t="s">
        <v>1584</v>
      </c>
      <c r="J40" s="66" t="s">
        <v>352</v>
      </c>
      <c r="K40" s="66"/>
      <c r="L40" s="66"/>
      <c r="M40" s="114" t="s">
        <v>266</v>
      </c>
      <c r="N40" s="114" t="s">
        <v>266</v>
      </c>
      <c r="O40" s="182" t="s">
        <v>309</v>
      </c>
    </row>
    <row r="41" spans="1:15" s="119" customFormat="1" ht="15.75" customHeight="1">
      <c r="A41" s="114">
        <v>39</v>
      </c>
      <c r="B41" s="114" t="s">
        <v>303</v>
      </c>
      <c r="C41" s="114" t="s">
        <v>15</v>
      </c>
      <c r="D41" s="114"/>
      <c r="E41" s="114" t="s">
        <v>1531</v>
      </c>
      <c r="F41" s="114" t="s">
        <v>1585</v>
      </c>
      <c r="G41" s="186" t="s">
        <v>1586</v>
      </c>
      <c r="H41" s="114" t="s">
        <v>1580</v>
      </c>
      <c r="I41" s="114" t="s">
        <v>1587</v>
      </c>
      <c r="J41" s="66" t="s">
        <v>352</v>
      </c>
      <c r="K41" s="66"/>
      <c r="L41" s="66"/>
      <c r="M41" s="114" t="s">
        <v>267</v>
      </c>
      <c r="N41" s="114" t="s">
        <v>266</v>
      </c>
      <c r="O41" s="182" t="s">
        <v>309</v>
      </c>
    </row>
    <row r="42" spans="1:15" ht="15.75" customHeight="1">
      <c r="A42" s="66">
        <v>40</v>
      </c>
      <c r="B42" s="66" t="s">
        <v>303</v>
      </c>
      <c r="C42" s="66" t="s">
        <v>15</v>
      </c>
      <c r="D42" s="66"/>
      <c r="E42" s="66" t="s">
        <v>1531</v>
      </c>
      <c r="F42" s="66" t="s">
        <v>352</v>
      </c>
      <c r="G42" s="68" t="s">
        <v>1588</v>
      </c>
      <c r="H42" s="66" t="s">
        <v>1589</v>
      </c>
      <c r="I42" s="66" t="s">
        <v>1590</v>
      </c>
      <c r="J42" s="66" t="s">
        <v>352</v>
      </c>
      <c r="K42" s="66"/>
      <c r="L42" s="66"/>
      <c r="M42" s="66" t="s">
        <v>267</v>
      </c>
      <c r="N42" s="66" t="s">
        <v>266</v>
      </c>
      <c r="O42" s="89" t="s">
        <v>320</v>
      </c>
    </row>
    <row r="43" spans="1:15" s="119" customFormat="1" ht="15.75" customHeight="1">
      <c r="A43" s="114">
        <v>41</v>
      </c>
      <c r="B43" s="114" t="s">
        <v>303</v>
      </c>
      <c r="C43" s="114" t="s">
        <v>15</v>
      </c>
      <c r="D43" s="114"/>
      <c r="E43" s="114" t="s">
        <v>1531</v>
      </c>
      <c r="F43" s="114" t="s">
        <v>1591</v>
      </c>
      <c r="G43" s="186" t="s">
        <v>1592</v>
      </c>
      <c r="H43" s="114" t="s">
        <v>1589</v>
      </c>
      <c r="I43" s="114" t="s">
        <v>1593</v>
      </c>
      <c r="J43" s="66" t="s">
        <v>352</v>
      </c>
      <c r="K43" s="66"/>
      <c r="L43" s="66"/>
      <c r="M43" s="114" t="s">
        <v>266</v>
      </c>
      <c r="N43" s="114" t="s">
        <v>266</v>
      </c>
      <c r="O43" s="182" t="s">
        <v>309</v>
      </c>
    </row>
    <row r="44" spans="1:15" s="119" customFormat="1" ht="15.75" customHeight="1">
      <c r="A44" s="114">
        <v>42</v>
      </c>
      <c r="B44" s="114" t="s">
        <v>303</v>
      </c>
      <c r="C44" s="114" t="s">
        <v>13</v>
      </c>
      <c r="D44" s="114"/>
      <c r="E44" s="114" t="s">
        <v>1430</v>
      </c>
      <c r="F44" s="114" t="s">
        <v>1594</v>
      </c>
      <c r="G44" s="68" t="s">
        <v>1595</v>
      </c>
      <c r="H44" s="66" t="s">
        <v>1446</v>
      </c>
      <c r="I44" s="114" t="s">
        <v>1596</v>
      </c>
      <c r="J44" s="114" t="s">
        <v>1597</v>
      </c>
      <c r="K44" s="114"/>
      <c r="L44" s="114"/>
      <c r="M44" s="114" t="s">
        <v>266</v>
      </c>
      <c r="N44" s="114" t="s">
        <v>266</v>
      </c>
      <c r="O44" s="88" t="s">
        <v>309</v>
      </c>
    </row>
    <row r="45" spans="1:15" s="119" customFormat="1" ht="15.75" customHeight="1">
      <c r="A45" s="114">
        <v>43</v>
      </c>
      <c r="B45" s="114" t="s">
        <v>303</v>
      </c>
      <c r="C45" s="114" t="s">
        <v>13</v>
      </c>
      <c r="D45" s="114"/>
      <c r="E45" s="114" t="s">
        <v>1430</v>
      </c>
      <c r="F45" s="114" t="s">
        <v>1598</v>
      </c>
      <c r="G45" s="68" t="s">
        <v>1599</v>
      </c>
      <c r="H45" s="66" t="s">
        <v>1446</v>
      </c>
      <c r="I45" s="114" t="s">
        <v>1600</v>
      </c>
      <c r="J45" s="114" t="s">
        <v>1601</v>
      </c>
      <c r="K45" s="114"/>
      <c r="L45" s="114"/>
      <c r="M45" s="114" t="s">
        <v>266</v>
      </c>
      <c r="N45" s="114" t="s">
        <v>266</v>
      </c>
      <c r="O45" s="88" t="s">
        <v>309</v>
      </c>
    </row>
    <row r="46" spans="1:15" s="119" customFormat="1" ht="15.75" customHeight="1">
      <c r="A46" s="114">
        <v>44</v>
      </c>
      <c r="B46" s="114" t="s">
        <v>303</v>
      </c>
      <c r="C46" s="114" t="s">
        <v>13</v>
      </c>
      <c r="D46" s="114"/>
      <c r="E46" s="114" t="s">
        <v>1430</v>
      </c>
      <c r="F46" s="114" t="s">
        <v>1602</v>
      </c>
      <c r="G46" s="68" t="s">
        <v>1603</v>
      </c>
      <c r="H46" s="66" t="s">
        <v>1556</v>
      </c>
      <c r="I46" s="114" t="s">
        <v>1604</v>
      </c>
      <c r="J46" s="114" t="s">
        <v>1605</v>
      </c>
      <c r="K46" s="114"/>
      <c r="L46" s="114"/>
      <c r="M46" s="114" t="s">
        <v>266</v>
      </c>
      <c r="N46" s="114" t="s">
        <v>266</v>
      </c>
      <c r="O46" s="88" t="s">
        <v>309</v>
      </c>
    </row>
    <row r="47" spans="1:15" s="119" customFormat="1" ht="15.75" customHeight="1">
      <c r="A47" s="114">
        <v>45</v>
      </c>
      <c r="B47" s="114" t="s">
        <v>303</v>
      </c>
      <c r="C47" s="114" t="s">
        <v>13</v>
      </c>
      <c r="D47" s="114" t="s">
        <v>1606</v>
      </c>
      <c r="E47" s="114" t="s">
        <v>1430</v>
      </c>
      <c r="F47" s="114" t="s">
        <v>1607</v>
      </c>
      <c r="G47" s="115" t="s">
        <v>1608</v>
      </c>
      <c r="H47" s="114" t="s">
        <v>1446</v>
      </c>
      <c r="I47" s="114" t="s">
        <v>1609</v>
      </c>
      <c r="J47" s="114" t="s">
        <v>1610</v>
      </c>
      <c r="K47" s="114"/>
      <c r="L47" s="114"/>
      <c r="M47" s="114" t="s">
        <v>266</v>
      </c>
      <c r="N47" s="114" t="s">
        <v>266</v>
      </c>
      <c r="O47" s="88" t="s">
        <v>309</v>
      </c>
    </row>
    <row r="48" spans="1:15" s="119" customFormat="1" ht="15.75" customHeight="1">
      <c r="A48" s="114">
        <v>46</v>
      </c>
      <c r="B48" s="114" t="s">
        <v>303</v>
      </c>
      <c r="C48" s="114" t="s">
        <v>13</v>
      </c>
      <c r="D48" s="114"/>
      <c r="E48" s="114" t="s">
        <v>1430</v>
      </c>
      <c r="F48" s="114" t="s">
        <v>1611</v>
      </c>
      <c r="G48" s="68" t="s">
        <v>1612</v>
      </c>
      <c r="H48" s="66" t="s">
        <v>1446</v>
      </c>
      <c r="I48" s="114" t="s">
        <v>1613</v>
      </c>
      <c r="J48" s="114" t="s">
        <v>1614</v>
      </c>
      <c r="K48" s="114"/>
      <c r="L48" s="114"/>
      <c r="M48" s="114" t="s">
        <v>266</v>
      </c>
      <c r="N48" s="114" t="s">
        <v>266</v>
      </c>
      <c r="O48" s="88" t="s">
        <v>309</v>
      </c>
    </row>
    <row r="49" spans="1:15" s="119" customFormat="1" ht="15.75" customHeight="1">
      <c r="A49" s="114">
        <v>47</v>
      </c>
      <c r="B49" s="114" t="s">
        <v>303</v>
      </c>
      <c r="C49" s="114" t="s">
        <v>13</v>
      </c>
      <c r="D49" s="114" t="s">
        <v>1615</v>
      </c>
      <c r="E49" s="114" t="s">
        <v>1430</v>
      </c>
      <c r="F49" s="114" t="s">
        <v>1616</v>
      </c>
      <c r="G49" s="115" t="s">
        <v>1617</v>
      </c>
      <c r="H49" s="114" t="s">
        <v>1446</v>
      </c>
      <c r="I49" s="114" t="s">
        <v>1618</v>
      </c>
      <c r="J49" s="114" t="s">
        <v>1619</v>
      </c>
      <c r="K49" s="114"/>
      <c r="L49" s="114"/>
      <c r="M49" s="114" t="s">
        <v>266</v>
      </c>
      <c r="N49" s="114" t="s">
        <v>266</v>
      </c>
      <c r="O49" s="88" t="s">
        <v>309</v>
      </c>
    </row>
    <row r="50" spans="1:15" s="119" customFormat="1" ht="15.75" customHeight="1">
      <c r="A50" s="114">
        <v>48</v>
      </c>
      <c r="B50" s="114" t="s">
        <v>303</v>
      </c>
      <c r="C50" s="114" t="s">
        <v>13</v>
      </c>
      <c r="D50" s="114"/>
      <c r="E50" s="114" t="s">
        <v>1430</v>
      </c>
      <c r="F50" s="114" t="s">
        <v>1620</v>
      </c>
      <c r="G50" s="68" t="s">
        <v>1621</v>
      </c>
      <c r="H50" s="66" t="s">
        <v>1446</v>
      </c>
      <c r="I50" s="114" t="s">
        <v>1622</v>
      </c>
      <c r="J50" s="114" t="s">
        <v>1623</v>
      </c>
      <c r="K50" s="114"/>
      <c r="L50" s="114"/>
      <c r="M50" s="114" t="s">
        <v>266</v>
      </c>
      <c r="N50" s="114" t="s">
        <v>266</v>
      </c>
      <c r="O50" s="88" t="s">
        <v>309</v>
      </c>
    </row>
    <row r="51" spans="1:15" s="119" customFormat="1" ht="15.75" customHeight="1">
      <c r="A51" s="114">
        <v>49</v>
      </c>
      <c r="B51" s="114" t="s">
        <v>303</v>
      </c>
      <c r="C51" s="114" t="s">
        <v>13</v>
      </c>
      <c r="D51" s="114" t="s">
        <v>1624</v>
      </c>
      <c r="E51" s="114" t="s">
        <v>1430</v>
      </c>
      <c r="F51" s="114" t="s">
        <v>1625</v>
      </c>
      <c r="G51" s="115" t="s">
        <v>1626</v>
      </c>
      <c r="H51" s="114" t="s">
        <v>1446</v>
      </c>
      <c r="I51" s="114" t="s">
        <v>1627</v>
      </c>
      <c r="J51" s="114" t="s">
        <v>1628</v>
      </c>
      <c r="K51" s="114"/>
      <c r="L51" s="114"/>
      <c r="M51" s="114" t="s">
        <v>266</v>
      </c>
      <c r="N51" s="114" t="s">
        <v>266</v>
      </c>
      <c r="O51" s="88" t="s">
        <v>309</v>
      </c>
    </row>
    <row r="52" spans="1:15" s="119" customFormat="1" ht="15.75" customHeight="1">
      <c r="A52" s="114">
        <v>50</v>
      </c>
      <c r="B52" s="114" t="s">
        <v>303</v>
      </c>
      <c r="C52" s="114" t="s">
        <v>13</v>
      </c>
      <c r="D52" s="114" t="s">
        <v>1629</v>
      </c>
      <c r="E52" s="114" t="s">
        <v>1430</v>
      </c>
      <c r="F52" s="114" t="s">
        <v>1630</v>
      </c>
      <c r="G52" s="115" t="s">
        <v>1631</v>
      </c>
      <c r="H52" s="114" t="s">
        <v>1446</v>
      </c>
      <c r="I52" s="114" t="s">
        <v>1632</v>
      </c>
      <c r="J52" s="114" t="s">
        <v>1633</v>
      </c>
      <c r="K52" s="114"/>
      <c r="L52" s="114"/>
      <c r="M52" s="114" t="s">
        <v>266</v>
      </c>
      <c r="N52" s="114" t="s">
        <v>266</v>
      </c>
      <c r="O52" s="88" t="s">
        <v>309</v>
      </c>
    </row>
    <row r="53" spans="1:15" s="119" customFormat="1" ht="15.75" customHeight="1">
      <c r="A53" s="114">
        <v>51</v>
      </c>
      <c r="B53" s="114" t="s">
        <v>303</v>
      </c>
      <c r="C53" s="114" t="s">
        <v>13</v>
      </c>
      <c r="D53" s="114" t="s">
        <v>1634</v>
      </c>
      <c r="E53" s="114" t="s">
        <v>1430</v>
      </c>
      <c r="F53" s="114" t="s">
        <v>1635</v>
      </c>
      <c r="G53" s="115" t="s">
        <v>1636</v>
      </c>
      <c r="H53" s="114" t="s">
        <v>1446</v>
      </c>
      <c r="I53" s="114" t="s">
        <v>1637</v>
      </c>
      <c r="J53" s="114" t="s">
        <v>1638</v>
      </c>
      <c r="K53" s="114"/>
      <c r="L53" s="114"/>
      <c r="M53" s="114" t="s">
        <v>266</v>
      </c>
      <c r="N53" s="114" t="s">
        <v>266</v>
      </c>
      <c r="O53" s="88" t="s">
        <v>309</v>
      </c>
    </row>
    <row r="54" spans="1:15" s="119" customFormat="1" ht="15.75" customHeight="1">
      <c r="A54" s="114">
        <v>52</v>
      </c>
      <c r="B54" s="114" t="s">
        <v>303</v>
      </c>
      <c r="C54" s="114" t="s">
        <v>13</v>
      </c>
      <c r="D54" s="114"/>
      <c r="E54" s="114" t="s">
        <v>1430</v>
      </c>
      <c r="F54" s="114" t="s">
        <v>1639</v>
      </c>
      <c r="G54" s="68" t="s">
        <v>1640</v>
      </c>
      <c r="H54" s="66" t="s">
        <v>1556</v>
      </c>
      <c r="I54" s="114" t="s">
        <v>1641</v>
      </c>
      <c r="J54" s="114" t="s">
        <v>1642</v>
      </c>
      <c r="K54" s="114"/>
      <c r="L54" s="114"/>
      <c r="M54" s="114" t="s">
        <v>266</v>
      </c>
      <c r="N54" s="114" t="s">
        <v>266</v>
      </c>
      <c r="O54" s="88" t="s">
        <v>309</v>
      </c>
    </row>
    <row r="55" spans="1:15" s="119" customFormat="1" ht="15.75" customHeight="1">
      <c r="A55" s="114">
        <v>53</v>
      </c>
      <c r="B55" s="114" t="s">
        <v>303</v>
      </c>
      <c r="C55" s="114" t="s">
        <v>13</v>
      </c>
      <c r="D55" s="114"/>
      <c r="E55" s="114" t="s">
        <v>1430</v>
      </c>
      <c r="F55" s="114" t="s">
        <v>1643</v>
      </c>
      <c r="G55" s="68" t="s">
        <v>1612</v>
      </c>
      <c r="H55" s="66" t="s">
        <v>1556</v>
      </c>
      <c r="I55" s="114" t="s">
        <v>1644</v>
      </c>
      <c r="J55" s="114" t="s">
        <v>1645</v>
      </c>
      <c r="K55" s="114"/>
      <c r="L55" s="114"/>
      <c r="M55" s="114" t="s">
        <v>266</v>
      </c>
      <c r="N55" s="114" t="s">
        <v>266</v>
      </c>
      <c r="O55" s="88" t="s">
        <v>309</v>
      </c>
    </row>
    <row r="56" spans="1:15" s="119" customFormat="1" ht="15.75" customHeight="1">
      <c r="A56" s="114">
        <v>54</v>
      </c>
      <c r="B56" s="114" t="s">
        <v>303</v>
      </c>
      <c r="C56" s="114" t="s">
        <v>13</v>
      </c>
      <c r="D56" s="114"/>
      <c r="E56" s="114" t="s">
        <v>1430</v>
      </c>
      <c r="F56" s="114" t="s">
        <v>1646</v>
      </c>
      <c r="G56" s="68" t="s">
        <v>1647</v>
      </c>
      <c r="H56" s="66" t="s">
        <v>1556</v>
      </c>
      <c r="I56" s="114" t="s">
        <v>1648</v>
      </c>
      <c r="J56" s="114" t="s">
        <v>1649</v>
      </c>
      <c r="K56" s="114"/>
      <c r="L56" s="114"/>
      <c r="M56" s="114" t="s">
        <v>266</v>
      </c>
      <c r="N56" s="114" t="s">
        <v>266</v>
      </c>
      <c r="O56" s="88" t="s">
        <v>309</v>
      </c>
    </row>
    <row r="57" spans="1:15" s="119" customFormat="1" ht="15.75" customHeight="1">
      <c r="A57" s="114">
        <v>55</v>
      </c>
      <c r="B57" s="114" t="s">
        <v>303</v>
      </c>
      <c r="C57" s="114" t="s">
        <v>13</v>
      </c>
      <c r="D57" s="114"/>
      <c r="E57" s="114" t="s">
        <v>1430</v>
      </c>
      <c r="F57" s="114" t="s">
        <v>1650</v>
      </c>
      <c r="G57" s="68" t="s">
        <v>1651</v>
      </c>
      <c r="H57" s="66" t="s">
        <v>1556</v>
      </c>
      <c r="I57" s="114" t="s">
        <v>1652</v>
      </c>
      <c r="J57" s="114" t="s">
        <v>1653</v>
      </c>
      <c r="K57" s="114"/>
      <c r="L57" s="114"/>
      <c r="M57" s="114" t="s">
        <v>266</v>
      </c>
      <c r="N57" s="114" t="s">
        <v>266</v>
      </c>
      <c r="O57" s="88" t="s">
        <v>309</v>
      </c>
    </row>
    <row r="58" spans="1:15" ht="15.75" customHeight="1">
      <c r="A58" s="66">
        <v>56</v>
      </c>
      <c r="B58" s="66" t="s">
        <v>303</v>
      </c>
      <c r="C58" s="66" t="s">
        <v>1654</v>
      </c>
      <c r="D58" s="66"/>
      <c r="E58" s="66" t="s">
        <v>1531</v>
      </c>
      <c r="F58" s="66" t="s">
        <v>352</v>
      </c>
      <c r="G58" s="68" t="s">
        <v>1655</v>
      </c>
      <c r="H58" s="66" t="s">
        <v>1427</v>
      </c>
      <c r="I58" s="66" t="s">
        <v>1656</v>
      </c>
      <c r="J58" s="66" t="s">
        <v>352</v>
      </c>
      <c r="K58" s="66"/>
      <c r="L58" s="66"/>
      <c r="M58" s="66"/>
      <c r="N58" s="66"/>
      <c r="O58" s="88" t="s">
        <v>268</v>
      </c>
    </row>
    <row r="59" spans="1:15" ht="15.75" customHeight="1">
      <c r="A59" s="66">
        <v>57</v>
      </c>
      <c r="B59" s="66" t="s">
        <v>69</v>
      </c>
      <c r="C59" s="66" t="s">
        <v>1657</v>
      </c>
      <c r="D59" s="66"/>
      <c r="E59" s="66" t="s">
        <v>1430</v>
      </c>
      <c r="F59" s="66" t="s">
        <v>1658</v>
      </c>
      <c r="G59" s="68" t="s">
        <v>1659</v>
      </c>
      <c r="H59" s="66" t="s">
        <v>1446</v>
      </c>
      <c r="I59" s="66" t="s">
        <v>1660</v>
      </c>
      <c r="J59" s="66" t="s">
        <v>1661</v>
      </c>
      <c r="K59" s="66"/>
      <c r="L59" s="66"/>
      <c r="M59" s="66"/>
      <c r="N59" s="66"/>
      <c r="O59" s="88" t="s">
        <v>268</v>
      </c>
    </row>
    <row r="60" spans="1:15" ht="15.75" customHeight="1">
      <c r="A60" s="66">
        <v>58</v>
      </c>
      <c r="B60" s="66" t="s">
        <v>69</v>
      </c>
      <c r="C60" s="66" t="s">
        <v>1657</v>
      </c>
      <c r="D60" s="66"/>
      <c r="E60" s="66" t="s">
        <v>1430</v>
      </c>
      <c r="F60" s="66" t="s">
        <v>1662</v>
      </c>
      <c r="G60" s="68" t="s">
        <v>1663</v>
      </c>
      <c r="H60" s="66" t="s">
        <v>1446</v>
      </c>
      <c r="I60" s="66" t="s">
        <v>1664</v>
      </c>
      <c r="J60" s="66" t="s">
        <v>1665</v>
      </c>
      <c r="K60" s="66"/>
      <c r="L60" s="66"/>
      <c r="M60" s="66"/>
      <c r="N60" s="66"/>
      <c r="O60" s="88" t="s">
        <v>268</v>
      </c>
    </row>
    <row r="61" spans="1:15" ht="15.75" customHeight="1">
      <c r="A61" s="66">
        <v>59</v>
      </c>
      <c r="B61" s="66" t="s">
        <v>69</v>
      </c>
      <c r="C61" s="66" t="s">
        <v>1657</v>
      </c>
      <c r="D61" s="66"/>
      <c r="E61" s="66" t="s">
        <v>1430</v>
      </c>
      <c r="F61" s="66" t="s">
        <v>1666</v>
      </c>
      <c r="G61" s="68" t="s">
        <v>1667</v>
      </c>
      <c r="H61" s="66" t="s">
        <v>1446</v>
      </c>
      <c r="I61" s="66" t="s">
        <v>1668</v>
      </c>
      <c r="J61" s="66" t="s">
        <v>1669</v>
      </c>
      <c r="K61" s="66"/>
      <c r="L61" s="66"/>
      <c r="M61" s="66"/>
      <c r="N61" s="66"/>
      <c r="O61" s="88" t="s">
        <v>268</v>
      </c>
    </row>
    <row r="62" spans="1:15" ht="15.75" customHeight="1">
      <c r="A62" s="66">
        <v>60</v>
      </c>
      <c r="B62" s="66" t="s">
        <v>69</v>
      </c>
      <c r="C62" s="66" t="s">
        <v>1657</v>
      </c>
      <c r="D62" s="66"/>
      <c r="E62" s="66" t="s">
        <v>1430</v>
      </c>
      <c r="F62" s="66" t="s">
        <v>1670</v>
      </c>
      <c r="G62" s="68" t="s">
        <v>1671</v>
      </c>
      <c r="H62" s="66" t="s">
        <v>1446</v>
      </c>
      <c r="I62" s="66" t="s">
        <v>1672</v>
      </c>
      <c r="J62" s="66" t="s">
        <v>1673</v>
      </c>
      <c r="K62" s="66"/>
      <c r="L62" s="66"/>
      <c r="M62" s="66"/>
      <c r="N62" s="66"/>
      <c r="O62" s="88" t="s">
        <v>268</v>
      </c>
    </row>
    <row r="63" spans="1:15" ht="15.75" customHeight="1">
      <c r="A63" s="66">
        <v>61</v>
      </c>
      <c r="B63" s="66" t="s">
        <v>69</v>
      </c>
      <c r="C63" s="66" t="s">
        <v>1657</v>
      </c>
      <c r="D63" s="66"/>
      <c r="E63" s="66" t="s">
        <v>1430</v>
      </c>
      <c r="F63" s="66" t="s">
        <v>1674</v>
      </c>
      <c r="G63" s="68" t="s">
        <v>1675</v>
      </c>
      <c r="H63" s="66" t="s">
        <v>1446</v>
      </c>
      <c r="I63" s="66" t="s">
        <v>1676</v>
      </c>
      <c r="J63" s="66" t="s">
        <v>1677</v>
      </c>
      <c r="K63" s="66"/>
      <c r="L63" s="66"/>
      <c r="M63" s="66"/>
      <c r="N63" s="66"/>
      <c r="O63" s="88" t="s">
        <v>268</v>
      </c>
    </row>
    <row r="64" spans="1:15" ht="15.75" customHeight="1">
      <c r="A64" s="66">
        <v>62</v>
      </c>
      <c r="B64" s="66" t="s">
        <v>69</v>
      </c>
      <c r="C64" s="66" t="s">
        <v>1657</v>
      </c>
      <c r="D64" s="66"/>
      <c r="E64" s="66" t="s">
        <v>1430</v>
      </c>
      <c r="F64" s="66" t="s">
        <v>1678</v>
      </c>
      <c r="G64" s="68" t="s">
        <v>1679</v>
      </c>
      <c r="H64" s="66" t="s">
        <v>1680</v>
      </c>
      <c r="I64" s="66" t="s">
        <v>1681</v>
      </c>
      <c r="J64" s="66" t="s">
        <v>1682</v>
      </c>
      <c r="K64" s="66"/>
      <c r="L64" s="66"/>
      <c r="M64" s="66"/>
      <c r="N64" s="66"/>
      <c r="O64" s="88" t="s">
        <v>268</v>
      </c>
    </row>
    <row r="65" spans="1:15" ht="15.75" customHeight="1">
      <c r="A65" s="66">
        <v>63</v>
      </c>
      <c r="B65" s="66" t="s">
        <v>69</v>
      </c>
      <c r="C65" s="66" t="s">
        <v>1657</v>
      </c>
      <c r="D65" s="66"/>
      <c r="E65" s="66" t="s">
        <v>1531</v>
      </c>
      <c r="F65" s="66" t="s">
        <v>294</v>
      </c>
      <c r="G65" s="68" t="s">
        <v>352</v>
      </c>
      <c r="H65" s="66" t="s">
        <v>294</v>
      </c>
      <c r="I65" s="66" t="s">
        <v>291</v>
      </c>
      <c r="J65" s="66"/>
      <c r="K65" s="66"/>
      <c r="L65" s="66"/>
      <c r="M65" s="66"/>
      <c r="N65" s="66"/>
      <c r="O65" s="88" t="s">
        <v>268</v>
      </c>
    </row>
    <row r="66" spans="1:15" ht="15.75" customHeight="1">
      <c r="A66" s="66">
        <v>64</v>
      </c>
      <c r="B66" s="66" t="s">
        <v>69</v>
      </c>
      <c r="C66" s="66" t="s">
        <v>1657</v>
      </c>
      <c r="D66" s="66"/>
      <c r="E66" s="66" t="s">
        <v>1683</v>
      </c>
      <c r="F66" s="66" t="s">
        <v>1684</v>
      </c>
      <c r="G66" s="68" t="s">
        <v>352</v>
      </c>
      <c r="H66" s="66" t="s">
        <v>1684</v>
      </c>
      <c r="I66" s="66" t="s">
        <v>1685</v>
      </c>
      <c r="J66" s="66"/>
      <c r="K66" s="66"/>
      <c r="L66" s="66"/>
      <c r="M66" s="66"/>
      <c r="N66" s="66"/>
      <c r="O66" s="88" t="s">
        <v>268</v>
      </c>
    </row>
    <row r="67" spans="1:15" ht="15.75" customHeight="1">
      <c r="A67" s="66">
        <v>65</v>
      </c>
      <c r="B67" s="66" t="s">
        <v>69</v>
      </c>
      <c r="C67" s="66" t="s">
        <v>1657</v>
      </c>
      <c r="D67" s="66"/>
      <c r="E67" s="66" t="s">
        <v>302</v>
      </c>
      <c r="F67" s="66" t="s">
        <v>294</v>
      </c>
      <c r="G67" s="68" t="s">
        <v>352</v>
      </c>
      <c r="H67" s="66" t="s">
        <v>294</v>
      </c>
      <c r="I67" s="66" t="s">
        <v>291</v>
      </c>
      <c r="J67" s="66"/>
      <c r="K67" s="66"/>
      <c r="L67" s="66"/>
      <c r="M67" s="66"/>
      <c r="N67" s="66"/>
      <c r="O67" s="88" t="s">
        <v>268</v>
      </c>
    </row>
    <row r="68" spans="1:15" ht="15.75" customHeight="1">
      <c r="A68" s="66">
        <v>66</v>
      </c>
      <c r="B68" s="66" t="s">
        <v>69</v>
      </c>
      <c r="C68" s="66" t="s">
        <v>1657</v>
      </c>
      <c r="D68" s="66"/>
      <c r="E68" s="66" t="s">
        <v>302</v>
      </c>
      <c r="F68" s="66" t="s">
        <v>294</v>
      </c>
      <c r="G68" s="68" t="s">
        <v>352</v>
      </c>
      <c r="H68" s="66" t="s">
        <v>294</v>
      </c>
      <c r="I68" s="66" t="s">
        <v>291</v>
      </c>
      <c r="J68" s="66"/>
      <c r="K68" s="66"/>
      <c r="L68" s="66"/>
      <c r="M68" s="66"/>
      <c r="N68" s="66"/>
      <c r="O68" s="88" t="s">
        <v>268</v>
      </c>
    </row>
    <row r="69" spans="1:15" ht="15.75" customHeight="1">
      <c r="A69" s="66">
        <v>67</v>
      </c>
      <c r="B69" s="66" t="s">
        <v>69</v>
      </c>
      <c r="C69" s="66" t="s">
        <v>1657</v>
      </c>
      <c r="D69" s="66"/>
      <c r="E69" s="66" t="s">
        <v>1686</v>
      </c>
      <c r="F69" s="66" t="s">
        <v>1687</v>
      </c>
      <c r="G69" s="68" t="s">
        <v>352</v>
      </c>
      <c r="H69" s="66" t="s">
        <v>1687</v>
      </c>
      <c r="I69" s="66" t="s">
        <v>291</v>
      </c>
      <c r="J69" s="66"/>
      <c r="K69" s="66"/>
      <c r="L69" s="66"/>
      <c r="M69" s="66"/>
      <c r="N69" s="66"/>
      <c r="O69" s="88" t="s">
        <v>268</v>
      </c>
    </row>
    <row r="70" spans="1:15" ht="15.75" customHeight="1">
      <c r="A70" s="66">
        <v>68</v>
      </c>
      <c r="B70" s="66" t="s">
        <v>69</v>
      </c>
      <c r="C70" s="66" t="s">
        <v>1350</v>
      </c>
      <c r="D70" s="66"/>
      <c r="E70" s="66" t="s">
        <v>1430</v>
      </c>
      <c r="F70" s="66" t="s">
        <v>1688</v>
      </c>
      <c r="G70" s="68" t="s">
        <v>1689</v>
      </c>
      <c r="H70" s="66" t="s">
        <v>1446</v>
      </c>
      <c r="I70" s="66" t="s">
        <v>1690</v>
      </c>
      <c r="J70" s="66" t="s">
        <v>1691</v>
      </c>
      <c r="K70" s="66"/>
      <c r="L70" s="66"/>
      <c r="M70" s="66"/>
      <c r="N70" s="66"/>
      <c r="O70" s="88" t="s">
        <v>268</v>
      </c>
    </row>
    <row r="71" spans="1:15" ht="15.75" customHeight="1">
      <c r="A71" s="66">
        <v>69</v>
      </c>
      <c r="B71" s="66" t="s">
        <v>69</v>
      </c>
      <c r="C71" s="66" t="s">
        <v>1383</v>
      </c>
      <c r="D71" s="66"/>
      <c r="E71" s="66" t="s">
        <v>1430</v>
      </c>
      <c r="F71" s="66" t="s">
        <v>1692</v>
      </c>
      <c r="G71" s="68" t="s">
        <v>1693</v>
      </c>
      <c r="H71" s="66" t="s">
        <v>1446</v>
      </c>
      <c r="I71" s="66" t="s">
        <v>1694</v>
      </c>
      <c r="J71" s="66" t="s">
        <v>1695</v>
      </c>
      <c r="K71" s="66"/>
      <c r="L71" s="66"/>
      <c r="M71" s="66"/>
      <c r="N71" s="66"/>
      <c r="O71" s="88" t="s">
        <v>268</v>
      </c>
    </row>
    <row r="72" spans="1:15" ht="15.75" customHeight="1">
      <c r="A72" s="66">
        <v>70</v>
      </c>
      <c r="B72" s="66" t="s">
        <v>69</v>
      </c>
      <c r="C72" s="66" t="s">
        <v>1383</v>
      </c>
      <c r="D72" s="66"/>
      <c r="E72" s="66" t="s">
        <v>1430</v>
      </c>
      <c r="F72" s="66" t="s">
        <v>1696</v>
      </c>
      <c r="G72" s="68" t="s">
        <v>1697</v>
      </c>
      <c r="H72" s="66" t="s">
        <v>1446</v>
      </c>
      <c r="I72" s="66" t="s">
        <v>1698</v>
      </c>
      <c r="J72" s="66" t="s">
        <v>1699</v>
      </c>
      <c r="K72" s="66"/>
      <c r="L72" s="66"/>
      <c r="M72" s="66"/>
      <c r="N72" s="66"/>
      <c r="O72" s="88" t="s">
        <v>268</v>
      </c>
    </row>
    <row r="73" spans="1:15" ht="15.75" customHeight="1">
      <c r="A73" s="66">
        <v>71</v>
      </c>
      <c r="B73" s="66" t="s">
        <v>69</v>
      </c>
      <c r="C73" s="66" t="s">
        <v>1383</v>
      </c>
      <c r="D73" s="66"/>
      <c r="E73" s="66" t="s">
        <v>1430</v>
      </c>
      <c r="F73" s="66" t="s">
        <v>1700</v>
      </c>
      <c r="G73" s="68" t="s">
        <v>1701</v>
      </c>
      <c r="H73" s="66" t="s">
        <v>1446</v>
      </c>
      <c r="I73" s="66" t="s">
        <v>1702</v>
      </c>
      <c r="J73" s="66" t="s">
        <v>1703</v>
      </c>
      <c r="K73" s="66"/>
      <c r="L73" s="66"/>
      <c r="M73" s="66"/>
      <c r="N73" s="66"/>
      <c r="O73" s="88" t="s">
        <v>268</v>
      </c>
    </row>
    <row r="74" spans="1:15" ht="15.75" customHeight="1">
      <c r="A74" s="66">
        <v>72</v>
      </c>
      <c r="B74" s="66" t="s">
        <v>69</v>
      </c>
      <c r="C74" s="66" t="s">
        <v>1383</v>
      </c>
      <c r="D74" s="66"/>
      <c r="E74" s="66" t="s">
        <v>1430</v>
      </c>
      <c r="F74" s="66" t="s">
        <v>1704</v>
      </c>
      <c r="G74" s="68" t="s">
        <v>1705</v>
      </c>
      <c r="H74" s="66" t="s">
        <v>1446</v>
      </c>
      <c r="I74" s="66" t="s">
        <v>1706</v>
      </c>
      <c r="J74" s="66" t="s">
        <v>1707</v>
      </c>
      <c r="K74" s="66"/>
      <c r="L74" s="66"/>
      <c r="M74" s="66"/>
      <c r="N74" s="66"/>
      <c r="O74" s="88" t="s">
        <v>268</v>
      </c>
    </row>
    <row r="75" spans="1:15" ht="15.75" customHeight="1">
      <c r="A75" s="114">
        <v>73</v>
      </c>
      <c r="B75" s="114" t="s">
        <v>69</v>
      </c>
      <c r="C75" s="114" t="s">
        <v>14</v>
      </c>
      <c r="D75" s="114"/>
      <c r="E75" s="114" t="s">
        <v>1430</v>
      </c>
      <c r="F75" s="114" t="s">
        <v>1708</v>
      </c>
      <c r="G75" s="115" t="s">
        <v>1709</v>
      </c>
      <c r="H75" s="114" t="s">
        <v>1446</v>
      </c>
      <c r="I75" s="114" t="s">
        <v>1710</v>
      </c>
      <c r="J75" s="114" t="s">
        <v>1711</v>
      </c>
      <c r="K75" s="114" t="s">
        <v>1712</v>
      </c>
      <c r="L75" s="114"/>
      <c r="M75" s="114" t="s">
        <v>266</v>
      </c>
      <c r="N75" s="114" t="s">
        <v>266</v>
      </c>
      <c r="O75" s="89" t="s">
        <v>309</v>
      </c>
    </row>
    <row r="76" spans="1:15" ht="15.75" customHeight="1">
      <c r="A76" s="114"/>
      <c r="B76" s="114" t="s">
        <v>69</v>
      </c>
      <c r="C76" s="114" t="s">
        <v>14</v>
      </c>
      <c r="D76" s="114"/>
      <c r="E76" s="114" t="s">
        <v>1531</v>
      </c>
      <c r="F76" s="114" t="s">
        <v>1713</v>
      </c>
      <c r="G76" s="115"/>
      <c r="H76" s="114"/>
      <c r="I76" s="114"/>
      <c r="J76" s="114"/>
      <c r="K76" s="114" t="s">
        <v>379</v>
      </c>
      <c r="L76" s="114" t="s">
        <v>1714</v>
      </c>
      <c r="M76" s="114" t="s">
        <v>266</v>
      </c>
      <c r="N76" s="114" t="s">
        <v>266</v>
      </c>
      <c r="O76" s="89" t="s">
        <v>309</v>
      </c>
    </row>
    <row r="77" spans="1:15" ht="15.75" customHeight="1">
      <c r="A77" s="52">
        <v>74</v>
      </c>
      <c r="B77" s="52" t="s">
        <v>69</v>
      </c>
      <c r="C77" s="52" t="s">
        <v>6</v>
      </c>
      <c r="D77" s="52" t="s">
        <v>1715</v>
      </c>
      <c r="E77" s="52" t="s">
        <v>1430</v>
      </c>
      <c r="F77" s="52" t="s">
        <v>1716</v>
      </c>
      <c r="G77" s="69" t="s">
        <v>1717</v>
      </c>
      <c r="H77" s="52" t="s">
        <v>1556</v>
      </c>
      <c r="I77" s="52" t="s">
        <v>1718</v>
      </c>
      <c r="J77" s="52" t="s">
        <v>1719</v>
      </c>
      <c r="K77" s="52"/>
      <c r="L77" s="52"/>
      <c r="M77" s="52" t="s">
        <v>266</v>
      </c>
      <c r="N77" s="52" t="s">
        <v>266</v>
      </c>
      <c r="O77" s="89" t="s">
        <v>309</v>
      </c>
    </row>
    <row r="78" spans="1:15" ht="15.75" customHeight="1">
      <c r="A78" s="52">
        <v>75</v>
      </c>
      <c r="B78" s="52" t="s">
        <v>69</v>
      </c>
      <c r="C78" s="52" t="s">
        <v>6</v>
      </c>
      <c r="D78" s="52" t="s">
        <v>1720</v>
      </c>
      <c r="E78" s="52" t="s">
        <v>1430</v>
      </c>
      <c r="F78" s="52" t="s">
        <v>1721</v>
      </c>
      <c r="G78" s="69" t="s">
        <v>1722</v>
      </c>
      <c r="H78" s="52" t="s">
        <v>1556</v>
      </c>
      <c r="I78" s="52" t="s">
        <v>1723</v>
      </c>
      <c r="J78" s="52" t="s">
        <v>1724</v>
      </c>
      <c r="K78" s="52"/>
      <c r="L78" s="52"/>
      <c r="M78" s="52" t="s">
        <v>266</v>
      </c>
      <c r="N78" s="52" t="s">
        <v>266</v>
      </c>
      <c r="O78" s="89" t="s">
        <v>309</v>
      </c>
    </row>
    <row r="79" spans="1:15" ht="15.75" customHeight="1">
      <c r="A79" s="52">
        <v>76</v>
      </c>
      <c r="B79" s="52" t="s">
        <v>69</v>
      </c>
      <c r="C79" s="52" t="s">
        <v>6</v>
      </c>
      <c r="D79" s="52" t="s">
        <v>1725</v>
      </c>
      <c r="E79" s="52" t="s">
        <v>1430</v>
      </c>
      <c r="F79" s="52" t="s">
        <v>1726</v>
      </c>
      <c r="G79" s="69" t="s">
        <v>1727</v>
      </c>
      <c r="H79" s="52" t="s">
        <v>1556</v>
      </c>
      <c r="I79" s="52" t="s">
        <v>1728</v>
      </c>
      <c r="J79" s="52" t="s">
        <v>1729</v>
      </c>
      <c r="K79" s="52"/>
      <c r="L79" s="52"/>
      <c r="M79" s="52" t="s">
        <v>266</v>
      </c>
      <c r="N79" s="52" t="s">
        <v>266</v>
      </c>
      <c r="O79" s="89" t="s">
        <v>309</v>
      </c>
    </row>
    <row r="80" spans="1:15" ht="15.75" customHeight="1">
      <c r="A80" s="52">
        <v>77</v>
      </c>
      <c r="B80" s="52" t="s">
        <v>69</v>
      </c>
      <c r="C80" s="52" t="s">
        <v>6</v>
      </c>
      <c r="D80" s="52" t="s">
        <v>880</v>
      </c>
      <c r="E80" s="52" t="s">
        <v>1430</v>
      </c>
      <c r="F80" s="52" t="s">
        <v>1730</v>
      </c>
      <c r="G80" s="69" t="s">
        <v>1731</v>
      </c>
      <c r="H80" s="52" t="s">
        <v>1446</v>
      </c>
      <c r="I80" s="52" t="s">
        <v>1732</v>
      </c>
      <c r="J80" s="52" t="s">
        <v>1733</v>
      </c>
      <c r="K80" s="52"/>
      <c r="L80" s="52"/>
      <c r="M80" s="52" t="s">
        <v>266</v>
      </c>
      <c r="N80" s="52" t="s">
        <v>266</v>
      </c>
      <c r="O80" s="89" t="s">
        <v>309</v>
      </c>
    </row>
    <row r="81" spans="1:15" ht="15.75" customHeight="1">
      <c r="A81" s="52">
        <v>78</v>
      </c>
      <c r="B81" s="52" t="s">
        <v>69</v>
      </c>
      <c r="C81" s="52" t="s">
        <v>6</v>
      </c>
      <c r="D81" s="52" t="s">
        <v>1734</v>
      </c>
      <c r="E81" s="52" t="s">
        <v>1430</v>
      </c>
      <c r="F81" s="52" t="s">
        <v>1735</v>
      </c>
      <c r="G81" s="69" t="s">
        <v>1736</v>
      </c>
      <c r="H81" s="52" t="s">
        <v>1446</v>
      </c>
      <c r="I81" s="52" t="s">
        <v>1737</v>
      </c>
      <c r="J81" s="52" t="s">
        <v>1738</v>
      </c>
      <c r="K81" s="52"/>
      <c r="L81" s="52"/>
      <c r="M81" s="52" t="s">
        <v>266</v>
      </c>
      <c r="N81" s="52" t="s">
        <v>266</v>
      </c>
      <c r="O81" s="89" t="s">
        <v>309</v>
      </c>
    </row>
    <row r="82" spans="1:15" ht="15.75" customHeight="1">
      <c r="A82" s="52">
        <v>79</v>
      </c>
      <c r="B82" s="52" t="s">
        <v>69</v>
      </c>
      <c r="C82" s="52" t="s">
        <v>6</v>
      </c>
      <c r="D82" s="52" t="s">
        <v>1739</v>
      </c>
      <c r="E82" s="52" t="s">
        <v>1430</v>
      </c>
      <c r="F82" s="52" t="s">
        <v>1740</v>
      </c>
      <c r="G82" s="69" t="s">
        <v>1741</v>
      </c>
      <c r="H82" s="52" t="s">
        <v>1446</v>
      </c>
      <c r="I82" s="52" t="s">
        <v>1742</v>
      </c>
      <c r="J82" s="52" t="s">
        <v>1743</v>
      </c>
      <c r="K82" s="52"/>
      <c r="L82" s="52"/>
      <c r="M82" s="52" t="s">
        <v>266</v>
      </c>
      <c r="N82" s="52" t="s">
        <v>266</v>
      </c>
      <c r="O82" s="89" t="s">
        <v>309</v>
      </c>
    </row>
    <row r="83" spans="1:15" ht="15.75" customHeight="1">
      <c r="A83" s="66">
        <v>80</v>
      </c>
      <c r="B83" s="66" t="s">
        <v>69</v>
      </c>
      <c r="C83" s="66" t="s">
        <v>1744</v>
      </c>
      <c r="D83" s="66"/>
      <c r="E83" s="66" t="s">
        <v>1531</v>
      </c>
      <c r="F83" s="66" t="s">
        <v>352</v>
      </c>
      <c r="G83" s="68" t="s">
        <v>1745</v>
      </c>
      <c r="H83" s="66" t="s">
        <v>1427</v>
      </c>
      <c r="I83" s="66" t="s">
        <v>1746</v>
      </c>
      <c r="J83" s="66" t="s">
        <v>352</v>
      </c>
      <c r="K83" s="66"/>
      <c r="L83" s="66"/>
      <c r="M83" s="66"/>
      <c r="N83" s="66"/>
      <c r="O83" s="88" t="s">
        <v>268</v>
      </c>
    </row>
    <row r="84" spans="1:15" ht="15.75" customHeight="1">
      <c r="A84" s="66">
        <v>81</v>
      </c>
      <c r="B84" s="66" t="s">
        <v>69</v>
      </c>
      <c r="C84" s="66" t="s">
        <v>1744</v>
      </c>
      <c r="D84" s="66"/>
      <c r="E84" s="66" t="s">
        <v>1531</v>
      </c>
      <c r="F84" s="66" t="s">
        <v>352</v>
      </c>
      <c r="G84" s="68" t="s">
        <v>352</v>
      </c>
      <c r="H84" s="66" t="s">
        <v>1427</v>
      </c>
      <c r="I84" s="66" t="s">
        <v>1747</v>
      </c>
      <c r="J84" s="66" t="s">
        <v>352</v>
      </c>
      <c r="K84" s="66"/>
      <c r="L84" s="66"/>
      <c r="M84" s="66"/>
      <c r="N84" s="66"/>
      <c r="O84" s="88" t="s">
        <v>268</v>
      </c>
    </row>
    <row r="85" spans="1:15" ht="15.75" customHeight="1">
      <c r="A85" s="66">
        <v>82</v>
      </c>
      <c r="B85" s="66" t="s">
        <v>69</v>
      </c>
      <c r="C85" s="66" t="s">
        <v>1744</v>
      </c>
      <c r="D85" s="66"/>
      <c r="E85" s="66" t="s">
        <v>1531</v>
      </c>
      <c r="F85" s="66" t="s">
        <v>352</v>
      </c>
      <c r="G85" s="68" t="s">
        <v>352</v>
      </c>
      <c r="H85" s="66" t="s">
        <v>1427</v>
      </c>
      <c r="I85" s="66" t="s">
        <v>1747</v>
      </c>
      <c r="J85" s="66" t="s">
        <v>352</v>
      </c>
      <c r="K85" s="66"/>
      <c r="L85" s="66"/>
      <c r="M85" s="66"/>
      <c r="N85" s="66"/>
      <c r="O85" s="88" t="s">
        <v>268</v>
      </c>
    </row>
    <row r="86" spans="1:15" ht="15.75" customHeight="1">
      <c r="A86" s="66">
        <v>83</v>
      </c>
      <c r="B86" s="66" t="s">
        <v>69</v>
      </c>
      <c r="C86" s="66" t="s">
        <v>1748</v>
      </c>
      <c r="D86" s="66"/>
      <c r="E86" s="66" t="s">
        <v>1430</v>
      </c>
      <c r="F86" s="66" t="s">
        <v>1749</v>
      </c>
      <c r="G86" s="68" t="s">
        <v>1750</v>
      </c>
      <c r="H86" s="66" t="s">
        <v>1446</v>
      </c>
      <c r="I86" s="66" t="s">
        <v>1751</v>
      </c>
      <c r="J86" s="66" t="s">
        <v>1752</v>
      </c>
      <c r="K86" s="66"/>
      <c r="L86" s="66"/>
      <c r="M86" s="66"/>
      <c r="N86" s="66"/>
      <c r="O86" s="88" t="s">
        <v>268</v>
      </c>
    </row>
    <row r="87" spans="1:15" ht="15.75" customHeight="1">
      <c r="A87" s="66">
        <v>84</v>
      </c>
      <c r="B87" s="66" t="s">
        <v>69</v>
      </c>
      <c r="C87" s="66" t="s">
        <v>26</v>
      </c>
      <c r="D87" s="66" t="s">
        <v>384</v>
      </c>
      <c r="E87" s="66" t="s">
        <v>1430</v>
      </c>
      <c r="F87" s="66" t="s">
        <v>1753</v>
      </c>
      <c r="G87" s="68" t="s">
        <v>1754</v>
      </c>
      <c r="H87" s="66" t="s">
        <v>1446</v>
      </c>
      <c r="I87" s="66" t="s">
        <v>1755</v>
      </c>
      <c r="J87" s="66" t="s">
        <v>1756</v>
      </c>
      <c r="K87" s="66"/>
      <c r="L87" s="66"/>
      <c r="M87" s="66"/>
      <c r="N87" s="66"/>
      <c r="O87" s="88" t="s">
        <v>268</v>
      </c>
    </row>
    <row r="88" spans="1:15" ht="15.75" customHeight="1">
      <c r="A88" s="66">
        <v>85</v>
      </c>
      <c r="B88" s="66" t="s">
        <v>69</v>
      </c>
      <c r="C88" s="66" t="s">
        <v>26</v>
      </c>
      <c r="D88" s="66" t="s">
        <v>384</v>
      </c>
      <c r="E88" s="66" t="s">
        <v>1430</v>
      </c>
      <c r="F88" s="66" t="s">
        <v>1757</v>
      </c>
      <c r="G88" s="68" t="s">
        <v>1758</v>
      </c>
      <c r="H88" s="66" t="s">
        <v>1446</v>
      </c>
      <c r="I88" s="66" t="s">
        <v>1759</v>
      </c>
      <c r="J88" s="66" t="s">
        <v>1760</v>
      </c>
      <c r="K88" s="66"/>
      <c r="L88" s="66"/>
      <c r="M88" s="66"/>
      <c r="N88" s="66"/>
      <c r="O88" s="88" t="s">
        <v>268</v>
      </c>
    </row>
    <row r="89" spans="1:15" ht="15.75" customHeight="1">
      <c r="A89" s="66">
        <v>86</v>
      </c>
      <c r="B89" s="66" t="s">
        <v>69</v>
      </c>
      <c r="C89" s="66" t="s">
        <v>26</v>
      </c>
      <c r="D89" s="66" t="s">
        <v>384</v>
      </c>
      <c r="E89" s="66" t="s">
        <v>1430</v>
      </c>
      <c r="F89" s="66" t="s">
        <v>1761</v>
      </c>
      <c r="G89" s="68" t="s">
        <v>1762</v>
      </c>
      <c r="H89" s="66" t="s">
        <v>1446</v>
      </c>
      <c r="I89" s="66" t="s">
        <v>1763</v>
      </c>
      <c r="J89" s="66" t="s">
        <v>1764</v>
      </c>
      <c r="K89" s="66"/>
      <c r="L89" s="66"/>
      <c r="M89" s="66"/>
      <c r="N89" s="66"/>
      <c r="O89" s="88" t="s">
        <v>268</v>
      </c>
    </row>
    <row r="90" spans="1:15" ht="15.75" customHeight="1">
      <c r="A90" s="66">
        <v>87</v>
      </c>
      <c r="B90" s="66" t="s">
        <v>69</v>
      </c>
      <c r="C90" s="66" t="s">
        <v>26</v>
      </c>
      <c r="D90" s="66" t="s">
        <v>384</v>
      </c>
      <c r="E90" s="66" t="s">
        <v>1430</v>
      </c>
      <c r="F90" s="66" t="s">
        <v>1765</v>
      </c>
      <c r="G90" s="68" t="s">
        <v>1766</v>
      </c>
      <c r="H90" s="66" t="s">
        <v>1446</v>
      </c>
      <c r="I90" s="66" t="s">
        <v>1767</v>
      </c>
      <c r="J90" s="66" t="s">
        <v>1768</v>
      </c>
      <c r="K90" s="66"/>
      <c r="L90" s="66"/>
      <c r="M90" s="66"/>
      <c r="N90" s="66"/>
      <c r="O90" s="88" t="s">
        <v>268</v>
      </c>
    </row>
    <row r="91" spans="1:15" ht="15.75" customHeight="1">
      <c r="A91" s="66">
        <v>88</v>
      </c>
      <c r="B91" s="66" t="s">
        <v>69</v>
      </c>
      <c r="C91" s="66" t="s">
        <v>26</v>
      </c>
      <c r="D91" s="66" t="s">
        <v>384</v>
      </c>
      <c r="E91" s="66" t="s">
        <v>1430</v>
      </c>
      <c r="F91" s="66" t="s">
        <v>1769</v>
      </c>
      <c r="G91" s="68" t="s">
        <v>1770</v>
      </c>
      <c r="H91" s="66" t="s">
        <v>1446</v>
      </c>
      <c r="I91" s="66" t="s">
        <v>1771</v>
      </c>
      <c r="J91" s="66" t="s">
        <v>1772</v>
      </c>
      <c r="K91" s="66"/>
      <c r="L91" s="66"/>
      <c r="M91" s="66"/>
      <c r="N91" s="66"/>
      <c r="O91" s="88" t="s">
        <v>268</v>
      </c>
    </row>
    <row r="92" spans="1:15" ht="15.75" customHeight="1">
      <c r="A92" s="66">
        <v>89</v>
      </c>
      <c r="B92" s="66" t="s">
        <v>69</v>
      </c>
      <c r="C92" s="66" t="s">
        <v>26</v>
      </c>
      <c r="D92" s="66" t="s">
        <v>384</v>
      </c>
      <c r="E92" s="66" t="s">
        <v>1430</v>
      </c>
      <c r="F92" s="66" t="s">
        <v>1773</v>
      </c>
      <c r="G92" s="68" t="s">
        <v>1774</v>
      </c>
      <c r="H92" s="66" t="s">
        <v>1446</v>
      </c>
      <c r="I92" s="66" t="s">
        <v>1775</v>
      </c>
      <c r="J92" s="66" t="s">
        <v>1776</v>
      </c>
      <c r="K92" s="66"/>
      <c r="L92" s="66"/>
      <c r="M92" s="66"/>
      <c r="N92" s="66"/>
      <c r="O92" s="88" t="s">
        <v>268</v>
      </c>
    </row>
    <row r="93" spans="1:15" ht="15.75" customHeight="1">
      <c r="A93" s="66">
        <v>90</v>
      </c>
      <c r="B93" s="66" t="s">
        <v>69</v>
      </c>
      <c r="C93" s="66" t="s">
        <v>26</v>
      </c>
      <c r="D93" s="66" t="s">
        <v>384</v>
      </c>
      <c r="E93" s="66" t="s">
        <v>1430</v>
      </c>
      <c r="F93" s="66" t="s">
        <v>1777</v>
      </c>
      <c r="G93" s="68" t="s">
        <v>1778</v>
      </c>
      <c r="H93" s="66" t="s">
        <v>1446</v>
      </c>
      <c r="I93" s="66" t="s">
        <v>1779</v>
      </c>
      <c r="J93" s="66" t="s">
        <v>1780</v>
      </c>
      <c r="K93" s="66"/>
      <c r="L93" s="66"/>
      <c r="M93" s="66"/>
      <c r="N93" s="66"/>
      <c r="O93" s="88" t="s">
        <v>268</v>
      </c>
    </row>
    <row r="94" spans="1:15" s="119" customFormat="1" ht="15.75" customHeight="1">
      <c r="A94" s="114">
        <v>91</v>
      </c>
      <c r="B94" s="114" t="s">
        <v>69</v>
      </c>
      <c r="C94" s="114" t="s">
        <v>26</v>
      </c>
      <c r="D94" s="114" t="s">
        <v>384</v>
      </c>
      <c r="E94" s="114" t="s">
        <v>1430</v>
      </c>
      <c r="F94" s="114" t="s">
        <v>1781</v>
      </c>
      <c r="G94" s="115" t="s">
        <v>1782</v>
      </c>
      <c r="H94" s="114" t="s">
        <v>1446</v>
      </c>
      <c r="I94" s="114" t="s">
        <v>1783</v>
      </c>
      <c r="J94" s="114" t="s">
        <v>1784</v>
      </c>
      <c r="K94" s="114"/>
      <c r="L94" s="114"/>
      <c r="M94" s="114" t="s">
        <v>266</v>
      </c>
      <c r="N94" s="114" t="s">
        <v>266</v>
      </c>
      <c r="O94" s="88" t="s">
        <v>309</v>
      </c>
    </row>
    <row r="95" spans="1:15" ht="15.75" customHeight="1">
      <c r="A95" s="66">
        <v>92</v>
      </c>
      <c r="B95" s="66" t="s">
        <v>69</v>
      </c>
      <c r="C95" s="66" t="s">
        <v>26</v>
      </c>
      <c r="D95" s="66" t="s">
        <v>384</v>
      </c>
      <c r="E95" s="66" t="s">
        <v>1430</v>
      </c>
      <c r="F95" s="66" t="s">
        <v>1785</v>
      </c>
      <c r="G95" s="68" t="s">
        <v>1786</v>
      </c>
      <c r="H95" s="66" t="s">
        <v>1446</v>
      </c>
      <c r="I95" s="66" t="s">
        <v>1787</v>
      </c>
      <c r="J95" s="66" t="s">
        <v>1788</v>
      </c>
      <c r="K95" s="66"/>
      <c r="L95" s="66" t="s">
        <v>1789</v>
      </c>
      <c r="M95" s="66"/>
      <c r="N95" s="66"/>
      <c r="O95" s="88" t="s">
        <v>268</v>
      </c>
    </row>
    <row r="96" spans="1:15" s="119" customFormat="1" ht="15.75" customHeight="1">
      <c r="A96" s="114">
        <v>93</v>
      </c>
      <c r="B96" s="114" t="s">
        <v>69</v>
      </c>
      <c r="C96" s="114" t="s">
        <v>26</v>
      </c>
      <c r="D96" s="114" t="s">
        <v>384</v>
      </c>
      <c r="E96" s="114" t="s">
        <v>1430</v>
      </c>
      <c r="F96" s="114" t="s">
        <v>1790</v>
      </c>
      <c r="G96" s="115" t="s">
        <v>1791</v>
      </c>
      <c r="H96" s="114" t="s">
        <v>1446</v>
      </c>
      <c r="I96" s="114" t="s">
        <v>1792</v>
      </c>
      <c r="J96" s="114" t="s">
        <v>1793</v>
      </c>
      <c r="K96" s="114"/>
      <c r="L96" s="114"/>
      <c r="M96" s="114" t="s">
        <v>266</v>
      </c>
      <c r="N96" s="114" t="s">
        <v>266</v>
      </c>
      <c r="O96" s="88" t="s">
        <v>309</v>
      </c>
    </row>
    <row r="97" spans="1:15" ht="15.75" customHeight="1">
      <c r="A97" s="66">
        <v>94</v>
      </c>
      <c r="B97" s="66" t="s">
        <v>69</v>
      </c>
      <c r="C97" s="66" t="s">
        <v>26</v>
      </c>
      <c r="D97" s="66" t="s">
        <v>384</v>
      </c>
      <c r="E97" s="66" t="s">
        <v>1430</v>
      </c>
      <c r="F97" s="66" t="s">
        <v>1794</v>
      </c>
      <c r="G97" s="68" t="s">
        <v>1795</v>
      </c>
      <c r="H97" s="66" t="s">
        <v>1446</v>
      </c>
      <c r="I97" s="66" t="s">
        <v>1796</v>
      </c>
      <c r="J97" s="66" t="s">
        <v>1797</v>
      </c>
      <c r="K97" s="66"/>
      <c r="L97" s="66"/>
      <c r="M97" s="66"/>
      <c r="N97" s="66"/>
      <c r="O97" s="88" t="s">
        <v>268</v>
      </c>
    </row>
    <row r="98" spans="1:15" ht="15.75" customHeight="1">
      <c r="A98" s="52">
        <v>95</v>
      </c>
      <c r="B98" s="52" t="s">
        <v>69</v>
      </c>
      <c r="C98" s="52" t="s">
        <v>3</v>
      </c>
      <c r="D98" s="52" t="s">
        <v>1798</v>
      </c>
      <c r="E98" s="52" t="s">
        <v>1430</v>
      </c>
      <c r="F98" s="52" t="s">
        <v>1799</v>
      </c>
      <c r="G98" s="69" t="s">
        <v>1800</v>
      </c>
      <c r="H98" s="52" t="s">
        <v>1446</v>
      </c>
      <c r="I98" s="52" t="s">
        <v>1801</v>
      </c>
      <c r="J98" s="52" t="s">
        <v>1802</v>
      </c>
      <c r="K98" s="52" t="s">
        <v>1803</v>
      </c>
      <c r="L98" s="52"/>
      <c r="M98" s="52" t="s">
        <v>266</v>
      </c>
      <c r="N98" s="52" t="s">
        <v>266</v>
      </c>
      <c r="O98" s="89" t="s">
        <v>309</v>
      </c>
    </row>
    <row r="99" spans="1:15" ht="15.75" customHeight="1">
      <c r="A99" s="52">
        <v>96</v>
      </c>
      <c r="B99" s="52" t="s">
        <v>69</v>
      </c>
      <c r="C99" s="52" t="s">
        <v>3</v>
      </c>
      <c r="D99" s="52" t="s">
        <v>1804</v>
      </c>
      <c r="E99" s="52" t="s">
        <v>1430</v>
      </c>
      <c r="F99" s="52" t="s">
        <v>1805</v>
      </c>
      <c r="G99" s="69" t="s">
        <v>1806</v>
      </c>
      <c r="H99" s="52" t="s">
        <v>1446</v>
      </c>
      <c r="I99" s="52" t="s">
        <v>1807</v>
      </c>
      <c r="J99" s="52" t="s">
        <v>1808</v>
      </c>
      <c r="K99" s="52"/>
      <c r="L99" s="52"/>
      <c r="M99" s="52" t="s">
        <v>266</v>
      </c>
      <c r="N99" s="52" t="s">
        <v>266</v>
      </c>
      <c r="O99" s="89" t="s">
        <v>309</v>
      </c>
    </row>
    <row r="100" spans="1:15" ht="15.75" customHeight="1">
      <c r="A100" s="52">
        <v>97</v>
      </c>
      <c r="B100" s="52" t="s">
        <v>69</v>
      </c>
      <c r="C100" s="52" t="s">
        <v>3</v>
      </c>
      <c r="D100" s="52" t="s">
        <v>1809</v>
      </c>
      <c r="E100" s="52" t="s">
        <v>1430</v>
      </c>
      <c r="F100" s="52" t="s">
        <v>1810</v>
      </c>
      <c r="G100" s="69" t="s">
        <v>1811</v>
      </c>
      <c r="H100" s="52" t="s">
        <v>1446</v>
      </c>
      <c r="I100" s="52" t="s">
        <v>1812</v>
      </c>
      <c r="J100" s="52" t="s">
        <v>1813</v>
      </c>
      <c r="K100" s="52" t="s">
        <v>1814</v>
      </c>
      <c r="L100" s="52"/>
      <c r="M100" s="52" t="s">
        <v>266</v>
      </c>
      <c r="N100" s="52" t="s">
        <v>266</v>
      </c>
      <c r="O100" s="89" t="s">
        <v>309</v>
      </c>
    </row>
    <row r="101" spans="1:15" ht="15.75" customHeight="1">
      <c r="A101" s="52">
        <v>98</v>
      </c>
      <c r="B101" s="52" t="s">
        <v>69</v>
      </c>
      <c r="C101" s="52" t="s">
        <v>3</v>
      </c>
      <c r="D101" s="52" t="s">
        <v>1815</v>
      </c>
      <c r="E101" s="52" t="s">
        <v>1430</v>
      </c>
      <c r="F101" s="52" t="s">
        <v>1816</v>
      </c>
      <c r="G101" s="69" t="s">
        <v>1817</v>
      </c>
      <c r="H101" s="52" t="s">
        <v>1446</v>
      </c>
      <c r="I101" s="52" t="s">
        <v>1818</v>
      </c>
      <c r="J101" s="52" t="s">
        <v>1819</v>
      </c>
      <c r="K101" s="52"/>
      <c r="L101" s="52" t="s">
        <v>1820</v>
      </c>
      <c r="M101" s="52" t="s">
        <v>266</v>
      </c>
      <c r="N101" s="52" t="s">
        <v>266</v>
      </c>
      <c r="O101" s="89" t="s">
        <v>309</v>
      </c>
    </row>
    <row r="102" spans="1:15" ht="15.75" customHeight="1">
      <c r="A102" s="52">
        <v>99</v>
      </c>
      <c r="B102" s="52" t="s">
        <v>69</v>
      </c>
      <c r="C102" s="52" t="s">
        <v>3</v>
      </c>
      <c r="D102" s="52" t="s">
        <v>1412</v>
      </c>
      <c r="E102" s="52" t="s">
        <v>1430</v>
      </c>
      <c r="F102" s="52" t="s">
        <v>1821</v>
      </c>
      <c r="G102" s="69" t="s">
        <v>1822</v>
      </c>
      <c r="H102" s="52" t="s">
        <v>1556</v>
      </c>
      <c r="I102" s="52" t="s">
        <v>1823</v>
      </c>
      <c r="J102" s="52" t="s">
        <v>1824</v>
      </c>
      <c r="K102" s="52"/>
      <c r="L102" s="52"/>
      <c r="M102" s="52" t="s">
        <v>266</v>
      </c>
      <c r="N102" s="52" t="s">
        <v>266</v>
      </c>
      <c r="O102" s="89" t="s">
        <v>309</v>
      </c>
    </row>
    <row r="103" spans="1:15" ht="15.75" customHeight="1">
      <c r="A103" s="52">
        <v>100</v>
      </c>
      <c r="B103" s="52" t="s">
        <v>69</v>
      </c>
      <c r="C103" s="52" t="s">
        <v>3</v>
      </c>
      <c r="D103" s="52" t="s">
        <v>914</v>
      </c>
      <c r="E103" s="52" t="s">
        <v>1430</v>
      </c>
      <c r="F103" s="52" t="s">
        <v>1825</v>
      </c>
      <c r="G103" s="69" t="s">
        <v>1826</v>
      </c>
      <c r="H103" s="52" t="s">
        <v>1556</v>
      </c>
      <c r="I103" s="52" t="s">
        <v>1827</v>
      </c>
      <c r="J103" s="52" t="s">
        <v>1828</v>
      </c>
      <c r="K103" s="52"/>
      <c r="L103" s="52"/>
      <c r="M103" s="52" t="s">
        <v>266</v>
      </c>
      <c r="N103" s="52" t="s">
        <v>266</v>
      </c>
      <c r="O103" s="89" t="s">
        <v>309</v>
      </c>
    </row>
    <row r="104" spans="1:15" ht="15.75" customHeight="1">
      <c r="A104" s="52">
        <v>101</v>
      </c>
      <c r="B104" s="52" t="s">
        <v>69</v>
      </c>
      <c r="C104" s="52" t="s">
        <v>3</v>
      </c>
      <c r="D104" s="52" t="s">
        <v>1829</v>
      </c>
      <c r="E104" s="52" t="s">
        <v>1430</v>
      </c>
      <c r="F104" s="52" t="s">
        <v>1830</v>
      </c>
      <c r="G104" s="69" t="s">
        <v>1831</v>
      </c>
      <c r="H104" s="52" t="s">
        <v>1446</v>
      </c>
      <c r="I104" s="52" t="s">
        <v>1832</v>
      </c>
      <c r="J104" s="52" t="s">
        <v>1833</v>
      </c>
      <c r="K104" s="52" t="s">
        <v>1834</v>
      </c>
      <c r="L104" s="52" t="s">
        <v>1835</v>
      </c>
      <c r="M104" s="52" t="s">
        <v>266</v>
      </c>
      <c r="N104" s="52" t="s">
        <v>266</v>
      </c>
      <c r="O104" s="89" t="s">
        <v>309</v>
      </c>
    </row>
    <row r="105" spans="1:15" ht="15.75" customHeight="1">
      <c r="A105" s="52">
        <v>102</v>
      </c>
      <c r="B105" s="52" t="s">
        <v>69</v>
      </c>
      <c r="C105" s="52" t="s">
        <v>3</v>
      </c>
      <c r="D105" s="52" t="s">
        <v>1836</v>
      </c>
      <c r="E105" s="52" t="s">
        <v>1430</v>
      </c>
      <c r="F105" s="52" t="s">
        <v>1837</v>
      </c>
      <c r="G105" s="69" t="s">
        <v>1838</v>
      </c>
      <c r="H105" s="52" t="s">
        <v>1446</v>
      </c>
      <c r="I105" s="52" t="s">
        <v>1839</v>
      </c>
      <c r="J105" s="52" t="s">
        <v>1840</v>
      </c>
      <c r="K105" s="52"/>
      <c r="L105" s="52"/>
      <c r="M105" s="52" t="s">
        <v>266</v>
      </c>
      <c r="N105" s="52" t="s">
        <v>266</v>
      </c>
      <c r="O105" s="89" t="s">
        <v>309</v>
      </c>
    </row>
    <row r="106" spans="1:15" ht="15.75" customHeight="1">
      <c r="A106" s="52">
        <v>103</v>
      </c>
      <c r="B106" s="52" t="s">
        <v>69</v>
      </c>
      <c r="C106" s="52" t="s">
        <v>3</v>
      </c>
      <c r="D106" s="52" t="s">
        <v>1841</v>
      </c>
      <c r="E106" s="52" t="s">
        <v>1430</v>
      </c>
      <c r="F106" s="52" t="s">
        <v>1842</v>
      </c>
      <c r="G106" s="69" t="s">
        <v>1843</v>
      </c>
      <c r="H106" s="52" t="s">
        <v>1446</v>
      </c>
      <c r="I106" s="52" t="s">
        <v>1844</v>
      </c>
      <c r="J106" s="52" t="s">
        <v>1845</v>
      </c>
      <c r="K106" s="52"/>
      <c r="L106" s="52"/>
      <c r="M106" s="52" t="s">
        <v>266</v>
      </c>
      <c r="N106" s="52" t="s">
        <v>266</v>
      </c>
      <c r="O106" s="89" t="s">
        <v>309</v>
      </c>
    </row>
    <row r="107" spans="1:15" ht="15.75" customHeight="1">
      <c r="A107" s="52">
        <v>104</v>
      </c>
      <c r="B107" s="52" t="s">
        <v>69</v>
      </c>
      <c r="C107" s="52" t="s">
        <v>3</v>
      </c>
      <c r="D107" s="52" t="s">
        <v>1846</v>
      </c>
      <c r="E107" s="52" t="s">
        <v>1430</v>
      </c>
      <c r="F107" s="52" t="s">
        <v>1847</v>
      </c>
      <c r="G107" s="69" t="s">
        <v>1848</v>
      </c>
      <c r="H107" s="52" t="s">
        <v>1446</v>
      </c>
      <c r="I107" s="52" t="s">
        <v>1849</v>
      </c>
      <c r="J107" s="52" t="s">
        <v>1850</v>
      </c>
      <c r="K107" s="52" t="s">
        <v>1851</v>
      </c>
      <c r="L107" s="52"/>
      <c r="M107" s="52" t="s">
        <v>266</v>
      </c>
      <c r="N107" s="52" t="s">
        <v>266</v>
      </c>
      <c r="O107" s="89" t="s">
        <v>309</v>
      </c>
    </row>
    <row r="108" spans="1:15" ht="15.75" customHeight="1">
      <c r="A108" s="52">
        <v>105</v>
      </c>
      <c r="B108" s="52" t="s">
        <v>69</v>
      </c>
      <c r="C108" s="52" t="s">
        <v>3</v>
      </c>
      <c r="D108" s="52" t="s">
        <v>1852</v>
      </c>
      <c r="E108" s="52" t="s">
        <v>1430</v>
      </c>
      <c r="F108" s="52" t="s">
        <v>1853</v>
      </c>
      <c r="G108" s="69" t="s">
        <v>1854</v>
      </c>
      <c r="H108" s="52" t="s">
        <v>1446</v>
      </c>
      <c r="I108" s="52" t="s">
        <v>1855</v>
      </c>
      <c r="J108" s="52" t="s">
        <v>1856</v>
      </c>
      <c r="K108" s="52" t="s">
        <v>1857</v>
      </c>
      <c r="L108" s="52"/>
      <c r="M108" s="52" t="s">
        <v>266</v>
      </c>
      <c r="N108" s="52" t="s">
        <v>266</v>
      </c>
      <c r="O108" s="89" t="s">
        <v>309</v>
      </c>
    </row>
    <row r="109" spans="1:15" ht="15.75" customHeight="1">
      <c r="A109" s="52">
        <v>106</v>
      </c>
      <c r="B109" s="52" t="s">
        <v>69</v>
      </c>
      <c r="C109" s="52" t="s">
        <v>3</v>
      </c>
      <c r="D109" s="52" t="s">
        <v>1858</v>
      </c>
      <c r="E109" s="52" t="s">
        <v>1430</v>
      </c>
      <c r="F109" s="52" t="s">
        <v>1859</v>
      </c>
      <c r="G109" s="69" t="s">
        <v>1860</v>
      </c>
      <c r="H109" s="52" t="s">
        <v>1446</v>
      </c>
      <c r="I109" s="52" t="s">
        <v>1861</v>
      </c>
      <c r="J109" s="52" t="s">
        <v>1862</v>
      </c>
      <c r="K109" s="52"/>
      <c r="L109" s="52"/>
      <c r="M109" s="52" t="s">
        <v>266</v>
      </c>
      <c r="N109" s="52" t="s">
        <v>266</v>
      </c>
      <c r="O109" s="89" t="s">
        <v>309</v>
      </c>
    </row>
    <row r="110" spans="1:15" ht="15.75" customHeight="1">
      <c r="A110" s="52">
        <v>107</v>
      </c>
      <c r="B110" s="52" t="s">
        <v>69</v>
      </c>
      <c r="C110" s="52" t="s">
        <v>3</v>
      </c>
      <c r="D110" s="52" t="s">
        <v>1725</v>
      </c>
      <c r="E110" s="52" t="s">
        <v>1430</v>
      </c>
      <c r="F110" s="52" t="s">
        <v>1863</v>
      </c>
      <c r="G110" s="69" t="s">
        <v>1864</v>
      </c>
      <c r="H110" s="52" t="s">
        <v>1446</v>
      </c>
      <c r="I110" s="52" t="s">
        <v>1865</v>
      </c>
      <c r="J110" s="52" t="s">
        <v>1866</v>
      </c>
      <c r="K110" s="52"/>
      <c r="L110" s="52"/>
      <c r="M110" s="52" t="s">
        <v>266</v>
      </c>
      <c r="N110" s="52" t="s">
        <v>266</v>
      </c>
      <c r="O110" s="89" t="s">
        <v>309</v>
      </c>
    </row>
    <row r="111" spans="1:15" ht="15.75" customHeight="1">
      <c r="A111" s="52">
        <v>108</v>
      </c>
      <c r="B111" s="52" t="s">
        <v>69</v>
      </c>
      <c r="C111" s="52" t="s">
        <v>3</v>
      </c>
      <c r="D111" s="52" t="s">
        <v>1867</v>
      </c>
      <c r="E111" s="52" t="s">
        <v>1430</v>
      </c>
      <c r="F111" s="52" t="s">
        <v>1868</v>
      </c>
      <c r="G111" s="69" t="s">
        <v>1869</v>
      </c>
      <c r="H111" s="52" t="s">
        <v>1446</v>
      </c>
      <c r="I111" s="52" t="s">
        <v>1870</v>
      </c>
      <c r="J111" s="52" t="s">
        <v>1871</v>
      </c>
      <c r="K111" s="52" t="s">
        <v>1872</v>
      </c>
      <c r="L111" s="52"/>
      <c r="M111" s="52" t="s">
        <v>266</v>
      </c>
      <c r="N111" s="52" t="s">
        <v>266</v>
      </c>
      <c r="O111" s="89" t="s">
        <v>309</v>
      </c>
    </row>
    <row r="112" spans="1:15" ht="15.75" customHeight="1">
      <c r="A112" s="52">
        <v>109</v>
      </c>
      <c r="B112" s="52" t="s">
        <v>69</v>
      </c>
      <c r="C112" s="52" t="s">
        <v>3</v>
      </c>
      <c r="D112" s="52" t="s">
        <v>1829</v>
      </c>
      <c r="E112" s="52" t="s">
        <v>1430</v>
      </c>
      <c r="F112" s="52" t="s">
        <v>1873</v>
      </c>
      <c r="G112" s="69" t="s">
        <v>1874</v>
      </c>
      <c r="H112" s="52" t="s">
        <v>1446</v>
      </c>
      <c r="I112" s="52" t="s">
        <v>1875</v>
      </c>
      <c r="J112" s="52" t="s">
        <v>1876</v>
      </c>
      <c r="K112" s="52" t="s">
        <v>1834</v>
      </c>
      <c r="L112" s="52"/>
      <c r="M112" s="52" t="s">
        <v>266</v>
      </c>
      <c r="N112" s="52" t="s">
        <v>266</v>
      </c>
      <c r="O112" s="89" t="s">
        <v>309</v>
      </c>
    </row>
    <row r="113" spans="1:15" ht="15.75" customHeight="1">
      <c r="A113" s="52">
        <v>110</v>
      </c>
      <c r="B113" s="52" t="s">
        <v>69</v>
      </c>
      <c r="C113" s="52" t="s">
        <v>3</v>
      </c>
      <c r="D113" s="52" t="s">
        <v>1877</v>
      </c>
      <c r="E113" s="52" t="s">
        <v>1430</v>
      </c>
      <c r="F113" s="52" t="s">
        <v>1878</v>
      </c>
      <c r="G113" s="69" t="s">
        <v>1879</v>
      </c>
      <c r="H113" s="52" t="s">
        <v>1446</v>
      </c>
      <c r="I113" s="52" t="s">
        <v>1880</v>
      </c>
      <c r="J113" s="52" t="s">
        <v>1881</v>
      </c>
      <c r="K113" s="52" t="s">
        <v>1882</v>
      </c>
      <c r="L113" s="52"/>
      <c r="M113" s="52" t="s">
        <v>266</v>
      </c>
      <c r="N113" s="52" t="s">
        <v>266</v>
      </c>
      <c r="O113" s="89" t="s">
        <v>309</v>
      </c>
    </row>
    <row r="114" spans="1:15" ht="15.75" customHeight="1">
      <c r="A114" s="52">
        <v>111</v>
      </c>
      <c r="B114" s="52" t="s">
        <v>69</v>
      </c>
      <c r="C114" s="52" t="s">
        <v>3</v>
      </c>
      <c r="D114" s="52" t="s">
        <v>1829</v>
      </c>
      <c r="E114" s="52" t="s">
        <v>1430</v>
      </c>
      <c r="F114" s="52" t="s">
        <v>1883</v>
      </c>
      <c r="G114" s="69" t="s">
        <v>1884</v>
      </c>
      <c r="H114" s="52" t="s">
        <v>1446</v>
      </c>
      <c r="I114" s="52" t="s">
        <v>1885</v>
      </c>
      <c r="J114" s="52" t="s">
        <v>1886</v>
      </c>
      <c r="K114" s="52" t="s">
        <v>1887</v>
      </c>
      <c r="L114" s="52"/>
      <c r="M114" s="52" t="s">
        <v>266</v>
      </c>
      <c r="N114" s="52" t="s">
        <v>266</v>
      </c>
      <c r="O114" s="89" t="s">
        <v>309</v>
      </c>
    </row>
    <row r="115" spans="1:15" ht="15.75" customHeight="1">
      <c r="A115" s="52">
        <v>112</v>
      </c>
      <c r="B115" s="52" t="s">
        <v>69</v>
      </c>
      <c r="C115" s="52" t="s">
        <v>3</v>
      </c>
      <c r="D115" s="52" t="s">
        <v>1888</v>
      </c>
      <c r="E115" s="52" t="s">
        <v>1430</v>
      </c>
      <c r="F115" s="52" t="s">
        <v>1889</v>
      </c>
      <c r="G115" s="69" t="s">
        <v>1890</v>
      </c>
      <c r="H115" s="52" t="s">
        <v>1446</v>
      </c>
      <c r="I115" s="52" t="s">
        <v>1891</v>
      </c>
      <c r="J115" s="52" t="s">
        <v>1892</v>
      </c>
      <c r="K115" s="52" t="s">
        <v>1893</v>
      </c>
      <c r="L115" s="52"/>
      <c r="M115" s="52" t="s">
        <v>266</v>
      </c>
      <c r="N115" s="52" t="s">
        <v>266</v>
      </c>
      <c r="O115" s="89" t="s">
        <v>309</v>
      </c>
    </row>
    <row r="116" spans="1:15" ht="15.75" customHeight="1">
      <c r="A116" s="52">
        <v>113</v>
      </c>
      <c r="B116" s="52" t="s">
        <v>69</v>
      </c>
      <c r="C116" s="52" t="s">
        <v>3</v>
      </c>
      <c r="D116" s="52"/>
      <c r="E116" s="52" t="s">
        <v>1430</v>
      </c>
      <c r="F116" s="52" t="s">
        <v>1894</v>
      </c>
      <c r="G116" s="69" t="s">
        <v>1895</v>
      </c>
      <c r="H116" s="52" t="s">
        <v>1446</v>
      </c>
      <c r="I116" s="52" t="s">
        <v>1896</v>
      </c>
      <c r="J116" s="52" t="s">
        <v>1897</v>
      </c>
      <c r="K116" s="52"/>
      <c r="L116" s="52"/>
      <c r="M116" s="52" t="s">
        <v>266</v>
      </c>
      <c r="N116" s="52" t="s">
        <v>266</v>
      </c>
      <c r="O116" s="89" t="s">
        <v>309</v>
      </c>
    </row>
    <row r="117" spans="1:15" ht="15.75" customHeight="1">
      <c r="A117" s="52">
        <v>114</v>
      </c>
      <c r="B117" s="52" t="s">
        <v>69</v>
      </c>
      <c r="C117" s="52" t="s">
        <v>3</v>
      </c>
      <c r="D117" s="52" t="s">
        <v>1898</v>
      </c>
      <c r="E117" s="52" t="s">
        <v>1430</v>
      </c>
      <c r="F117" s="52" t="s">
        <v>1899</v>
      </c>
      <c r="G117" s="69" t="s">
        <v>1900</v>
      </c>
      <c r="H117" s="52" t="s">
        <v>1446</v>
      </c>
      <c r="I117" s="52" t="s">
        <v>1901</v>
      </c>
      <c r="J117" s="52" t="s">
        <v>1902</v>
      </c>
      <c r="K117" s="52"/>
      <c r="L117" s="52"/>
      <c r="M117" s="52" t="s">
        <v>266</v>
      </c>
      <c r="N117" s="52" t="s">
        <v>266</v>
      </c>
      <c r="O117" s="89" t="s">
        <v>309</v>
      </c>
    </row>
    <row r="118" spans="1:15" ht="15.75" customHeight="1">
      <c r="A118" s="52">
        <v>115</v>
      </c>
      <c r="B118" s="52" t="s">
        <v>69</v>
      </c>
      <c r="C118" s="52" t="s">
        <v>3</v>
      </c>
      <c r="D118" s="52" t="s">
        <v>1829</v>
      </c>
      <c r="E118" s="52" t="s">
        <v>1430</v>
      </c>
      <c r="F118" s="52" t="s">
        <v>1903</v>
      </c>
      <c r="G118" s="69" t="s">
        <v>1904</v>
      </c>
      <c r="H118" s="52" t="s">
        <v>1446</v>
      </c>
      <c r="I118" s="52" t="s">
        <v>1905</v>
      </c>
      <c r="J118" s="52" t="s">
        <v>1906</v>
      </c>
      <c r="K118" s="52" t="s">
        <v>1887</v>
      </c>
      <c r="L118" s="52"/>
      <c r="M118" s="52" t="s">
        <v>266</v>
      </c>
      <c r="N118" s="52" t="s">
        <v>266</v>
      </c>
      <c r="O118" s="89" t="s">
        <v>309</v>
      </c>
    </row>
    <row r="119" spans="1:15" ht="15.75" customHeight="1">
      <c r="A119" s="52">
        <v>116</v>
      </c>
      <c r="B119" s="52" t="s">
        <v>69</v>
      </c>
      <c r="C119" s="52" t="s">
        <v>3</v>
      </c>
      <c r="D119" s="52" t="s">
        <v>1907</v>
      </c>
      <c r="E119" s="52" t="s">
        <v>1430</v>
      </c>
      <c r="F119" s="52" t="s">
        <v>1908</v>
      </c>
      <c r="G119" s="69" t="s">
        <v>1909</v>
      </c>
      <c r="H119" s="52" t="s">
        <v>1446</v>
      </c>
      <c r="I119" s="52" t="s">
        <v>1910</v>
      </c>
      <c r="J119" s="52" t="s">
        <v>1911</v>
      </c>
      <c r="K119" s="52" t="s">
        <v>1912</v>
      </c>
      <c r="L119" s="52"/>
      <c r="M119" s="52" t="s">
        <v>266</v>
      </c>
      <c r="N119" s="52" t="s">
        <v>266</v>
      </c>
      <c r="O119" s="89" t="s">
        <v>309</v>
      </c>
    </row>
    <row r="120" spans="1:15" ht="15.75" customHeight="1">
      <c r="A120" s="52">
        <v>117</v>
      </c>
      <c r="B120" s="52" t="s">
        <v>69</v>
      </c>
      <c r="C120" s="52" t="s">
        <v>3</v>
      </c>
      <c r="D120" s="52" t="s">
        <v>1836</v>
      </c>
      <c r="E120" s="52" t="s">
        <v>1430</v>
      </c>
      <c r="F120" s="52" t="s">
        <v>1913</v>
      </c>
      <c r="G120" s="69" t="s">
        <v>1914</v>
      </c>
      <c r="H120" s="52" t="s">
        <v>1446</v>
      </c>
      <c r="I120" s="52" t="s">
        <v>1915</v>
      </c>
      <c r="J120" s="52" t="s">
        <v>1916</v>
      </c>
      <c r="K120" s="52"/>
      <c r="L120" s="52"/>
      <c r="M120" s="52" t="s">
        <v>266</v>
      </c>
      <c r="N120" s="52" t="s">
        <v>266</v>
      </c>
      <c r="O120" s="89" t="s">
        <v>309</v>
      </c>
    </row>
    <row r="121" spans="1:15" ht="15.75" customHeight="1">
      <c r="A121" s="52">
        <v>118</v>
      </c>
      <c r="B121" s="52" t="s">
        <v>69</v>
      </c>
      <c r="C121" s="52" t="s">
        <v>3</v>
      </c>
      <c r="D121" s="52" t="s">
        <v>1829</v>
      </c>
      <c r="E121" s="52" t="s">
        <v>1430</v>
      </c>
      <c r="F121" s="52" t="s">
        <v>1917</v>
      </c>
      <c r="G121" s="69" t="s">
        <v>1918</v>
      </c>
      <c r="H121" s="52" t="s">
        <v>1446</v>
      </c>
      <c r="I121" s="52" t="s">
        <v>1919</v>
      </c>
      <c r="J121" s="52" t="s">
        <v>1920</v>
      </c>
      <c r="K121" s="52" t="s">
        <v>1887</v>
      </c>
      <c r="L121" s="52" t="s">
        <v>1835</v>
      </c>
      <c r="M121" s="52" t="s">
        <v>266</v>
      </c>
      <c r="N121" s="52" t="s">
        <v>266</v>
      </c>
      <c r="O121" s="89" t="s">
        <v>309</v>
      </c>
    </row>
    <row r="122" spans="1:15" ht="15.75" customHeight="1">
      <c r="A122" s="114">
        <v>119</v>
      </c>
      <c r="B122" s="114" t="s">
        <v>69</v>
      </c>
      <c r="C122" s="114" t="s">
        <v>3</v>
      </c>
      <c r="D122" s="114"/>
      <c r="E122" s="114" t="s">
        <v>1531</v>
      </c>
      <c r="F122" s="114" t="s">
        <v>1921</v>
      </c>
      <c r="G122" s="115" t="s">
        <v>1922</v>
      </c>
      <c r="H122" s="114" t="s">
        <v>1921</v>
      </c>
      <c r="I122" s="114" t="s">
        <v>1923</v>
      </c>
      <c r="J122" s="114" t="s">
        <v>1924</v>
      </c>
      <c r="K122" s="114"/>
      <c r="L122" s="114" t="s">
        <v>1925</v>
      </c>
      <c r="M122" s="114" t="s">
        <v>267</v>
      </c>
      <c r="N122" s="114" t="s">
        <v>266</v>
      </c>
      <c r="O122" s="89" t="s">
        <v>320</v>
      </c>
    </row>
    <row r="123" spans="1:15" ht="15.75" customHeight="1">
      <c r="A123" s="114">
        <v>120</v>
      </c>
      <c r="B123" s="114" t="s">
        <v>303</v>
      </c>
      <c r="C123" s="160" t="s">
        <v>17</v>
      </c>
      <c r="D123" s="114" t="s">
        <v>1926</v>
      </c>
      <c r="E123" s="114" t="s">
        <v>1531</v>
      </c>
      <c r="F123" s="114" t="s">
        <v>1927</v>
      </c>
      <c r="G123" s="70" t="s">
        <v>1536</v>
      </c>
      <c r="H123" s="114" t="s">
        <v>1427</v>
      </c>
      <c r="I123" s="114" t="s">
        <v>1537</v>
      </c>
      <c r="J123" s="114" t="s">
        <v>352</v>
      </c>
      <c r="K123" s="114" t="s">
        <v>1928</v>
      </c>
      <c r="L123" s="114"/>
      <c r="M123" s="114" t="s">
        <v>266</v>
      </c>
      <c r="N123" s="114" t="s">
        <v>266</v>
      </c>
      <c r="O123" s="88" t="s">
        <v>309</v>
      </c>
    </row>
    <row r="124" spans="1:15" ht="15.75" customHeight="1">
      <c r="A124" s="52">
        <v>121</v>
      </c>
      <c r="B124" s="52" t="s">
        <v>69</v>
      </c>
      <c r="C124" s="52" t="s">
        <v>8</v>
      </c>
      <c r="D124" s="52" t="s">
        <v>270</v>
      </c>
      <c r="E124" s="52" t="s">
        <v>1430</v>
      </c>
      <c r="F124" s="52" t="s">
        <v>1929</v>
      </c>
      <c r="G124" s="69" t="s">
        <v>1930</v>
      </c>
      <c r="H124" s="52" t="s">
        <v>1446</v>
      </c>
      <c r="I124" s="52" t="s">
        <v>1931</v>
      </c>
      <c r="J124" s="52" t="s">
        <v>1932</v>
      </c>
      <c r="K124" s="52" t="s">
        <v>1933</v>
      </c>
      <c r="L124" s="52"/>
      <c r="M124" s="52" t="s">
        <v>266</v>
      </c>
      <c r="N124" s="52" t="s">
        <v>266</v>
      </c>
      <c r="O124" s="89" t="s">
        <v>309</v>
      </c>
    </row>
    <row r="125" spans="1:15" ht="15.75" customHeight="1">
      <c r="A125" s="52">
        <v>122</v>
      </c>
      <c r="B125" s="52" t="s">
        <v>69</v>
      </c>
      <c r="C125" s="52" t="s">
        <v>8</v>
      </c>
      <c r="D125" s="52" t="s">
        <v>270</v>
      </c>
      <c r="E125" s="52" t="s">
        <v>1430</v>
      </c>
      <c r="F125" s="52" t="s">
        <v>1934</v>
      </c>
      <c r="G125" s="69" t="s">
        <v>1935</v>
      </c>
      <c r="H125" s="52" t="s">
        <v>1446</v>
      </c>
      <c r="I125" s="52" t="s">
        <v>1936</v>
      </c>
      <c r="J125" s="52" t="s">
        <v>1937</v>
      </c>
      <c r="K125" s="52" t="s">
        <v>1938</v>
      </c>
      <c r="L125" s="52"/>
      <c r="M125" s="52" t="s">
        <v>266</v>
      </c>
      <c r="N125" s="52" t="s">
        <v>266</v>
      </c>
      <c r="O125" s="89" t="s">
        <v>309</v>
      </c>
    </row>
    <row r="126" spans="1:15" s="119" customFormat="1" ht="15.75" customHeight="1">
      <c r="A126" s="114">
        <v>123</v>
      </c>
      <c r="B126" s="114" t="s">
        <v>105</v>
      </c>
      <c r="C126" s="114" t="s">
        <v>1939</v>
      </c>
      <c r="D126" s="114"/>
      <c r="E126" s="114" t="s">
        <v>1430</v>
      </c>
      <c r="F126" s="114" t="s">
        <v>1940</v>
      </c>
      <c r="G126" s="115" t="s">
        <v>1941</v>
      </c>
      <c r="H126" s="66" t="s">
        <v>1556</v>
      </c>
      <c r="I126" s="114" t="s">
        <v>1942</v>
      </c>
      <c r="J126" s="114" t="s">
        <v>1943</v>
      </c>
      <c r="K126" s="66"/>
      <c r="L126" s="114"/>
      <c r="M126" s="114" t="s">
        <v>266</v>
      </c>
      <c r="N126" s="114" t="s">
        <v>266</v>
      </c>
      <c r="O126" s="125" t="s">
        <v>309</v>
      </c>
    </row>
    <row r="127" spans="1:15" ht="15.75" customHeight="1">
      <c r="A127" s="66">
        <v>124</v>
      </c>
      <c r="B127" s="66" t="s">
        <v>105</v>
      </c>
      <c r="C127" s="66" t="s">
        <v>1939</v>
      </c>
      <c r="D127" s="66"/>
      <c r="E127" s="66" t="s">
        <v>1944</v>
      </c>
      <c r="F127" s="66" t="s">
        <v>352</v>
      </c>
      <c r="G127" s="68" t="s">
        <v>352</v>
      </c>
      <c r="H127" s="66" t="s">
        <v>1945</v>
      </c>
      <c r="I127" s="66" t="s">
        <v>1946</v>
      </c>
      <c r="J127" s="66" t="s">
        <v>352</v>
      </c>
      <c r="K127" s="66"/>
      <c r="L127" s="66"/>
      <c r="M127" s="66"/>
      <c r="N127" s="66"/>
      <c r="O127" s="88" t="s">
        <v>268</v>
      </c>
    </row>
    <row r="128" spans="1:15" ht="15.75" customHeight="1">
      <c r="A128" s="66">
        <v>125</v>
      </c>
      <c r="B128" s="66" t="s">
        <v>105</v>
      </c>
      <c r="C128" s="66" t="s">
        <v>1939</v>
      </c>
      <c r="D128" s="66"/>
      <c r="E128" s="66" t="s">
        <v>1944</v>
      </c>
      <c r="F128" s="66" t="s">
        <v>352</v>
      </c>
      <c r="G128" s="68" t="s">
        <v>352</v>
      </c>
      <c r="H128" s="66" t="s">
        <v>1947</v>
      </c>
      <c r="I128" s="66" t="s">
        <v>1948</v>
      </c>
      <c r="J128" s="66" t="s">
        <v>352</v>
      </c>
      <c r="K128" s="66"/>
      <c r="L128" s="66"/>
      <c r="M128" s="66"/>
      <c r="N128" s="66"/>
      <c r="O128" s="88" t="s">
        <v>268</v>
      </c>
    </row>
    <row r="129" spans="1:15" ht="15.75" customHeight="1">
      <c r="A129" s="66">
        <v>126</v>
      </c>
      <c r="B129" s="66" t="s">
        <v>105</v>
      </c>
      <c r="C129" s="66" t="s">
        <v>1939</v>
      </c>
      <c r="D129" s="66"/>
      <c r="E129" s="66" t="s">
        <v>1944</v>
      </c>
      <c r="F129" s="66" t="s">
        <v>352</v>
      </c>
      <c r="G129" s="68" t="s">
        <v>352</v>
      </c>
      <c r="H129" s="66" t="s">
        <v>1947</v>
      </c>
      <c r="I129" s="66" t="s">
        <v>1949</v>
      </c>
      <c r="J129" s="66" t="s">
        <v>352</v>
      </c>
      <c r="K129" s="66"/>
      <c r="L129" s="66"/>
      <c r="M129" s="66"/>
      <c r="N129" s="66"/>
      <c r="O129" s="88" t="s">
        <v>268</v>
      </c>
    </row>
    <row r="130" spans="1:15" s="119" customFormat="1" ht="15.75" customHeight="1">
      <c r="A130" s="114">
        <v>127</v>
      </c>
      <c r="B130" s="114" t="s">
        <v>105</v>
      </c>
      <c r="C130" s="114" t="s">
        <v>1939</v>
      </c>
      <c r="D130" s="114"/>
      <c r="E130" s="114" t="s">
        <v>1944</v>
      </c>
      <c r="F130" s="114" t="s">
        <v>352</v>
      </c>
      <c r="G130" s="177" t="s">
        <v>1950</v>
      </c>
      <c r="H130" s="66" t="s">
        <v>1947</v>
      </c>
      <c r="I130" s="114" t="s">
        <v>1951</v>
      </c>
      <c r="J130" s="114" t="s">
        <v>352</v>
      </c>
      <c r="K130" s="66"/>
      <c r="L130" s="114"/>
      <c r="M130" s="114" t="s">
        <v>266</v>
      </c>
      <c r="N130" s="114" t="s">
        <v>266</v>
      </c>
      <c r="O130" s="125" t="s">
        <v>309</v>
      </c>
    </row>
    <row r="131" spans="1:15" s="119" customFormat="1" ht="15.75" customHeight="1">
      <c r="A131" s="114">
        <v>128</v>
      </c>
      <c r="B131" s="114" t="s">
        <v>105</v>
      </c>
      <c r="C131" s="114" t="s">
        <v>1939</v>
      </c>
      <c r="D131" s="114"/>
      <c r="E131" s="114" t="s">
        <v>1944</v>
      </c>
      <c r="F131" s="114" t="s">
        <v>352</v>
      </c>
      <c r="G131" s="177" t="s">
        <v>1952</v>
      </c>
      <c r="H131" s="66" t="s">
        <v>1947</v>
      </c>
      <c r="I131" s="114" t="s">
        <v>1953</v>
      </c>
      <c r="J131" s="114" t="s">
        <v>352</v>
      </c>
      <c r="K131" s="66"/>
      <c r="L131" s="114" t="s">
        <v>1954</v>
      </c>
      <c r="M131" s="114" t="s">
        <v>266</v>
      </c>
      <c r="N131" s="114" t="s">
        <v>266</v>
      </c>
      <c r="O131" s="125" t="s">
        <v>309</v>
      </c>
    </row>
    <row r="132" spans="1:15" s="119" customFormat="1" ht="15.75" customHeight="1">
      <c r="A132" s="114">
        <v>126</v>
      </c>
      <c r="B132" s="114" t="s">
        <v>105</v>
      </c>
      <c r="C132" s="114" t="s">
        <v>1939</v>
      </c>
      <c r="D132" s="114"/>
      <c r="E132" s="114" t="s">
        <v>1944</v>
      </c>
      <c r="F132" s="114"/>
      <c r="G132" s="177" t="s">
        <v>1955</v>
      </c>
      <c r="H132" s="66" t="s">
        <v>1956</v>
      </c>
      <c r="I132" s="66" t="s">
        <v>1957</v>
      </c>
      <c r="J132" s="114" t="s">
        <v>352</v>
      </c>
      <c r="K132" s="66"/>
      <c r="L132" s="114" t="s">
        <v>1958</v>
      </c>
      <c r="M132" s="114" t="s">
        <v>266</v>
      </c>
      <c r="N132" s="114" t="s">
        <v>267</v>
      </c>
      <c r="O132" s="125" t="s">
        <v>316</v>
      </c>
    </row>
    <row r="133" spans="1:15" ht="15.75" customHeight="1">
      <c r="A133" s="52">
        <v>129</v>
      </c>
      <c r="B133" s="52" t="s">
        <v>105</v>
      </c>
      <c r="C133" s="52" t="s">
        <v>9</v>
      </c>
      <c r="D133" s="52" t="s">
        <v>270</v>
      </c>
      <c r="E133" s="52" t="s">
        <v>1944</v>
      </c>
      <c r="F133" s="52" t="s">
        <v>352</v>
      </c>
      <c r="G133" s="69" t="s">
        <v>1959</v>
      </c>
      <c r="H133" s="52" t="s">
        <v>1960</v>
      </c>
      <c r="I133" s="52" t="s">
        <v>1961</v>
      </c>
      <c r="J133" s="52" t="s">
        <v>352</v>
      </c>
      <c r="K133" s="52" t="s">
        <v>1962</v>
      </c>
      <c r="L133" s="126" t="s">
        <v>1963</v>
      </c>
      <c r="M133" s="52" t="s">
        <v>266</v>
      </c>
      <c r="N133" s="52" t="s">
        <v>266</v>
      </c>
      <c r="O133" s="89" t="s">
        <v>316</v>
      </c>
    </row>
    <row r="134" spans="1:15" ht="15.75" customHeight="1">
      <c r="A134" s="66">
        <v>130</v>
      </c>
      <c r="B134" s="66" t="s">
        <v>105</v>
      </c>
      <c r="C134" s="66" t="s">
        <v>1964</v>
      </c>
      <c r="D134" s="66" t="s">
        <v>378</v>
      </c>
      <c r="E134" s="66" t="s">
        <v>1944</v>
      </c>
      <c r="F134" s="66" t="s">
        <v>352</v>
      </c>
      <c r="G134" s="68" t="s">
        <v>352</v>
      </c>
      <c r="H134" s="66" t="s">
        <v>1947</v>
      </c>
      <c r="I134" s="66" t="s">
        <v>1965</v>
      </c>
      <c r="J134" s="66" t="s">
        <v>352</v>
      </c>
      <c r="K134" s="66"/>
      <c r="L134" s="66"/>
      <c r="M134" s="66" t="s">
        <v>266</v>
      </c>
      <c r="N134" s="66"/>
      <c r="O134" s="88"/>
    </row>
    <row r="135" spans="1:15" ht="15.75" customHeight="1">
      <c r="A135" s="66">
        <v>131</v>
      </c>
      <c r="B135" s="66" t="s">
        <v>105</v>
      </c>
      <c r="C135" s="66" t="s">
        <v>1964</v>
      </c>
      <c r="D135" s="66" t="s">
        <v>378</v>
      </c>
      <c r="E135" s="66" t="s">
        <v>1944</v>
      </c>
      <c r="F135" s="66" t="s">
        <v>352</v>
      </c>
      <c r="G135" s="68" t="s">
        <v>352</v>
      </c>
      <c r="H135" s="66" t="s">
        <v>1966</v>
      </c>
      <c r="I135" s="66" t="s">
        <v>1967</v>
      </c>
      <c r="J135" s="66" t="s">
        <v>352</v>
      </c>
      <c r="K135" s="66"/>
      <c r="L135" s="66"/>
      <c r="M135" s="66" t="s">
        <v>266</v>
      </c>
      <c r="N135" s="66"/>
      <c r="O135" s="88"/>
    </row>
    <row r="136" spans="1:15" ht="15.75" customHeight="1">
      <c r="A136" s="66">
        <v>132</v>
      </c>
      <c r="B136" s="66" t="s">
        <v>105</v>
      </c>
      <c r="C136" s="66" t="s">
        <v>1968</v>
      </c>
      <c r="D136" s="66"/>
      <c r="E136" s="66" t="s">
        <v>1969</v>
      </c>
      <c r="F136" s="66" t="s">
        <v>352</v>
      </c>
      <c r="G136" s="68" t="s">
        <v>352</v>
      </c>
      <c r="H136" s="66" t="s">
        <v>1970</v>
      </c>
      <c r="I136" s="66" t="s">
        <v>1971</v>
      </c>
      <c r="J136" s="66" t="s">
        <v>352</v>
      </c>
      <c r="K136" s="66"/>
      <c r="L136" s="66"/>
      <c r="M136" s="66"/>
      <c r="N136" s="66"/>
      <c r="O136" s="88"/>
    </row>
    <row r="137" spans="1:15" ht="15.75" customHeight="1">
      <c r="A137" s="66">
        <v>133</v>
      </c>
      <c r="B137" s="66" t="s">
        <v>105</v>
      </c>
      <c r="C137" s="66" t="s">
        <v>1968</v>
      </c>
      <c r="D137" s="66"/>
      <c r="E137" s="66" t="s">
        <v>1969</v>
      </c>
      <c r="F137" s="66" t="s">
        <v>352</v>
      </c>
      <c r="G137" s="68" t="s">
        <v>352</v>
      </c>
      <c r="H137" s="66" t="s">
        <v>1970</v>
      </c>
      <c r="I137" s="66" t="s">
        <v>1972</v>
      </c>
      <c r="J137" s="66" t="s">
        <v>352</v>
      </c>
      <c r="K137" s="66"/>
      <c r="L137" s="66"/>
      <c r="M137" s="66"/>
      <c r="N137" s="66"/>
      <c r="O137" s="88"/>
    </row>
    <row r="138" spans="1:15" ht="15.75" customHeight="1">
      <c r="A138" s="66">
        <v>134</v>
      </c>
      <c r="B138" s="66" t="s">
        <v>105</v>
      </c>
      <c r="C138" s="66" t="s">
        <v>1968</v>
      </c>
      <c r="D138" s="66"/>
      <c r="E138" s="66" t="s">
        <v>1969</v>
      </c>
      <c r="F138" s="66" t="s">
        <v>352</v>
      </c>
      <c r="G138" s="68" t="s">
        <v>352</v>
      </c>
      <c r="H138" s="66" t="s">
        <v>1970</v>
      </c>
      <c r="I138" s="66" t="s">
        <v>1973</v>
      </c>
      <c r="J138" s="66" t="s">
        <v>352</v>
      </c>
      <c r="K138" s="66"/>
      <c r="L138" s="66"/>
      <c r="M138" s="66"/>
      <c r="N138" s="66"/>
      <c r="O138" s="88"/>
    </row>
    <row r="139" spans="1:15" ht="15.75" customHeight="1">
      <c r="A139" s="66">
        <v>135</v>
      </c>
      <c r="B139" s="66" t="s">
        <v>105</v>
      </c>
      <c r="C139" s="66" t="s">
        <v>1968</v>
      </c>
      <c r="D139" s="66"/>
      <c r="E139" s="66" t="s">
        <v>1969</v>
      </c>
      <c r="F139" s="66" t="s">
        <v>352</v>
      </c>
      <c r="G139" s="68" t="s">
        <v>352</v>
      </c>
      <c r="H139" s="66" t="s">
        <v>1970</v>
      </c>
      <c r="I139" s="66" t="s">
        <v>1974</v>
      </c>
      <c r="J139" s="66" t="s">
        <v>352</v>
      </c>
      <c r="K139" s="66"/>
      <c r="L139" s="66"/>
      <c r="M139" s="66"/>
      <c r="N139" s="66"/>
      <c r="O139" s="88"/>
    </row>
    <row r="140" spans="1:15" ht="15.75" customHeight="1">
      <c r="A140" s="66">
        <v>136</v>
      </c>
      <c r="B140" s="66" t="s">
        <v>105</v>
      </c>
      <c r="C140" s="66" t="s">
        <v>1968</v>
      </c>
      <c r="D140" s="66"/>
      <c r="E140" s="66" t="s">
        <v>1969</v>
      </c>
      <c r="F140" s="66" t="s">
        <v>352</v>
      </c>
      <c r="G140" s="68" t="s">
        <v>352</v>
      </c>
      <c r="H140" s="66" t="s">
        <v>1970</v>
      </c>
      <c r="I140" s="66" t="s">
        <v>1975</v>
      </c>
      <c r="J140" s="66" t="s">
        <v>352</v>
      </c>
      <c r="K140" s="66"/>
      <c r="L140" s="66"/>
      <c r="M140" s="66"/>
      <c r="N140" s="66"/>
      <c r="O140" s="88"/>
    </row>
    <row r="141" spans="1:15" ht="15.75" customHeight="1">
      <c r="A141" s="66">
        <v>137</v>
      </c>
      <c r="B141" s="66" t="s">
        <v>105</v>
      </c>
      <c r="C141" s="66" t="s">
        <v>1976</v>
      </c>
      <c r="D141" s="66"/>
      <c r="E141" s="66" t="s">
        <v>1430</v>
      </c>
      <c r="F141" s="66" t="s">
        <v>1977</v>
      </c>
      <c r="G141" s="68" t="s">
        <v>1978</v>
      </c>
      <c r="H141" s="66" t="s">
        <v>1446</v>
      </c>
      <c r="I141" s="66" t="s">
        <v>1979</v>
      </c>
      <c r="J141" s="66" t="s">
        <v>1980</v>
      </c>
      <c r="K141" s="66"/>
      <c r="L141" s="66"/>
      <c r="M141" s="66"/>
      <c r="N141" s="66"/>
      <c r="O141" s="88"/>
    </row>
    <row r="142" spans="1:15" ht="15.75" customHeight="1">
      <c r="A142" s="66">
        <v>138</v>
      </c>
      <c r="B142" s="66" t="s">
        <v>105</v>
      </c>
      <c r="C142" s="66" t="s">
        <v>1976</v>
      </c>
      <c r="D142" s="66"/>
      <c r="E142" s="66" t="s">
        <v>1430</v>
      </c>
      <c r="F142" s="66" t="s">
        <v>1981</v>
      </c>
      <c r="G142" s="68" t="s">
        <v>1982</v>
      </c>
      <c r="H142" s="66" t="s">
        <v>1446</v>
      </c>
      <c r="I142" s="168" t="s">
        <v>1983</v>
      </c>
      <c r="J142" s="66" t="s">
        <v>1984</v>
      </c>
      <c r="K142" s="66"/>
      <c r="L142" s="66"/>
      <c r="M142" s="66"/>
      <c r="N142" s="66"/>
      <c r="O142" s="88"/>
    </row>
    <row r="143" spans="1:15" ht="15.75" customHeight="1">
      <c r="A143" s="33"/>
      <c r="D143" s="51"/>
      <c r="I143" s="179"/>
      <c r="K143" s="33"/>
      <c r="L143" s="33"/>
      <c r="M143" s="33"/>
      <c r="N143" s="41"/>
    </row>
    <row r="144" spans="1:15" ht="15.75" customHeight="1">
      <c r="A144" s="33"/>
      <c r="D144" s="51"/>
      <c r="K144" s="33"/>
      <c r="L144" s="33"/>
      <c r="M144" s="33"/>
      <c r="N144" s="41"/>
    </row>
    <row r="145" spans="1:14" ht="15.75" customHeight="1">
      <c r="A145" s="33"/>
      <c r="D145" s="51"/>
      <c r="I145" s="183"/>
      <c r="K145" s="33"/>
      <c r="L145" s="33"/>
      <c r="M145" s="33"/>
      <c r="N145" s="41"/>
    </row>
    <row r="146" spans="1:14" ht="15.75" customHeight="1">
      <c r="A146" s="33"/>
      <c r="D146" s="51"/>
      <c r="I146" s="183"/>
      <c r="K146" s="33"/>
      <c r="L146" s="33"/>
      <c r="M146" s="33"/>
      <c r="N146" s="41"/>
    </row>
    <row r="147" spans="1:14" ht="15.75" customHeight="1">
      <c r="A147" s="33"/>
      <c r="D147" s="51"/>
      <c r="I147" s="183"/>
      <c r="K147" s="33"/>
      <c r="L147" s="33"/>
      <c r="M147" s="33"/>
      <c r="N147" s="41"/>
    </row>
    <row r="148" spans="1:14" ht="15.75" customHeight="1">
      <c r="A148" s="33"/>
      <c r="D148" s="51"/>
      <c r="I148" s="183"/>
      <c r="K148" s="33"/>
      <c r="L148" s="33"/>
      <c r="M148" s="33"/>
      <c r="N148" s="41"/>
    </row>
    <row r="149" spans="1:14" ht="15.75" customHeight="1">
      <c r="A149" s="33"/>
      <c r="D149" s="51"/>
      <c r="I149" s="183"/>
      <c r="K149" s="33"/>
      <c r="L149" s="33"/>
      <c r="M149" s="33"/>
      <c r="N149" s="41"/>
    </row>
    <row r="150" spans="1:14" ht="15.75" customHeight="1">
      <c r="A150" s="33"/>
      <c r="D150" s="51"/>
      <c r="I150" s="183"/>
      <c r="K150" s="33"/>
      <c r="L150" s="33"/>
      <c r="M150" s="33"/>
      <c r="N150" s="41"/>
    </row>
    <row r="151" spans="1:14" ht="15.75" customHeight="1">
      <c r="A151" s="33"/>
      <c r="D151" s="51"/>
      <c r="I151" s="183"/>
      <c r="K151" s="33"/>
      <c r="L151" s="33"/>
      <c r="M151" s="33"/>
      <c r="N151" s="41"/>
    </row>
    <row r="152" spans="1:14" ht="15.75" customHeight="1">
      <c r="A152" s="33"/>
      <c r="D152" s="51"/>
      <c r="I152" s="183"/>
      <c r="K152" s="33"/>
      <c r="L152" s="33"/>
      <c r="M152" s="33"/>
      <c r="N152" s="41"/>
    </row>
    <row r="153" spans="1:14" ht="15.75" customHeight="1">
      <c r="A153" s="33"/>
      <c r="D153" s="51"/>
      <c r="I153" s="183"/>
      <c r="K153" s="33"/>
      <c r="L153" s="33"/>
      <c r="M153" s="33"/>
      <c r="N153" s="41"/>
    </row>
    <row r="154" spans="1:14" ht="15.75" customHeight="1">
      <c r="A154" s="33"/>
      <c r="D154" s="51"/>
      <c r="I154" s="183"/>
      <c r="K154" s="33"/>
      <c r="L154" s="33"/>
      <c r="M154" s="33"/>
      <c r="N154" s="41"/>
    </row>
    <row r="155" spans="1:14" ht="15.75" customHeight="1">
      <c r="A155" s="33"/>
      <c r="D155" s="51"/>
      <c r="I155" s="183"/>
      <c r="K155" s="33"/>
      <c r="L155" s="33"/>
      <c r="M155" s="33"/>
      <c r="N155" s="41"/>
    </row>
    <row r="156" spans="1:14" ht="15.75" customHeight="1">
      <c r="A156" s="33"/>
      <c r="D156" s="51"/>
      <c r="I156" s="183"/>
      <c r="K156" s="33"/>
      <c r="L156" s="33"/>
      <c r="M156" s="33"/>
      <c r="N156" s="41"/>
    </row>
    <row r="157" spans="1:14" ht="15.75" customHeight="1">
      <c r="A157" s="33"/>
      <c r="D157" s="51"/>
      <c r="I157" s="183"/>
      <c r="K157" s="33"/>
      <c r="L157" s="33"/>
      <c r="M157" s="33"/>
      <c r="N157" s="41"/>
    </row>
    <row r="158" spans="1:14" ht="15.75" customHeight="1">
      <c r="A158" s="33"/>
      <c r="D158" s="51"/>
      <c r="I158" s="183"/>
      <c r="K158" s="33"/>
      <c r="L158" s="33"/>
      <c r="M158" s="33"/>
      <c r="N158" s="41"/>
    </row>
    <row r="159" spans="1:14" ht="15.75" customHeight="1">
      <c r="A159" s="33"/>
      <c r="D159" s="51"/>
      <c r="K159" s="33"/>
      <c r="L159" s="33"/>
      <c r="M159" s="33"/>
      <c r="N159" s="41"/>
    </row>
    <row r="160" spans="1:14" ht="15.75" customHeight="1">
      <c r="A160" s="33"/>
      <c r="D160" s="51"/>
      <c r="K160" s="33"/>
      <c r="L160" s="33"/>
      <c r="M160" s="33"/>
      <c r="N160" s="41"/>
    </row>
    <row r="161" spans="1:14" ht="15.75" customHeight="1">
      <c r="A161" s="33"/>
      <c r="D161" s="51"/>
      <c r="K161" s="33"/>
      <c r="L161" s="33"/>
      <c r="M161" s="33"/>
      <c r="N161" s="41"/>
    </row>
    <row r="162" spans="1:14" ht="15.75" customHeight="1">
      <c r="A162" s="33"/>
      <c r="D162" s="51"/>
      <c r="K162" s="33"/>
      <c r="L162" s="33"/>
      <c r="M162" s="33"/>
      <c r="N162" s="41"/>
    </row>
    <row r="163" spans="1:14" ht="15.75" customHeight="1">
      <c r="A163" s="33"/>
      <c r="D163" s="51"/>
      <c r="K163" s="33"/>
      <c r="L163" s="33"/>
      <c r="M163" s="33"/>
      <c r="N163" s="41"/>
    </row>
    <row r="164" spans="1:14" ht="15.75" customHeight="1">
      <c r="A164" s="33"/>
      <c r="D164" s="51"/>
      <c r="K164" s="33"/>
      <c r="L164" s="33"/>
      <c r="M164" s="33"/>
      <c r="N164" s="41"/>
    </row>
    <row r="165" spans="1:14" ht="15.75" customHeight="1">
      <c r="A165" s="33"/>
      <c r="D165" s="51"/>
      <c r="K165" s="33"/>
      <c r="L165" s="33"/>
      <c r="M165" s="33"/>
      <c r="N165" s="41"/>
    </row>
    <row r="166" spans="1:14" ht="15.75" customHeight="1">
      <c r="A166" s="33"/>
      <c r="D166" s="51"/>
      <c r="K166" s="33"/>
      <c r="L166" s="33"/>
      <c r="M166" s="33"/>
      <c r="N166" s="41"/>
    </row>
    <row r="167" spans="1:14" ht="15.75" customHeight="1">
      <c r="A167" s="33"/>
      <c r="D167" s="51"/>
      <c r="K167" s="33"/>
      <c r="L167" s="33"/>
      <c r="M167" s="33"/>
      <c r="N167" s="41"/>
    </row>
    <row r="168" spans="1:14" ht="15.75" customHeight="1">
      <c r="A168" s="33"/>
      <c r="D168" s="51"/>
      <c r="K168" s="33"/>
      <c r="L168" s="33"/>
      <c r="M168" s="33"/>
      <c r="N168" s="41"/>
    </row>
    <row r="169" spans="1:14" ht="15.75" customHeight="1">
      <c r="A169" s="33"/>
      <c r="D169" s="51"/>
      <c r="K169" s="33"/>
      <c r="L169" s="33"/>
      <c r="M169" s="33"/>
      <c r="N169" s="41"/>
    </row>
    <row r="170" spans="1:14" ht="15.75" customHeight="1">
      <c r="A170" s="33"/>
      <c r="D170" s="51"/>
      <c r="K170" s="33"/>
      <c r="L170" s="33"/>
      <c r="M170" s="33"/>
      <c r="N170" s="41"/>
    </row>
    <row r="171" spans="1:14" ht="15.75" customHeight="1">
      <c r="A171" s="33"/>
      <c r="D171" s="51"/>
      <c r="K171" s="33"/>
      <c r="L171" s="33"/>
      <c r="M171" s="33"/>
      <c r="N171" s="41"/>
    </row>
    <row r="172" spans="1:14" ht="15.75" customHeight="1">
      <c r="A172" s="33"/>
      <c r="D172" s="51"/>
      <c r="K172" s="33"/>
      <c r="L172" s="33"/>
      <c r="M172" s="33"/>
      <c r="N172" s="41"/>
    </row>
    <row r="173" spans="1:14" ht="15.75" customHeight="1">
      <c r="A173" s="33"/>
      <c r="D173" s="51"/>
      <c r="K173" s="33"/>
      <c r="L173" s="33"/>
      <c r="M173" s="33"/>
      <c r="N173" s="41"/>
    </row>
    <row r="174" spans="1:14" ht="15.75" customHeight="1">
      <c r="A174" s="33"/>
      <c r="D174" s="51"/>
      <c r="K174" s="33"/>
      <c r="L174" s="33"/>
      <c r="M174" s="33"/>
      <c r="N174" s="41"/>
    </row>
    <row r="175" spans="1:14" ht="15.75" customHeight="1">
      <c r="A175" s="33"/>
      <c r="D175" s="51"/>
      <c r="K175" s="33"/>
      <c r="L175" s="33"/>
      <c r="M175" s="33"/>
      <c r="N175" s="41"/>
    </row>
    <row r="176" spans="1:14" ht="15.75" customHeight="1">
      <c r="A176" s="33"/>
      <c r="D176" s="51"/>
      <c r="K176" s="33"/>
      <c r="L176" s="33"/>
      <c r="M176" s="33"/>
      <c r="N176" s="41"/>
    </row>
    <row r="177" spans="1:14" ht="15.75" customHeight="1">
      <c r="A177" s="33"/>
      <c r="D177" s="51"/>
      <c r="K177" s="33"/>
      <c r="L177" s="33"/>
      <c r="M177" s="33"/>
      <c r="N177" s="41"/>
    </row>
    <row r="178" spans="1:14" ht="15.75" customHeight="1">
      <c r="A178" s="33"/>
      <c r="D178" s="51"/>
      <c r="K178" s="33"/>
      <c r="L178" s="33"/>
      <c r="M178" s="33"/>
      <c r="N178" s="41"/>
    </row>
    <row r="179" spans="1:14" ht="15.75" customHeight="1">
      <c r="A179" s="33"/>
      <c r="D179" s="51"/>
      <c r="K179" s="33"/>
      <c r="L179" s="33"/>
      <c r="M179" s="33"/>
      <c r="N179" s="41"/>
    </row>
    <row r="180" spans="1:14" ht="15.75" customHeight="1">
      <c r="A180" s="33"/>
      <c r="D180" s="51"/>
      <c r="K180" s="33"/>
      <c r="L180" s="33"/>
      <c r="M180" s="33"/>
      <c r="N180" s="41"/>
    </row>
    <row r="181" spans="1:14" ht="15.75" customHeight="1">
      <c r="A181" s="33"/>
      <c r="D181" s="51"/>
      <c r="K181" s="33"/>
      <c r="L181" s="33"/>
      <c r="M181" s="33"/>
      <c r="N181" s="41"/>
    </row>
    <row r="182" spans="1:14" ht="15.75" customHeight="1">
      <c r="A182" s="33"/>
      <c r="D182" s="51"/>
      <c r="K182" s="33"/>
      <c r="L182" s="33"/>
      <c r="M182" s="33"/>
      <c r="N182" s="41"/>
    </row>
    <row r="183" spans="1:14" ht="15.75" customHeight="1">
      <c r="A183" s="33"/>
      <c r="D183" s="51"/>
      <c r="K183" s="33"/>
      <c r="L183" s="33"/>
      <c r="M183" s="33"/>
      <c r="N183" s="41"/>
    </row>
    <row r="184" spans="1:14" ht="15.75" customHeight="1">
      <c r="A184" s="33"/>
      <c r="D184" s="51"/>
      <c r="K184" s="33"/>
      <c r="L184" s="33"/>
      <c r="M184" s="33"/>
      <c r="N184" s="41"/>
    </row>
    <row r="185" spans="1:14" ht="15.75" customHeight="1">
      <c r="A185" s="33"/>
      <c r="D185" s="51"/>
      <c r="K185" s="33"/>
      <c r="L185" s="33"/>
      <c r="M185" s="33"/>
      <c r="N185" s="41"/>
    </row>
    <row r="186" spans="1:14" ht="15.75" customHeight="1">
      <c r="A186" s="33"/>
      <c r="D186" s="51"/>
      <c r="K186" s="33"/>
      <c r="L186" s="33"/>
      <c r="M186" s="33"/>
      <c r="N186" s="41"/>
    </row>
    <row r="187" spans="1:14" ht="15.75" customHeight="1">
      <c r="A187" s="33"/>
      <c r="D187" s="51"/>
      <c r="K187" s="33"/>
      <c r="L187" s="33"/>
      <c r="M187" s="33"/>
      <c r="N187" s="41"/>
    </row>
    <row r="188" spans="1:14" ht="15.75" customHeight="1">
      <c r="A188" s="33"/>
      <c r="D188" s="51"/>
      <c r="K188" s="33"/>
      <c r="L188" s="33"/>
      <c r="M188" s="33"/>
      <c r="N188" s="41"/>
    </row>
    <row r="189" spans="1:14" ht="15.75" customHeight="1">
      <c r="A189" s="33"/>
      <c r="D189" s="51"/>
      <c r="K189" s="33"/>
      <c r="L189" s="33"/>
      <c r="M189" s="33"/>
      <c r="N189" s="41"/>
    </row>
    <row r="190" spans="1:14" ht="15.75" customHeight="1">
      <c r="A190" s="33"/>
      <c r="D190" s="51"/>
      <c r="K190" s="33"/>
      <c r="L190" s="33"/>
      <c r="M190" s="33"/>
      <c r="N190" s="41"/>
    </row>
    <row r="191" spans="1:14" ht="15.75" customHeight="1">
      <c r="A191" s="33"/>
      <c r="D191" s="51"/>
      <c r="K191" s="33"/>
      <c r="L191" s="33"/>
      <c r="M191" s="33"/>
      <c r="N191" s="41"/>
    </row>
    <row r="192" spans="1:14" ht="15.75" customHeight="1">
      <c r="A192" s="33"/>
      <c r="D192" s="51"/>
      <c r="K192" s="33"/>
      <c r="L192" s="33"/>
      <c r="M192" s="33"/>
      <c r="N192" s="41"/>
    </row>
    <row r="193" spans="1:14" ht="15.75" customHeight="1">
      <c r="A193" s="33"/>
      <c r="D193" s="51"/>
      <c r="K193" s="33"/>
      <c r="L193" s="33"/>
      <c r="M193" s="33"/>
      <c r="N193" s="41"/>
    </row>
    <row r="194" spans="1:14" ht="15.75" customHeight="1">
      <c r="A194" s="33"/>
      <c r="D194" s="51"/>
      <c r="K194" s="33"/>
      <c r="L194" s="33"/>
      <c r="M194" s="33"/>
      <c r="N194" s="41"/>
    </row>
    <row r="195" spans="1:14" ht="15.75" customHeight="1">
      <c r="A195" s="33"/>
      <c r="D195" s="51"/>
      <c r="K195" s="33"/>
      <c r="L195" s="33"/>
      <c r="M195" s="33"/>
      <c r="N195" s="41"/>
    </row>
    <row r="196" spans="1:14" ht="15.75" customHeight="1">
      <c r="A196" s="33"/>
      <c r="D196" s="51"/>
      <c r="K196" s="33"/>
      <c r="L196" s="33"/>
      <c r="M196" s="33"/>
      <c r="N196" s="41"/>
    </row>
    <row r="197" spans="1:14" ht="15.75" customHeight="1">
      <c r="A197" s="33"/>
      <c r="D197" s="51"/>
      <c r="K197" s="33"/>
      <c r="L197" s="33"/>
      <c r="M197" s="33"/>
      <c r="N197" s="41"/>
    </row>
    <row r="198" spans="1:14" ht="15.75" customHeight="1">
      <c r="A198" s="33"/>
      <c r="D198" s="51"/>
      <c r="K198" s="33"/>
      <c r="L198" s="33"/>
      <c r="M198" s="33"/>
      <c r="N198" s="41"/>
    </row>
    <row r="199" spans="1:14" ht="15.75" customHeight="1">
      <c r="A199" s="33"/>
      <c r="D199" s="51"/>
      <c r="K199" s="33"/>
      <c r="L199" s="33"/>
      <c r="M199" s="33"/>
      <c r="N199" s="41"/>
    </row>
    <row r="200" spans="1:14" ht="15.75" customHeight="1">
      <c r="A200" s="33"/>
      <c r="D200" s="51"/>
      <c r="K200" s="33"/>
      <c r="L200" s="33"/>
      <c r="M200" s="33"/>
      <c r="N200" s="41"/>
    </row>
    <row r="201" spans="1:14" ht="15.75" customHeight="1">
      <c r="A201" s="33"/>
      <c r="D201" s="51"/>
      <c r="K201" s="33"/>
      <c r="L201" s="33"/>
      <c r="M201" s="33"/>
      <c r="N201" s="41"/>
    </row>
    <row r="202" spans="1:14" ht="15.75" customHeight="1">
      <c r="A202" s="33"/>
      <c r="D202" s="51"/>
      <c r="K202" s="33"/>
      <c r="L202" s="33"/>
      <c r="M202" s="33"/>
      <c r="N202" s="41"/>
    </row>
    <row r="203" spans="1:14" ht="15.75" customHeight="1">
      <c r="A203" s="33"/>
      <c r="D203" s="51"/>
      <c r="K203" s="33"/>
      <c r="L203" s="33"/>
      <c r="M203" s="33"/>
      <c r="N203" s="41"/>
    </row>
    <row r="204" spans="1:14" ht="15.75" customHeight="1">
      <c r="A204" s="33"/>
      <c r="D204" s="51"/>
      <c r="K204" s="33"/>
      <c r="L204" s="33"/>
      <c r="M204" s="33"/>
      <c r="N204" s="41"/>
    </row>
    <row r="205" spans="1:14" ht="15.75" customHeight="1">
      <c r="A205" s="33"/>
      <c r="D205" s="51"/>
      <c r="K205" s="33"/>
      <c r="L205" s="33"/>
      <c r="M205" s="33"/>
      <c r="N205" s="41"/>
    </row>
    <row r="206" spans="1:14" ht="15.75" customHeight="1">
      <c r="A206" s="33"/>
      <c r="D206" s="51"/>
      <c r="K206" s="33"/>
      <c r="L206" s="33"/>
      <c r="M206" s="33"/>
      <c r="N206" s="41"/>
    </row>
    <row r="207" spans="1:14" ht="15.75" customHeight="1">
      <c r="A207" s="33"/>
      <c r="D207" s="51"/>
      <c r="K207" s="33"/>
      <c r="L207" s="33"/>
      <c r="M207" s="33"/>
      <c r="N207" s="41"/>
    </row>
    <row r="208" spans="1:14" ht="15.75" customHeight="1">
      <c r="A208" s="33"/>
      <c r="D208" s="51"/>
      <c r="K208" s="33"/>
      <c r="L208" s="33"/>
      <c r="M208" s="33"/>
      <c r="N208" s="41"/>
    </row>
    <row r="209" spans="1:14" ht="15.75" customHeight="1">
      <c r="A209" s="33"/>
      <c r="D209" s="51"/>
      <c r="K209" s="33"/>
      <c r="L209" s="33"/>
      <c r="M209" s="33"/>
      <c r="N209" s="41"/>
    </row>
    <row r="210" spans="1:14" ht="15.75" customHeight="1">
      <c r="A210" s="33"/>
      <c r="D210" s="51"/>
      <c r="K210" s="33"/>
      <c r="L210" s="33"/>
      <c r="M210" s="33"/>
      <c r="N210" s="41"/>
    </row>
    <row r="211" spans="1:14" ht="15.75" customHeight="1">
      <c r="A211" s="33"/>
      <c r="D211" s="51"/>
      <c r="K211" s="33"/>
      <c r="L211" s="33"/>
      <c r="M211" s="33"/>
      <c r="N211" s="41"/>
    </row>
    <row r="212" spans="1:14" ht="15.75" customHeight="1">
      <c r="A212" s="33"/>
      <c r="D212" s="51"/>
      <c r="K212" s="33"/>
      <c r="L212" s="33"/>
      <c r="M212" s="33"/>
      <c r="N212" s="41"/>
    </row>
    <row r="213" spans="1:14" ht="15.75" customHeight="1">
      <c r="A213" s="33"/>
      <c r="D213" s="51"/>
      <c r="K213" s="33"/>
      <c r="L213" s="33"/>
      <c r="M213" s="33"/>
      <c r="N213" s="41"/>
    </row>
    <row r="214" spans="1:14" ht="15.75" customHeight="1">
      <c r="A214" s="33"/>
      <c r="D214" s="51"/>
      <c r="K214" s="33"/>
      <c r="L214" s="33"/>
      <c r="M214" s="33"/>
      <c r="N214" s="41"/>
    </row>
    <row r="215" spans="1:14" ht="15.75" customHeight="1">
      <c r="A215" s="33"/>
      <c r="D215" s="51"/>
      <c r="K215" s="33"/>
      <c r="L215" s="33"/>
      <c r="M215" s="33"/>
      <c r="N215" s="41"/>
    </row>
    <row r="216" spans="1:14" ht="15.75" customHeight="1">
      <c r="A216" s="33"/>
      <c r="D216" s="51"/>
      <c r="K216" s="33"/>
      <c r="L216" s="33"/>
      <c r="M216" s="33"/>
      <c r="N216" s="41"/>
    </row>
    <row r="217" spans="1:14" ht="15.75" customHeight="1">
      <c r="A217" s="33"/>
      <c r="D217" s="51"/>
      <c r="K217" s="33"/>
      <c r="L217" s="33"/>
      <c r="M217" s="33"/>
      <c r="N217" s="41"/>
    </row>
    <row r="218" spans="1:14" ht="15.75" customHeight="1">
      <c r="A218" s="33"/>
      <c r="D218" s="51"/>
      <c r="K218" s="33"/>
      <c r="L218" s="33"/>
      <c r="M218" s="33"/>
      <c r="N218" s="41"/>
    </row>
    <row r="219" spans="1:14" ht="15.75" customHeight="1">
      <c r="A219" s="33"/>
      <c r="D219" s="51"/>
      <c r="K219" s="33"/>
      <c r="L219" s="33"/>
      <c r="M219" s="33"/>
      <c r="N219" s="41"/>
    </row>
    <row r="220" spans="1:14" ht="15.75" customHeight="1">
      <c r="A220" s="33"/>
      <c r="D220" s="51"/>
      <c r="K220" s="33"/>
      <c r="L220" s="33"/>
      <c r="M220" s="33"/>
      <c r="N220" s="41"/>
    </row>
    <row r="221" spans="1:14" ht="15.75" customHeight="1">
      <c r="A221" s="33"/>
      <c r="D221" s="51"/>
      <c r="K221" s="33"/>
      <c r="L221" s="33"/>
      <c r="M221" s="33"/>
      <c r="N221" s="41"/>
    </row>
    <row r="222" spans="1:14" ht="15.75" customHeight="1">
      <c r="A222" s="33"/>
      <c r="D222" s="51"/>
      <c r="K222" s="33"/>
      <c r="L222" s="33"/>
      <c r="M222" s="33"/>
      <c r="N222" s="41"/>
    </row>
    <row r="223" spans="1:14" ht="15.75" customHeight="1">
      <c r="A223" s="33"/>
      <c r="D223" s="51"/>
      <c r="K223" s="33"/>
      <c r="L223" s="33"/>
      <c r="M223" s="33"/>
      <c r="N223" s="41"/>
    </row>
    <row r="224" spans="1:14" ht="15.75" customHeight="1">
      <c r="A224" s="33"/>
      <c r="D224" s="51"/>
      <c r="K224" s="33"/>
      <c r="L224" s="33"/>
      <c r="M224" s="33"/>
      <c r="N224" s="41"/>
    </row>
    <row r="225" spans="1:14" ht="15.75" customHeight="1">
      <c r="A225" s="33"/>
      <c r="D225" s="51"/>
      <c r="K225" s="33"/>
      <c r="L225" s="33"/>
      <c r="M225" s="33"/>
      <c r="N225" s="41"/>
    </row>
    <row r="226" spans="1:14" ht="15.75" customHeight="1">
      <c r="A226" s="33"/>
      <c r="D226" s="51"/>
      <c r="K226" s="33"/>
      <c r="L226" s="33"/>
      <c r="M226" s="33"/>
      <c r="N226" s="41"/>
    </row>
    <row r="227" spans="1:14" ht="15.75" customHeight="1">
      <c r="A227" s="33"/>
      <c r="D227" s="51"/>
      <c r="K227" s="33"/>
      <c r="L227" s="33"/>
      <c r="M227" s="33"/>
      <c r="N227" s="41"/>
    </row>
    <row r="228" spans="1:14" ht="15.75" customHeight="1">
      <c r="A228" s="33"/>
      <c r="D228" s="51"/>
      <c r="K228" s="33"/>
      <c r="L228" s="33"/>
      <c r="M228" s="33"/>
      <c r="N228" s="41"/>
    </row>
    <row r="229" spans="1:14" ht="15.75" customHeight="1">
      <c r="A229" s="33"/>
      <c r="D229" s="51"/>
      <c r="K229" s="33"/>
      <c r="L229" s="33"/>
      <c r="M229" s="33"/>
      <c r="N229" s="41"/>
    </row>
    <row r="230" spans="1:14" ht="15.75" customHeight="1">
      <c r="A230" s="33"/>
      <c r="D230" s="51"/>
      <c r="K230" s="33"/>
      <c r="L230" s="33"/>
      <c r="M230" s="33"/>
      <c r="N230" s="41"/>
    </row>
    <row r="231" spans="1:14" ht="15.75" customHeight="1">
      <c r="A231" s="33"/>
      <c r="D231" s="51"/>
      <c r="K231" s="33"/>
      <c r="L231" s="33"/>
      <c r="M231" s="33"/>
      <c r="N231" s="41"/>
    </row>
    <row r="232" spans="1:14" ht="15.75" customHeight="1">
      <c r="A232" s="33"/>
      <c r="D232" s="51"/>
      <c r="K232" s="33"/>
      <c r="L232" s="33"/>
      <c r="M232" s="33"/>
      <c r="N232" s="41"/>
    </row>
    <row r="233" spans="1:14" ht="15.75" customHeight="1">
      <c r="A233" s="33"/>
      <c r="D233" s="51"/>
      <c r="K233" s="33"/>
      <c r="L233" s="33"/>
      <c r="M233" s="33"/>
      <c r="N233" s="41"/>
    </row>
    <row r="234" spans="1:14" ht="15.75" customHeight="1">
      <c r="A234" s="33"/>
      <c r="D234" s="51"/>
      <c r="K234" s="33"/>
      <c r="L234" s="33"/>
      <c r="M234" s="33"/>
      <c r="N234" s="41"/>
    </row>
    <row r="235" spans="1:14" ht="15.75" customHeight="1">
      <c r="A235" s="33"/>
      <c r="D235" s="51"/>
      <c r="K235" s="33"/>
      <c r="L235" s="33"/>
      <c r="M235" s="33"/>
      <c r="N235" s="41"/>
    </row>
    <row r="236" spans="1:14" ht="15.75" customHeight="1">
      <c r="A236" s="33"/>
      <c r="D236" s="51"/>
      <c r="K236" s="33"/>
      <c r="L236" s="33"/>
      <c r="M236" s="33"/>
      <c r="N236" s="41"/>
    </row>
    <row r="237" spans="1:14" ht="15.75" customHeight="1">
      <c r="A237" s="33"/>
      <c r="D237" s="51"/>
      <c r="K237" s="33"/>
      <c r="L237" s="33"/>
      <c r="M237" s="33"/>
      <c r="N237" s="41"/>
    </row>
    <row r="238" spans="1:14" ht="15.75" customHeight="1">
      <c r="A238" s="33"/>
      <c r="D238" s="51"/>
      <c r="K238" s="33"/>
      <c r="L238" s="33"/>
      <c r="M238" s="33"/>
      <c r="N238" s="41"/>
    </row>
    <row r="239" spans="1:14" ht="15.75" customHeight="1">
      <c r="A239" s="33"/>
      <c r="D239" s="51"/>
      <c r="K239" s="33"/>
      <c r="L239" s="33"/>
      <c r="M239" s="33"/>
      <c r="N239" s="41"/>
    </row>
    <row r="240" spans="1:14" ht="15.75" customHeight="1">
      <c r="A240" s="33"/>
      <c r="D240" s="51"/>
      <c r="K240" s="33"/>
      <c r="L240" s="33"/>
      <c r="M240" s="33"/>
      <c r="N240" s="41"/>
    </row>
    <row r="241" spans="1:14" ht="15.75" customHeight="1">
      <c r="A241" s="33"/>
      <c r="D241" s="51"/>
      <c r="K241" s="33"/>
      <c r="L241" s="33"/>
      <c r="M241" s="33"/>
      <c r="N241" s="41"/>
    </row>
    <row r="242" spans="1:14" ht="15.75" customHeight="1">
      <c r="A242" s="33"/>
      <c r="D242" s="51"/>
      <c r="K242" s="33"/>
      <c r="L242" s="33"/>
      <c r="M242" s="33"/>
      <c r="N242" s="41"/>
    </row>
    <row r="243" spans="1:14" ht="15.75" customHeight="1">
      <c r="A243" s="33"/>
      <c r="D243" s="51"/>
      <c r="K243" s="33"/>
      <c r="L243" s="33"/>
      <c r="M243" s="33"/>
      <c r="N243" s="41"/>
    </row>
    <row r="244" spans="1:14" ht="15.75" customHeight="1">
      <c r="A244" s="33"/>
      <c r="D244" s="51"/>
      <c r="K244" s="33"/>
      <c r="L244" s="33"/>
      <c r="M244" s="33"/>
      <c r="N244" s="41"/>
    </row>
    <row r="245" spans="1:14" ht="15.75" customHeight="1">
      <c r="A245" s="33"/>
      <c r="D245" s="51"/>
      <c r="K245" s="33"/>
      <c r="L245" s="33"/>
      <c r="M245" s="33"/>
      <c r="N245" s="41"/>
    </row>
    <row r="246" spans="1:14" ht="15.75" customHeight="1">
      <c r="A246" s="33"/>
      <c r="D246" s="51"/>
      <c r="K246" s="33"/>
      <c r="L246" s="33"/>
      <c r="M246" s="33"/>
      <c r="N246" s="41"/>
    </row>
    <row r="247" spans="1:14" ht="15.75" customHeight="1">
      <c r="A247" s="33"/>
      <c r="D247" s="51"/>
      <c r="K247" s="33"/>
      <c r="L247" s="33"/>
      <c r="M247" s="33"/>
      <c r="N247" s="41"/>
    </row>
    <row r="248" spans="1:14" ht="15.75" customHeight="1">
      <c r="A248" s="33"/>
      <c r="D248" s="51"/>
      <c r="K248" s="33"/>
      <c r="L248" s="33"/>
      <c r="M248" s="33"/>
      <c r="N248" s="41"/>
    </row>
    <row r="249" spans="1:14" ht="15.75" customHeight="1">
      <c r="A249" s="33"/>
      <c r="D249" s="51"/>
      <c r="K249" s="33"/>
      <c r="L249" s="33"/>
      <c r="M249" s="33"/>
      <c r="N249" s="41"/>
    </row>
    <row r="250" spans="1:14" ht="15.75" customHeight="1">
      <c r="A250" s="33"/>
      <c r="D250" s="51"/>
      <c r="K250" s="33"/>
      <c r="L250" s="33"/>
      <c r="M250" s="33"/>
      <c r="N250" s="41"/>
    </row>
    <row r="251" spans="1:14" ht="15.75" customHeight="1">
      <c r="A251" s="33"/>
      <c r="D251" s="51"/>
      <c r="K251" s="33"/>
      <c r="L251" s="33"/>
      <c r="M251" s="33"/>
      <c r="N251" s="41"/>
    </row>
    <row r="252" spans="1:14" ht="15.75" customHeight="1">
      <c r="A252" s="33"/>
      <c r="D252" s="51"/>
      <c r="K252" s="33"/>
      <c r="L252" s="33"/>
      <c r="M252" s="33"/>
      <c r="N252" s="41"/>
    </row>
    <row r="253" spans="1:14" ht="15.75" customHeight="1">
      <c r="A253" s="33"/>
      <c r="D253" s="51"/>
      <c r="K253" s="33"/>
      <c r="L253" s="33"/>
      <c r="M253" s="33"/>
      <c r="N253" s="41"/>
    </row>
    <row r="254" spans="1:14" ht="15.75" customHeight="1">
      <c r="A254" s="33"/>
      <c r="D254" s="51"/>
      <c r="K254" s="33"/>
      <c r="L254" s="33"/>
      <c r="M254" s="33"/>
      <c r="N254" s="41"/>
    </row>
    <row r="255" spans="1:14" ht="15.75" customHeight="1">
      <c r="A255" s="33"/>
      <c r="D255" s="51"/>
      <c r="K255" s="33"/>
      <c r="L255" s="33"/>
      <c r="M255" s="33"/>
      <c r="N255" s="41"/>
    </row>
    <row r="256" spans="1:14" ht="15.75" customHeight="1">
      <c r="A256" s="33"/>
      <c r="D256" s="51"/>
      <c r="K256" s="33"/>
      <c r="L256" s="33"/>
      <c r="M256" s="33"/>
      <c r="N256" s="41"/>
    </row>
    <row r="257" spans="1:14" ht="15.75" customHeight="1">
      <c r="A257" s="33"/>
      <c r="D257" s="51"/>
      <c r="K257" s="33"/>
      <c r="L257" s="33"/>
      <c r="M257" s="33"/>
      <c r="N257" s="41"/>
    </row>
    <row r="258" spans="1:14" ht="15.75" customHeight="1">
      <c r="A258" s="33"/>
      <c r="D258" s="51"/>
      <c r="K258" s="33"/>
      <c r="L258" s="33"/>
      <c r="M258" s="33"/>
      <c r="N258" s="41"/>
    </row>
    <row r="259" spans="1:14" ht="15.75" customHeight="1">
      <c r="A259" s="33"/>
      <c r="D259" s="51"/>
      <c r="K259" s="33"/>
      <c r="L259" s="33"/>
      <c r="M259" s="33"/>
      <c r="N259" s="41"/>
    </row>
    <row r="260" spans="1:14" ht="15.75" customHeight="1">
      <c r="A260" s="33"/>
      <c r="D260" s="51"/>
      <c r="K260" s="33"/>
      <c r="L260" s="33"/>
      <c r="M260" s="33"/>
      <c r="N260" s="41"/>
    </row>
    <row r="261" spans="1:14" ht="15.75" customHeight="1">
      <c r="A261" s="33"/>
      <c r="D261" s="51"/>
      <c r="K261" s="33"/>
      <c r="L261" s="33"/>
      <c r="M261" s="33"/>
      <c r="N261" s="41"/>
    </row>
    <row r="262" spans="1:14" ht="15.75" customHeight="1">
      <c r="A262" s="33"/>
      <c r="D262" s="51"/>
      <c r="K262" s="33"/>
      <c r="L262" s="33"/>
      <c r="M262" s="33"/>
      <c r="N262" s="41"/>
    </row>
    <row r="263" spans="1:14" ht="15.75" customHeight="1">
      <c r="A263" s="33"/>
      <c r="D263" s="51"/>
      <c r="K263" s="33"/>
      <c r="L263" s="33"/>
      <c r="M263" s="33"/>
      <c r="N263" s="41"/>
    </row>
    <row r="264" spans="1:14" ht="15.75" customHeight="1">
      <c r="A264" s="33"/>
      <c r="D264" s="51"/>
      <c r="K264" s="33"/>
      <c r="L264" s="33"/>
      <c r="M264" s="33"/>
      <c r="N264" s="41"/>
    </row>
    <row r="265" spans="1:14" ht="15.75" customHeight="1">
      <c r="A265" s="33"/>
      <c r="D265" s="51"/>
      <c r="K265" s="33"/>
      <c r="L265" s="33"/>
      <c r="M265" s="33"/>
      <c r="N265" s="41"/>
    </row>
    <row r="266" spans="1:14" ht="15.75" customHeight="1">
      <c r="A266" s="33"/>
      <c r="D266" s="51"/>
      <c r="K266" s="33"/>
      <c r="L266" s="33"/>
      <c r="M266" s="33"/>
      <c r="N266" s="41"/>
    </row>
    <row r="267" spans="1:14" ht="15.75" customHeight="1">
      <c r="A267" s="33"/>
      <c r="D267" s="51"/>
      <c r="K267" s="33"/>
      <c r="L267" s="33"/>
      <c r="M267" s="33"/>
      <c r="N267" s="41"/>
    </row>
    <row r="268" spans="1:14" ht="15.75" customHeight="1">
      <c r="A268" s="33"/>
      <c r="D268" s="51"/>
      <c r="K268" s="33"/>
      <c r="L268" s="33"/>
      <c r="M268" s="33"/>
      <c r="N268" s="41"/>
    </row>
    <row r="269" spans="1:14" ht="15.75" customHeight="1">
      <c r="A269" s="33"/>
      <c r="D269" s="51"/>
      <c r="K269" s="33"/>
      <c r="L269" s="33"/>
      <c r="M269" s="33"/>
      <c r="N269" s="41"/>
    </row>
    <row r="270" spans="1:14" ht="15.75" customHeight="1">
      <c r="A270" s="33"/>
      <c r="D270" s="51"/>
      <c r="K270" s="33"/>
      <c r="L270" s="33"/>
      <c r="M270" s="33"/>
      <c r="N270" s="41"/>
    </row>
    <row r="271" spans="1:14" ht="15.75" customHeight="1">
      <c r="A271" s="33"/>
      <c r="D271" s="51"/>
      <c r="K271" s="33"/>
      <c r="L271" s="33"/>
      <c r="M271" s="33"/>
      <c r="N271" s="41"/>
    </row>
    <row r="272" spans="1:14" ht="15.75" customHeight="1">
      <c r="A272" s="33"/>
      <c r="D272" s="51"/>
      <c r="K272" s="33"/>
      <c r="L272" s="33"/>
      <c r="M272" s="33"/>
      <c r="N272" s="41"/>
    </row>
    <row r="273" spans="1:14" ht="15.75" customHeight="1">
      <c r="A273" s="33"/>
      <c r="D273" s="51"/>
      <c r="K273" s="33"/>
      <c r="L273" s="33"/>
      <c r="M273" s="33"/>
      <c r="N273" s="41"/>
    </row>
    <row r="274" spans="1:14" ht="15.75" customHeight="1">
      <c r="A274" s="33"/>
      <c r="D274" s="51"/>
      <c r="K274" s="33"/>
      <c r="L274" s="33"/>
      <c r="M274" s="33"/>
      <c r="N274" s="41"/>
    </row>
    <row r="275" spans="1:14" ht="15.75" customHeight="1">
      <c r="A275" s="33"/>
      <c r="D275" s="51"/>
      <c r="K275" s="33"/>
      <c r="L275" s="33"/>
      <c r="M275" s="33"/>
      <c r="N275" s="41"/>
    </row>
    <row r="276" spans="1:14" ht="15.75" customHeight="1">
      <c r="A276" s="33"/>
      <c r="D276" s="51"/>
      <c r="K276" s="33"/>
      <c r="L276" s="33"/>
      <c r="M276" s="33"/>
      <c r="N276" s="41"/>
    </row>
    <row r="277" spans="1:14" ht="15.75" customHeight="1">
      <c r="A277" s="33"/>
      <c r="D277" s="51"/>
      <c r="K277" s="33"/>
      <c r="L277" s="33"/>
      <c r="M277" s="33"/>
      <c r="N277" s="41"/>
    </row>
    <row r="278" spans="1:14" ht="15.75" customHeight="1">
      <c r="A278" s="33"/>
      <c r="D278" s="51"/>
      <c r="K278" s="33"/>
      <c r="L278" s="33"/>
      <c r="M278" s="33"/>
      <c r="N278" s="41"/>
    </row>
    <row r="279" spans="1:14" ht="15.75" customHeight="1">
      <c r="A279" s="33"/>
      <c r="D279" s="51"/>
      <c r="K279" s="33"/>
      <c r="L279" s="33"/>
      <c r="M279" s="33"/>
      <c r="N279" s="41"/>
    </row>
    <row r="280" spans="1:14" ht="15.75" customHeight="1">
      <c r="A280" s="33"/>
      <c r="D280" s="51"/>
      <c r="K280" s="33"/>
      <c r="L280" s="33"/>
      <c r="M280" s="33"/>
      <c r="N280" s="41"/>
    </row>
    <row r="281" spans="1:14" ht="15.75" customHeight="1">
      <c r="A281" s="33"/>
      <c r="D281" s="51"/>
      <c r="K281" s="33"/>
      <c r="L281" s="33"/>
      <c r="M281" s="33"/>
      <c r="N281" s="41"/>
    </row>
    <row r="282" spans="1:14" ht="15.75" customHeight="1">
      <c r="A282" s="33"/>
      <c r="D282" s="51"/>
      <c r="K282" s="33"/>
      <c r="L282" s="33"/>
      <c r="M282" s="33"/>
      <c r="N282" s="41"/>
    </row>
    <row r="283" spans="1:14" ht="15.75" customHeight="1">
      <c r="A283" s="33"/>
      <c r="D283" s="51"/>
      <c r="K283" s="33"/>
      <c r="L283" s="33"/>
      <c r="M283" s="33"/>
      <c r="N283" s="41"/>
    </row>
    <row r="284" spans="1:14" ht="15.75" customHeight="1">
      <c r="A284" s="33"/>
      <c r="D284" s="51"/>
      <c r="K284" s="33"/>
      <c r="L284" s="33"/>
      <c r="M284" s="33"/>
      <c r="N284" s="41"/>
    </row>
    <row r="285" spans="1:14" ht="15.75" customHeight="1">
      <c r="A285" s="33"/>
      <c r="D285" s="51"/>
      <c r="K285" s="33"/>
      <c r="L285" s="33"/>
      <c r="M285" s="33"/>
      <c r="N285" s="41"/>
    </row>
    <row r="286" spans="1:14" ht="15.75" customHeight="1">
      <c r="A286" s="33"/>
      <c r="D286" s="51"/>
      <c r="K286" s="33"/>
      <c r="L286" s="33"/>
      <c r="M286" s="33"/>
      <c r="N286" s="41"/>
    </row>
    <row r="287" spans="1:14" ht="15.75" customHeight="1">
      <c r="A287" s="33"/>
      <c r="D287" s="51"/>
      <c r="K287" s="33"/>
      <c r="L287" s="33"/>
      <c r="M287" s="33"/>
      <c r="N287" s="41"/>
    </row>
    <row r="288" spans="1:14" ht="15.75" customHeight="1">
      <c r="A288" s="33"/>
      <c r="D288" s="51"/>
      <c r="K288" s="33"/>
      <c r="L288" s="33"/>
      <c r="M288" s="33"/>
      <c r="N288" s="41"/>
    </row>
    <row r="289" spans="1:14" ht="15.75" customHeight="1">
      <c r="A289" s="33"/>
      <c r="D289" s="51"/>
      <c r="K289" s="33"/>
      <c r="L289" s="33"/>
      <c r="M289" s="33"/>
      <c r="N289" s="41"/>
    </row>
    <row r="290" spans="1:14" ht="15.75" customHeight="1">
      <c r="A290" s="33"/>
      <c r="D290" s="51"/>
      <c r="K290" s="33"/>
      <c r="L290" s="33"/>
      <c r="M290" s="33"/>
      <c r="N290" s="41"/>
    </row>
    <row r="291" spans="1:14" ht="15.75" customHeight="1">
      <c r="A291" s="33"/>
      <c r="D291" s="51"/>
      <c r="K291" s="33"/>
      <c r="L291" s="33"/>
      <c r="M291" s="33"/>
      <c r="N291" s="41"/>
    </row>
    <row r="292" spans="1:14" ht="15.75" customHeight="1">
      <c r="A292" s="33"/>
      <c r="D292" s="51"/>
      <c r="K292" s="33"/>
      <c r="L292" s="33"/>
      <c r="M292" s="33"/>
      <c r="N292" s="41"/>
    </row>
    <row r="293" spans="1:14" ht="15.75" customHeight="1">
      <c r="A293" s="33"/>
      <c r="D293" s="51"/>
      <c r="K293" s="33"/>
      <c r="L293" s="33"/>
      <c r="M293" s="33"/>
      <c r="N293" s="41"/>
    </row>
    <row r="294" spans="1:14" ht="15.75" customHeight="1">
      <c r="A294" s="33"/>
      <c r="D294" s="51"/>
      <c r="K294" s="33"/>
      <c r="L294" s="33"/>
      <c r="M294" s="33"/>
      <c r="N294" s="41"/>
    </row>
    <row r="295" spans="1:14" ht="15.75" customHeight="1">
      <c r="A295" s="33"/>
      <c r="D295" s="51"/>
      <c r="K295" s="33"/>
      <c r="L295" s="33"/>
      <c r="M295" s="33"/>
      <c r="N295" s="41"/>
    </row>
    <row r="296" spans="1:14" ht="15.75" customHeight="1">
      <c r="A296" s="33"/>
      <c r="D296" s="51"/>
      <c r="K296" s="33"/>
      <c r="L296" s="33"/>
      <c r="M296" s="33"/>
      <c r="N296" s="41"/>
    </row>
    <row r="297" spans="1:14" ht="15.75" customHeight="1">
      <c r="A297" s="33"/>
      <c r="D297" s="51"/>
      <c r="K297" s="33"/>
      <c r="L297" s="33"/>
      <c r="M297" s="33"/>
      <c r="N297" s="41"/>
    </row>
    <row r="298" spans="1:14" ht="15.75" customHeight="1">
      <c r="A298" s="33"/>
      <c r="D298" s="51"/>
      <c r="K298" s="33"/>
      <c r="L298" s="33"/>
      <c r="M298" s="33"/>
      <c r="N298" s="41"/>
    </row>
    <row r="299" spans="1:14" ht="15.75" customHeight="1">
      <c r="A299" s="33"/>
      <c r="D299" s="51"/>
      <c r="K299" s="33"/>
      <c r="L299" s="33"/>
      <c r="M299" s="33"/>
      <c r="N299" s="41"/>
    </row>
    <row r="300" spans="1:14" ht="15.75" customHeight="1">
      <c r="A300" s="33"/>
      <c r="D300" s="51"/>
      <c r="K300" s="33"/>
      <c r="L300" s="33"/>
      <c r="M300" s="33"/>
      <c r="N300" s="41"/>
    </row>
    <row r="301" spans="1:14" ht="15.75" customHeight="1">
      <c r="A301" s="33"/>
      <c r="D301" s="51"/>
      <c r="K301" s="33"/>
      <c r="L301" s="33"/>
      <c r="M301" s="33"/>
      <c r="N301" s="41"/>
    </row>
    <row r="302" spans="1:14" ht="15.75" customHeight="1">
      <c r="A302" s="33"/>
      <c r="D302" s="51"/>
      <c r="K302" s="33"/>
      <c r="L302" s="33"/>
      <c r="M302" s="33"/>
      <c r="N302" s="41"/>
    </row>
    <row r="303" spans="1:14" ht="15.75" customHeight="1">
      <c r="A303" s="33"/>
      <c r="D303" s="51"/>
      <c r="K303" s="33"/>
      <c r="L303" s="33"/>
      <c r="M303" s="33"/>
      <c r="N303" s="41"/>
    </row>
    <row r="304" spans="1:14" ht="15.75" customHeight="1">
      <c r="A304" s="33"/>
      <c r="D304" s="51"/>
      <c r="K304" s="33"/>
      <c r="L304" s="33"/>
      <c r="M304" s="33"/>
      <c r="N304" s="41"/>
    </row>
    <row r="305" spans="1:14" ht="15.75" customHeight="1">
      <c r="A305" s="33"/>
      <c r="D305" s="51"/>
      <c r="K305" s="33"/>
      <c r="L305" s="33"/>
      <c r="M305" s="33"/>
      <c r="N305" s="41"/>
    </row>
    <row r="306" spans="1:14" ht="15.75" customHeight="1">
      <c r="A306" s="33"/>
      <c r="D306" s="51"/>
      <c r="K306" s="33"/>
      <c r="L306" s="33"/>
      <c r="M306" s="33"/>
      <c r="N306" s="41"/>
    </row>
    <row r="307" spans="1:14" ht="15.75" customHeight="1">
      <c r="A307" s="33"/>
      <c r="D307" s="51"/>
      <c r="K307" s="33"/>
      <c r="L307" s="33"/>
      <c r="M307" s="33"/>
      <c r="N307" s="41"/>
    </row>
    <row r="308" spans="1:14" ht="15.75" customHeight="1">
      <c r="A308" s="33"/>
      <c r="D308" s="51"/>
      <c r="K308" s="33"/>
      <c r="L308" s="33"/>
      <c r="M308" s="33"/>
      <c r="N308" s="41"/>
    </row>
    <row r="309" spans="1:14" ht="15.75" customHeight="1">
      <c r="A309" s="33"/>
      <c r="D309" s="51"/>
      <c r="K309" s="33"/>
      <c r="L309" s="33"/>
      <c r="M309" s="33"/>
      <c r="N309" s="41"/>
    </row>
    <row r="310" spans="1:14" ht="15.75" customHeight="1">
      <c r="A310" s="33"/>
      <c r="D310" s="51"/>
      <c r="K310" s="33"/>
      <c r="L310" s="33"/>
      <c r="M310" s="33"/>
      <c r="N310" s="41"/>
    </row>
    <row r="311" spans="1:14" ht="15.75" customHeight="1">
      <c r="A311" s="33"/>
      <c r="D311" s="51"/>
      <c r="K311" s="33"/>
      <c r="L311" s="33"/>
      <c r="M311" s="33"/>
      <c r="N311" s="41"/>
    </row>
    <row r="312" spans="1:14" ht="15.75" customHeight="1">
      <c r="A312" s="33"/>
      <c r="D312" s="51"/>
      <c r="K312" s="33"/>
      <c r="L312" s="33"/>
      <c r="M312" s="33"/>
      <c r="N312" s="41"/>
    </row>
    <row r="313" spans="1:14" ht="15.75" customHeight="1">
      <c r="A313" s="33"/>
      <c r="D313" s="51"/>
      <c r="K313" s="33"/>
      <c r="L313" s="33"/>
      <c r="M313" s="33"/>
      <c r="N313" s="41"/>
    </row>
    <row r="314" spans="1:14" ht="15.75" customHeight="1">
      <c r="A314" s="33"/>
      <c r="D314" s="51"/>
      <c r="K314" s="33"/>
      <c r="L314" s="33"/>
      <c r="M314" s="33"/>
      <c r="N314" s="41"/>
    </row>
    <row r="315" spans="1:14" ht="15.75" customHeight="1">
      <c r="A315" s="33"/>
      <c r="D315" s="51"/>
      <c r="K315" s="33"/>
      <c r="L315" s="33"/>
      <c r="M315" s="33"/>
      <c r="N315" s="41"/>
    </row>
    <row r="316" spans="1:14" ht="15.75" customHeight="1">
      <c r="A316" s="33"/>
      <c r="D316" s="51"/>
      <c r="K316" s="33"/>
      <c r="L316" s="33"/>
      <c r="M316" s="33"/>
      <c r="N316" s="41"/>
    </row>
    <row r="317" spans="1:14" ht="15.75" customHeight="1">
      <c r="A317" s="33"/>
      <c r="D317" s="51"/>
      <c r="K317" s="33"/>
      <c r="L317" s="33"/>
      <c r="M317" s="33"/>
      <c r="N317" s="41"/>
    </row>
    <row r="318" spans="1:14" ht="15.75" customHeight="1">
      <c r="A318" s="33"/>
      <c r="D318" s="51"/>
      <c r="K318" s="33"/>
      <c r="L318" s="33"/>
      <c r="M318" s="33"/>
      <c r="N318" s="41"/>
    </row>
    <row r="319" spans="1:14" ht="15.75" customHeight="1">
      <c r="A319" s="33"/>
      <c r="D319" s="51"/>
      <c r="K319" s="33"/>
      <c r="L319" s="33"/>
      <c r="M319" s="33"/>
      <c r="N319" s="41"/>
    </row>
    <row r="320" spans="1:14" ht="15.75" customHeight="1">
      <c r="A320" s="33"/>
      <c r="D320" s="51"/>
      <c r="K320" s="33"/>
      <c r="L320" s="33"/>
      <c r="M320" s="33"/>
      <c r="N320" s="41"/>
    </row>
    <row r="321" spans="1:14" ht="15.75" customHeight="1">
      <c r="A321" s="33"/>
      <c r="D321" s="51"/>
      <c r="K321" s="33"/>
      <c r="L321" s="33"/>
      <c r="M321" s="33"/>
      <c r="N321" s="41"/>
    </row>
    <row r="322" spans="1:14" ht="15.75" customHeight="1">
      <c r="A322" s="33"/>
      <c r="D322" s="51"/>
      <c r="K322" s="33"/>
      <c r="L322" s="33"/>
      <c r="M322" s="33"/>
      <c r="N322" s="41"/>
    </row>
    <row r="323" spans="1:14" ht="15.75" customHeight="1">
      <c r="A323" s="33"/>
      <c r="D323" s="51"/>
      <c r="K323" s="33"/>
      <c r="L323" s="33"/>
      <c r="M323" s="33"/>
      <c r="N323" s="41"/>
    </row>
    <row r="324" spans="1:14" ht="15.75" customHeight="1">
      <c r="A324" s="33"/>
      <c r="D324" s="51"/>
      <c r="K324" s="33"/>
      <c r="L324" s="33"/>
      <c r="M324" s="33"/>
      <c r="N324" s="41"/>
    </row>
    <row r="325" spans="1:14" ht="15.75" customHeight="1">
      <c r="A325" s="33"/>
      <c r="D325" s="51"/>
      <c r="K325" s="33"/>
      <c r="L325" s="33"/>
      <c r="M325" s="33"/>
      <c r="N325" s="41"/>
    </row>
    <row r="326" spans="1:14" ht="15.75" customHeight="1">
      <c r="A326" s="33"/>
      <c r="D326" s="51"/>
      <c r="K326" s="33"/>
      <c r="L326" s="33"/>
      <c r="M326" s="33"/>
      <c r="N326" s="41"/>
    </row>
    <row r="327" spans="1:14" ht="15.75" customHeight="1">
      <c r="A327" s="33"/>
      <c r="D327" s="51"/>
      <c r="K327" s="33"/>
      <c r="L327" s="33"/>
      <c r="M327" s="33"/>
      <c r="N327" s="41"/>
    </row>
    <row r="328" spans="1:14" ht="15.75" customHeight="1">
      <c r="A328" s="33"/>
      <c r="D328" s="51"/>
      <c r="K328" s="33"/>
      <c r="L328" s="33"/>
      <c r="M328" s="33"/>
      <c r="N328" s="41"/>
    </row>
    <row r="329" spans="1:14" ht="15.75" customHeight="1">
      <c r="A329" s="33"/>
      <c r="D329" s="51"/>
      <c r="K329" s="33"/>
      <c r="L329" s="33"/>
      <c r="M329" s="33"/>
      <c r="N329" s="41"/>
    </row>
    <row r="330" spans="1:14" ht="15.75" customHeight="1">
      <c r="A330" s="33"/>
      <c r="D330" s="51"/>
      <c r="K330" s="33"/>
      <c r="L330" s="33"/>
      <c r="M330" s="33"/>
      <c r="N330" s="41"/>
    </row>
    <row r="331" spans="1:14" ht="15.75" customHeight="1">
      <c r="A331" s="33"/>
      <c r="D331" s="51"/>
      <c r="K331" s="33"/>
      <c r="L331" s="33"/>
      <c r="M331" s="33"/>
      <c r="N331" s="41"/>
    </row>
    <row r="332" spans="1:14" ht="15.75" customHeight="1">
      <c r="A332" s="33"/>
      <c r="D332" s="51"/>
      <c r="K332" s="33"/>
      <c r="L332" s="33"/>
      <c r="M332" s="33"/>
      <c r="N332" s="41"/>
    </row>
    <row r="333" spans="1:14" ht="15.75" customHeight="1">
      <c r="A333" s="33"/>
      <c r="D333" s="51"/>
      <c r="K333" s="33"/>
      <c r="L333" s="33"/>
      <c r="M333" s="33"/>
      <c r="N333" s="41"/>
    </row>
    <row r="334" spans="1:14" ht="15.75" customHeight="1">
      <c r="A334" s="33"/>
      <c r="D334" s="51"/>
      <c r="K334" s="33"/>
      <c r="L334" s="33"/>
      <c r="M334" s="33"/>
      <c r="N334" s="41"/>
    </row>
    <row r="335" spans="1:14" ht="15.75" customHeight="1">
      <c r="A335" s="33"/>
      <c r="D335" s="51"/>
      <c r="K335" s="33"/>
      <c r="L335" s="33"/>
      <c r="M335" s="33"/>
      <c r="N335" s="41"/>
    </row>
    <row r="336" spans="1:14" ht="15.75" customHeight="1">
      <c r="A336" s="33"/>
      <c r="D336" s="51"/>
      <c r="K336" s="33"/>
      <c r="L336" s="33"/>
      <c r="M336" s="33"/>
      <c r="N336" s="41"/>
    </row>
    <row r="337" spans="1:14" ht="15.75" customHeight="1">
      <c r="A337" s="33"/>
      <c r="D337" s="51"/>
      <c r="K337" s="33"/>
      <c r="L337" s="33"/>
      <c r="M337" s="33"/>
      <c r="N337" s="41"/>
    </row>
    <row r="338" spans="1:14" ht="15.75" customHeight="1">
      <c r="A338" s="33"/>
      <c r="D338" s="51"/>
      <c r="K338" s="33"/>
      <c r="L338" s="33"/>
      <c r="M338" s="33"/>
      <c r="N338" s="41"/>
    </row>
    <row r="339" spans="1:14" ht="15.75" customHeight="1">
      <c r="A339" s="33"/>
      <c r="D339" s="51"/>
      <c r="K339" s="33"/>
      <c r="L339" s="33"/>
      <c r="M339" s="33"/>
      <c r="N339" s="41"/>
    </row>
    <row r="340" spans="1:14" ht="15.75" customHeight="1">
      <c r="A340" s="33"/>
      <c r="D340" s="51"/>
      <c r="K340" s="33"/>
      <c r="L340" s="33"/>
      <c r="M340" s="33"/>
      <c r="N340" s="41"/>
    </row>
    <row r="341" spans="1:14" ht="15.75" customHeight="1">
      <c r="A341" s="33"/>
      <c r="D341" s="51"/>
      <c r="K341" s="33"/>
      <c r="L341" s="33"/>
      <c r="M341" s="33"/>
      <c r="N341" s="41"/>
    </row>
    <row r="342" spans="1:14" ht="15.75" customHeight="1">
      <c r="A342" s="33"/>
      <c r="D342" s="51"/>
      <c r="K342" s="33"/>
      <c r="L342" s="33"/>
      <c r="M342" s="33"/>
      <c r="N342" s="41"/>
    </row>
    <row r="343" spans="1:14" ht="15.75" customHeight="1">
      <c r="D343" s="51"/>
    </row>
    <row r="344" spans="1:14" ht="15.75" customHeight="1">
      <c r="D344" s="51"/>
    </row>
    <row r="345" spans="1:14" ht="15.75" customHeight="1">
      <c r="D345" s="51"/>
    </row>
    <row r="346" spans="1:14" ht="15.75" customHeight="1">
      <c r="D346" s="51"/>
    </row>
    <row r="347" spans="1:14" ht="15.75" customHeight="1">
      <c r="D347" s="51"/>
    </row>
    <row r="348" spans="1:14" ht="15.75" customHeight="1">
      <c r="D348" s="51"/>
    </row>
    <row r="349" spans="1:14" ht="15.75" customHeight="1">
      <c r="D349" s="51"/>
    </row>
    <row r="350" spans="1:14" ht="15.75" customHeight="1">
      <c r="D350" s="51"/>
    </row>
    <row r="351" spans="1:14" ht="15.75" customHeight="1">
      <c r="D351" s="51"/>
    </row>
    <row r="352" spans="1:14" ht="15.75" customHeight="1">
      <c r="D352" s="51"/>
    </row>
    <row r="353" spans="4:4" ht="15.75" customHeight="1">
      <c r="D353" s="51"/>
    </row>
    <row r="354" spans="4:4" ht="15.75" customHeight="1">
      <c r="D354" s="51"/>
    </row>
    <row r="355" spans="4:4" ht="15.75" customHeight="1">
      <c r="D355" s="51"/>
    </row>
    <row r="356" spans="4:4" ht="15.75" customHeight="1">
      <c r="D356" s="51"/>
    </row>
    <row r="357" spans="4:4" ht="15.75" customHeight="1">
      <c r="D357" s="51"/>
    </row>
    <row r="358" spans="4:4" ht="15.75" customHeight="1">
      <c r="D358" s="51"/>
    </row>
    <row r="359" spans="4:4" ht="15.75" customHeight="1">
      <c r="D359" s="51"/>
    </row>
    <row r="360" spans="4:4" ht="15.75" customHeight="1">
      <c r="D360" s="51"/>
    </row>
    <row r="361" spans="4:4" ht="15.75" customHeight="1">
      <c r="D361" s="51"/>
    </row>
    <row r="362" spans="4:4" ht="15.75" customHeight="1">
      <c r="D362" s="51"/>
    </row>
    <row r="363" spans="4:4" ht="15.75" customHeight="1">
      <c r="D363" s="51"/>
    </row>
    <row r="364" spans="4:4" ht="15.75" customHeight="1">
      <c r="D364" s="51"/>
    </row>
    <row r="365" spans="4:4" ht="15.75" customHeight="1">
      <c r="D365" s="51"/>
    </row>
    <row r="366" spans="4:4" ht="15.75" customHeight="1">
      <c r="D366" s="51"/>
    </row>
    <row r="367" spans="4:4" ht="15.75" customHeight="1">
      <c r="D367" s="51"/>
    </row>
    <row r="368" spans="4:4" ht="15.75" customHeight="1">
      <c r="D368" s="51"/>
    </row>
    <row r="369" spans="4:4" ht="15.75" customHeight="1">
      <c r="D369" s="51"/>
    </row>
    <row r="370" spans="4:4" ht="15.75" customHeight="1">
      <c r="D370" s="51"/>
    </row>
    <row r="371" spans="4:4" ht="15.75" customHeight="1">
      <c r="D371" s="51"/>
    </row>
    <row r="372" spans="4:4" ht="15.75" customHeight="1">
      <c r="D372" s="51"/>
    </row>
    <row r="373" spans="4:4" ht="15.75" customHeight="1">
      <c r="D373" s="51"/>
    </row>
    <row r="374" spans="4:4" ht="15.75" customHeight="1">
      <c r="D374" s="51"/>
    </row>
    <row r="375" spans="4:4" ht="15.75" customHeight="1">
      <c r="D375" s="51"/>
    </row>
    <row r="376" spans="4:4" ht="15.75" customHeight="1">
      <c r="D376" s="51"/>
    </row>
    <row r="377" spans="4:4" ht="15.75" customHeight="1">
      <c r="D377" s="51"/>
    </row>
    <row r="378" spans="4:4" ht="15.75" customHeight="1">
      <c r="D378" s="51"/>
    </row>
    <row r="379" spans="4:4" ht="15.75" customHeight="1">
      <c r="D379" s="51"/>
    </row>
    <row r="380" spans="4:4" ht="15.75" customHeight="1">
      <c r="D380" s="51"/>
    </row>
    <row r="381" spans="4:4" ht="15.75" customHeight="1">
      <c r="D381" s="51"/>
    </row>
    <row r="382" spans="4:4" ht="15.75" customHeight="1">
      <c r="D382" s="51"/>
    </row>
    <row r="383" spans="4:4" ht="15.75" customHeight="1">
      <c r="D383" s="51"/>
    </row>
    <row r="384" spans="4:4" ht="15.75" customHeight="1">
      <c r="D384" s="51"/>
    </row>
    <row r="385" spans="4:4" ht="15.75" customHeight="1">
      <c r="D385" s="51"/>
    </row>
    <row r="386" spans="4:4" ht="15.75" customHeight="1">
      <c r="D386" s="51"/>
    </row>
    <row r="387" spans="4:4" ht="15.75" customHeight="1">
      <c r="D387" s="51"/>
    </row>
    <row r="388" spans="4:4" ht="15.75" customHeight="1">
      <c r="D388" s="51"/>
    </row>
    <row r="389" spans="4:4" ht="15.75" customHeight="1">
      <c r="D389" s="51"/>
    </row>
    <row r="390" spans="4:4" ht="15.75" customHeight="1">
      <c r="D390" s="51"/>
    </row>
    <row r="391" spans="4:4" ht="15.75" customHeight="1">
      <c r="D391" s="51"/>
    </row>
    <row r="392" spans="4:4" ht="15.75" customHeight="1">
      <c r="D392" s="51"/>
    </row>
    <row r="393" spans="4:4" ht="15.75" customHeight="1">
      <c r="D393" s="51"/>
    </row>
    <row r="394" spans="4:4" ht="15.75" customHeight="1">
      <c r="D394" s="51"/>
    </row>
    <row r="395" spans="4:4" ht="15.75" customHeight="1">
      <c r="D395" s="51"/>
    </row>
    <row r="396" spans="4:4" ht="15.75" customHeight="1">
      <c r="D396" s="51"/>
    </row>
    <row r="397" spans="4:4" ht="15.75" customHeight="1">
      <c r="D397" s="51"/>
    </row>
    <row r="398" spans="4:4" ht="15.75" customHeight="1">
      <c r="D398" s="51"/>
    </row>
    <row r="399" spans="4:4" ht="15.75" customHeight="1">
      <c r="D399" s="51"/>
    </row>
    <row r="400" spans="4:4" ht="15.75" customHeight="1">
      <c r="D400" s="51"/>
    </row>
    <row r="401" spans="4:4" ht="15.75" customHeight="1">
      <c r="D401" s="51"/>
    </row>
    <row r="402" spans="4:4" ht="15.75" customHeight="1">
      <c r="D402" s="51"/>
    </row>
    <row r="403" spans="4:4" ht="15.75" customHeight="1">
      <c r="D403" s="51"/>
    </row>
    <row r="404" spans="4:4" ht="15.75" customHeight="1">
      <c r="D404" s="51"/>
    </row>
    <row r="405" spans="4:4" ht="15.75" customHeight="1">
      <c r="D405" s="51"/>
    </row>
    <row r="406" spans="4:4" ht="15.75" customHeight="1">
      <c r="D406" s="51"/>
    </row>
    <row r="407" spans="4:4" ht="15.75" customHeight="1">
      <c r="D407" s="51"/>
    </row>
    <row r="408" spans="4:4" ht="15.75" customHeight="1">
      <c r="D408" s="51"/>
    </row>
    <row r="409" spans="4:4" ht="15.75" customHeight="1">
      <c r="D409" s="51"/>
    </row>
    <row r="410" spans="4:4" ht="15.75" customHeight="1">
      <c r="D410" s="51"/>
    </row>
    <row r="411" spans="4:4" ht="15.75" customHeight="1">
      <c r="D411" s="51"/>
    </row>
    <row r="412" spans="4:4" ht="15.75" customHeight="1">
      <c r="D412" s="51"/>
    </row>
    <row r="413" spans="4:4" ht="15.75" customHeight="1">
      <c r="D413" s="51"/>
    </row>
    <row r="414" spans="4:4" ht="15.75" customHeight="1">
      <c r="D414" s="51"/>
    </row>
    <row r="415" spans="4:4" ht="15.75" customHeight="1">
      <c r="D415" s="51"/>
    </row>
    <row r="416" spans="4:4" ht="15.75" customHeight="1">
      <c r="D416" s="51"/>
    </row>
    <row r="417" spans="4:4" ht="15.75" customHeight="1">
      <c r="D417" s="51"/>
    </row>
    <row r="418" spans="4:4" ht="15.75" customHeight="1">
      <c r="D418" s="51"/>
    </row>
    <row r="419" spans="4:4" ht="15.75" customHeight="1">
      <c r="D419" s="51"/>
    </row>
    <row r="420" spans="4:4" ht="15.75" customHeight="1">
      <c r="D420" s="51"/>
    </row>
    <row r="421" spans="4:4" ht="15.75" customHeight="1">
      <c r="D421" s="51"/>
    </row>
    <row r="422" spans="4:4" ht="15.75" customHeight="1">
      <c r="D422" s="51"/>
    </row>
    <row r="423" spans="4:4" ht="15.75" customHeight="1">
      <c r="D423" s="51"/>
    </row>
    <row r="424" spans="4:4" ht="15.75" customHeight="1">
      <c r="D424" s="51"/>
    </row>
    <row r="425" spans="4:4" ht="15.75" customHeight="1">
      <c r="D425" s="51"/>
    </row>
    <row r="426" spans="4:4" ht="15.75" customHeight="1">
      <c r="D426" s="51"/>
    </row>
    <row r="427" spans="4:4" ht="15.75" customHeight="1">
      <c r="D427" s="51"/>
    </row>
    <row r="428" spans="4:4" ht="15.75" customHeight="1">
      <c r="D428" s="51"/>
    </row>
    <row r="429" spans="4:4" ht="15.75" customHeight="1">
      <c r="D429" s="51"/>
    </row>
    <row r="430" spans="4:4" ht="15.75" customHeight="1">
      <c r="D430" s="51"/>
    </row>
    <row r="431" spans="4:4" ht="15.75" customHeight="1">
      <c r="D431" s="51"/>
    </row>
    <row r="432" spans="4:4" ht="15.75" customHeight="1">
      <c r="D432" s="51"/>
    </row>
    <row r="433" spans="4:4" ht="15.75" customHeight="1">
      <c r="D433" s="51"/>
    </row>
    <row r="434" spans="4:4" ht="15.75" customHeight="1">
      <c r="D434" s="51"/>
    </row>
    <row r="435" spans="4:4" ht="15.75" customHeight="1">
      <c r="D435" s="51"/>
    </row>
    <row r="436" spans="4:4" ht="15.75" customHeight="1">
      <c r="D436" s="51"/>
    </row>
    <row r="437" spans="4:4" ht="15.75" customHeight="1">
      <c r="D437" s="51"/>
    </row>
    <row r="438" spans="4:4" ht="15.75" customHeight="1">
      <c r="D438" s="51"/>
    </row>
    <row r="439" spans="4:4" ht="15.75" customHeight="1">
      <c r="D439" s="51"/>
    </row>
    <row r="440" spans="4:4" ht="15.75" customHeight="1">
      <c r="D440" s="51"/>
    </row>
    <row r="441" spans="4:4" ht="15.75" customHeight="1">
      <c r="D441" s="51"/>
    </row>
    <row r="442" spans="4:4" ht="15.75" customHeight="1">
      <c r="D442" s="51"/>
    </row>
    <row r="443" spans="4:4" ht="15.75" customHeight="1">
      <c r="D443" s="51"/>
    </row>
    <row r="444" spans="4:4" ht="15.75" customHeight="1">
      <c r="D444" s="51"/>
    </row>
    <row r="445" spans="4:4" ht="15.75" customHeight="1">
      <c r="D445" s="51"/>
    </row>
    <row r="446" spans="4:4" ht="15.75" customHeight="1">
      <c r="D446" s="51"/>
    </row>
    <row r="447" spans="4:4" ht="15.75" customHeight="1">
      <c r="D447" s="51"/>
    </row>
    <row r="448" spans="4:4" ht="15.75" customHeight="1">
      <c r="D448" s="51"/>
    </row>
    <row r="449" spans="4:4" ht="15.75" customHeight="1">
      <c r="D449" s="51"/>
    </row>
    <row r="450" spans="4:4" ht="15.75" customHeight="1">
      <c r="D450" s="51"/>
    </row>
    <row r="451" spans="4:4" ht="15.75" customHeight="1">
      <c r="D451" s="51"/>
    </row>
    <row r="452" spans="4:4" ht="15.75" customHeight="1">
      <c r="D452" s="51"/>
    </row>
    <row r="453" spans="4:4" ht="15.75" customHeight="1">
      <c r="D453" s="51"/>
    </row>
    <row r="454" spans="4:4" ht="15.75" customHeight="1">
      <c r="D454" s="51"/>
    </row>
    <row r="455" spans="4:4" ht="15.75" customHeight="1">
      <c r="D455" s="51"/>
    </row>
    <row r="456" spans="4:4" ht="15.75" customHeight="1">
      <c r="D456" s="51"/>
    </row>
    <row r="457" spans="4:4" ht="15.75" customHeight="1">
      <c r="D457" s="51"/>
    </row>
    <row r="458" spans="4:4" ht="15.75" customHeight="1">
      <c r="D458" s="51"/>
    </row>
    <row r="459" spans="4:4" ht="15.75" customHeight="1">
      <c r="D459" s="51"/>
    </row>
    <row r="460" spans="4:4" ht="15.75" customHeight="1">
      <c r="D460" s="51"/>
    </row>
    <row r="461" spans="4:4" ht="15.75" customHeight="1">
      <c r="D461" s="51"/>
    </row>
    <row r="462" spans="4:4" ht="15.75" customHeight="1">
      <c r="D462" s="51"/>
    </row>
    <row r="463" spans="4:4" ht="15.75" customHeight="1">
      <c r="D463" s="51"/>
    </row>
    <row r="464" spans="4:4" ht="15.75" customHeight="1">
      <c r="D464" s="51"/>
    </row>
    <row r="465" spans="4:4" ht="15.75" customHeight="1">
      <c r="D465" s="51"/>
    </row>
    <row r="466" spans="4:4" ht="15.75" customHeight="1">
      <c r="D466" s="51"/>
    </row>
    <row r="467" spans="4:4" ht="15.75" customHeight="1">
      <c r="D467" s="51"/>
    </row>
    <row r="468" spans="4:4" ht="15.75" customHeight="1">
      <c r="D468" s="51"/>
    </row>
    <row r="469" spans="4:4" ht="15.75" customHeight="1">
      <c r="D469" s="51"/>
    </row>
    <row r="470" spans="4:4" ht="15.75" customHeight="1">
      <c r="D470" s="51"/>
    </row>
    <row r="471" spans="4:4" ht="15.75" customHeight="1">
      <c r="D471" s="51"/>
    </row>
    <row r="472" spans="4:4" ht="15.75" customHeight="1">
      <c r="D472" s="51"/>
    </row>
    <row r="473" spans="4:4" ht="15.75" customHeight="1">
      <c r="D473" s="51"/>
    </row>
    <row r="474" spans="4:4" ht="15.75" customHeight="1">
      <c r="D474" s="51"/>
    </row>
    <row r="475" spans="4:4" ht="15.75" customHeight="1">
      <c r="D475" s="51"/>
    </row>
    <row r="476" spans="4:4" ht="15.75" customHeight="1">
      <c r="D476" s="51"/>
    </row>
    <row r="477" spans="4:4" ht="15.75" customHeight="1">
      <c r="D477" s="51"/>
    </row>
    <row r="478" spans="4:4" ht="15.75" customHeight="1">
      <c r="D478" s="51"/>
    </row>
    <row r="479" spans="4:4" ht="15.75" customHeight="1">
      <c r="D479" s="51"/>
    </row>
    <row r="480" spans="4:4" ht="15.75" customHeight="1">
      <c r="D480" s="51"/>
    </row>
    <row r="481" spans="4:4" ht="15.75" customHeight="1">
      <c r="D481" s="51"/>
    </row>
    <row r="482" spans="4:4" ht="15.75" customHeight="1">
      <c r="D482" s="51"/>
    </row>
    <row r="483" spans="4:4" ht="15.75" customHeight="1">
      <c r="D483" s="51"/>
    </row>
    <row r="484" spans="4:4" ht="15.75" customHeight="1">
      <c r="D484" s="51"/>
    </row>
    <row r="485" spans="4:4" ht="15.75" customHeight="1">
      <c r="D485" s="51"/>
    </row>
    <row r="486" spans="4:4" ht="15.75" customHeight="1">
      <c r="D486" s="51"/>
    </row>
    <row r="487" spans="4:4" ht="15.75" customHeight="1">
      <c r="D487" s="51"/>
    </row>
    <row r="488" spans="4:4" ht="15.75" customHeight="1">
      <c r="D488" s="51"/>
    </row>
    <row r="489" spans="4:4" ht="15.75" customHeight="1">
      <c r="D489" s="51"/>
    </row>
    <row r="490" spans="4:4" ht="15.75" customHeight="1">
      <c r="D490" s="51"/>
    </row>
    <row r="491" spans="4:4" ht="15.75" customHeight="1">
      <c r="D491" s="51"/>
    </row>
    <row r="492" spans="4:4" ht="15.75" customHeight="1">
      <c r="D492" s="51"/>
    </row>
    <row r="493" spans="4:4" ht="15.75" customHeight="1">
      <c r="D493" s="51"/>
    </row>
    <row r="494" spans="4:4" ht="15.75" customHeight="1">
      <c r="D494" s="51"/>
    </row>
    <row r="495" spans="4:4" ht="15.75" customHeight="1">
      <c r="D495" s="51"/>
    </row>
    <row r="496" spans="4:4" ht="15.75" customHeight="1">
      <c r="D496" s="51"/>
    </row>
    <row r="497" spans="4:4" ht="15.75" customHeight="1">
      <c r="D497" s="51"/>
    </row>
    <row r="498" spans="4:4" ht="15.75" customHeight="1">
      <c r="D498" s="51"/>
    </row>
    <row r="499" spans="4:4" ht="15.75" customHeight="1">
      <c r="D499" s="51"/>
    </row>
    <row r="500" spans="4:4" ht="15.75" customHeight="1">
      <c r="D500" s="51"/>
    </row>
    <row r="501" spans="4:4" ht="15.75" customHeight="1">
      <c r="D501" s="51"/>
    </row>
    <row r="502" spans="4:4" ht="15.75" customHeight="1">
      <c r="D502" s="51"/>
    </row>
    <row r="503" spans="4:4" ht="15.75" customHeight="1">
      <c r="D503" s="51"/>
    </row>
    <row r="504" spans="4:4" ht="15.75" customHeight="1">
      <c r="D504" s="51"/>
    </row>
    <row r="505" spans="4:4" ht="15.75" customHeight="1">
      <c r="D505" s="51"/>
    </row>
    <row r="506" spans="4:4" ht="15.75" customHeight="1">
      <c r="D506" s="51"/>
    </row>
    <row r="507" spans="4:4" ht="15.75" customHeight="1">
      <c r="D507" s="51"/>
    </row>
    <row r="508" spans="4:4" ht="15.75" customHeight="1">
      <c r="D508" s="51"/>
    </row>
    <row r="509" spans="4:4" ht="15.75" customHeight="1">
      <c r="D509" s="51"/>
    </row>
    <row r="510" spans="4:4" ht="15.75" customHeight="1">
      <c r="D510" s="51"/>
    </row>
    <row r="511" spans="4:4" ht="15.75" customHeight="1">
      <c r="D511" s="51"/>
    </row>
    <row r="512" spans="4:4" ht="15.75" customHeight="1">
      <c r="D512" s="51"/>
    </row>
    <row r="513" spans="4:4" ht="15.75" customHeight="1">
      <c r="D513" s="51"/>
    </row>
    <row r="514" spans="4:4" ht="15.75" customHeight="1">
      <c r="D514" s="51"/>
    </row>
    <row r="515" spans="4:4" ht="15.75" customHeight="1">
      <c r="D515" s="51"/>
    </row>
    <row r="516" spans="4:4" ht="15.75" customHeight="1">
      <c r="D516" s="51"/>
    </row>
    <row r="517" spans="4:4" ht="15.75" customHeight="1">
      <c r="D517" s="51"/>
    </row>
    <row r="518" spans="4:4" ht="15.75" customHeight="1">
      <c r="D518" s="51"/>
    </row>
    <row r="519" spans="4:4" ht="15.75" customHeight="1">
      <c r="D519" s="51"/>
    </row>
    <row r="520" spans="4:4" ht="15.75" customHeight="1">
      <c r="D520" s="51"/>
    </row>
    <row r="521" spans="4:4" ht="15.75" customHeight="1">
      <c r="D521" s="51"/>
    </row>
    <row r="522" spans="4:4" ht="15.75" customHeight="1">
      <c r="D522" s="51"/>
    </row>
    <row r="523" spans="4:4" ht="15.75" customHeight="1">
      <c r="D523" s="51"/>
    </row>
    <row r="524" spans="4:4" ht="15.75" customHeight="1">
      <c r="D524" s="51"/>
    </row>
    <row r="525" spans="4:4" ht="15.75" customHeight="1">
      <c r="D525" s="51"/>
    </row>
    <row r="526" spans="4:4" ht="15.75" customHeight="1">
      <c r="D526" s="51"/>
    </row>
    <row r="527" spans="4:4" ht="15.75" customHeight="1">
      <c r="D527" s="51"/>
    </row>
    <row r="528" spans="4:4" ht="15.75" customHeight="1">
      <c r="D528" s="51"/>
    </row>
    <row r="529" spans="4:4" ht="15.75" customHeight="1">
      <c r="D529" s="51"/>
    </row>
    <row r="530" spans="4:4" ht="15.75" customHeight="1">
      <c r="D530" s="51"/>
    </row>
    <row r="531" spans="4:4" ht="15.75" customHeight="1">
      <c r="D531" s="51"/>
    </row>
    <row r="532" spans="4:4" ht="15.75" customHeight="1">
      <c r="D532" s="51"/>
    </row>
    <row r="533" spans="4:4" ht="15.75" customHeight="1">
      <c r="D533" s="51"/>
    </row>
    <row r="534" spans="4:4" ht="15.75" customHeight="1">
      <c r="D534" s="51"/>
    </row>
    <row r="535" spans="4:4" ht="15.75" customHeight="1">
      <c r="D535" s="51"/>
    </row>
    <row r="536" spans="4:4" ht="15.75" customHeight="1">
      <c r="D536" s="51"/>
    </row>
    <row r="537" spans="4:4" ht="15.75" customHeight="1">
      <c r="D537" s="51"/>
    </row>
    <row r="538" spans="4:4" ht="15.75" customHeight="1">
      <c r="D538" s="51"/>
    </row>
    <row r="539" spans="4:4" ht="15.75" customHeight="1">
      <c r="D539" s="51"/>
    </row>
    <row r="540" spans="4:4" ht="15.75" customHeight="1">
      <c r="D540" s="51"/>
    </row>
    <row r="541" spans="4:4" ht="15.75" customHeight="1">
      <c r="D541" s="51"/>
    </row>
    <row r="542" spans="4:4" ht="15.75" customHeight="1">
      <c r="D542" s="51"/>
    </row>
    <row r="543" spans="4:4" ht="15.75" customHeight="1">
      <c r="D543" s="51"/>
    </row>
    <row r="544" spans="4:4" ht="15.75" customHeight="1">
      <c r="D544" s="51"/>
    </row>
    <row r="545" spans="4:4" ht="15.75" customHeight="1">
      <c r="D545" s="51"/>
    </row>
    <row r="546" spans="4:4" ht="15.75" customHeight="1">
      <c r="D546" s="51"/>
    </row>
    <row r="547" spans="4:4" ht="15.75" customHeight="1">
      <c r="D547" s="51"/>
    </row>
    <row r="548" spans="4:4" ht="15.75" customHeight="1">
      <c r="D548" s="51"/>
    </row>
    <row r="549" spans="4:4" ht="15.75" customHeight="1">
      <c r="D549" s="51"/>
    </row>
    <row r="550" spans="4:4" ht="15.75" customHeight="1">
      <c r="D550" s="51"/>
    </row>
    <row r="551" spans="4:4" ht="15.75" customHeight="1">
      <c r="D551" s="51"/>
    </row>
    <row r="552" spans="4:4" ht="15.75" customHeight="1">
      <c r="D552" s="51"/>
    </row>
    <row r="553" spans="4:4" ht="15.75" customHeight="1">
      <c r="D553" s="51"/>
    </row>
    <row r="554" spans="4:4" ht="15.75" customHeight="1">
      <c r="D554" s="51"/>
    </row>
    <row r="555" spans="4:4" ht="15.75" customHeight="1">
      <c r="D555" s="51"/>
    </row>
    <row r="556" spans="4:4" ht="15.75" customHeight="1">
      <c r="D556" s="51"/>
    </row>
    <row r="557" spans="4:4" ht="15.75" customHeight="1">
      <c r="D557" s="51"/>
    </row>
    <row r="558" spans="4:4" ht="15.75" customHeight="1">
      <c r="D558" s="51"/>
    </row>
    <row r="559" spans="4:4" ht="15.75" customHeight="1">
      <c r="D559" s="51"/>
    </row>
    <row r="560" spans="4:4" ht="15.75" customHeight="1">
      <c r="D560" s="51"/>
    </row>
    <row r="561" spans="4:4" ht="15.75" customHeight="1">
      <c r="D561" s="51"/>
    </row>
    <row r="562" spans="4:4" ht="15.75" customHeight="1">
      <c r="D562" s="51"/>
    </row>
    <row r="563" spans="4:4" ht="15.75" customHeight="1">
      <c r="D563" s="51"/>
    </row>
    <row r="564" spans="4:4" ht="15.75" customHeight="1">
      <c r="D564" s="51"/>
    </row>
    <row r="565" spans="4:4" ht="15.75" customHeight="1">
      <c r="D565" s="51"/>
    </row>
    <row r="566" spans="4:4" ht="15.75" customHeight="1">
      <c r="D566" s="51"/>
    </row>
    <row r="567" spans="4:4" ht="15.75" customHeight="1">
      <c r="D567" s="51"/>
    </row>
    <row r="568" spans="4:4" ht="15.75" customHeight="1">
      <c r="D568" s="51"/>
    </row>
    <row r="569" spans="4:4" ht="15.75" customHeight="1">
      <c r="D569" s="51"/>
    </row>
    <row r="570" spans="4:4" ht="15.75" customHeight="1">
      <c r="D570" s="51"/>
    </row>
    <row r="571" spans="4:4" ht="15.75" customHeight="1">
      <c r="D571" s="51"/>
    </row>
    <row r="572" spans="4:4" ht="15.75" customHeight="1">
      <c r="D572" s="51"/>
    </row>
    <row r="573" spans="4:4" ht="15.75" customHeight="1">
      <c r="D573" s="51"/>
    </row>
    <row r="574" spans="4:4" ht="15.75" customHeight="1">
      <c r="D574" s="51"/>
    </row>
    <row r="575" spans="4:4" ht="15.75" customHeight="1">
      <c r="D575" s="51"/>
    </row>
    <row r="576" spans="4:4" ht="15.75" customHeight="1">
      <c r="D576" s="51"/>
    </row>
    <row r="577" spans="4:4" ht="15.75" customHeight="1">
      <c r="D577" s="51"/>
    </row>
    <row r="578" spans="4:4" ht="15.75" customHeight="1">
      <c r="D578" s="51"/>
    </row>
    <row r="579" spans="4:4" ht="15.75" customHeight="1">
      <c r="D579" s="51"/>
    </row>
    <row r="580" spans="4:4" ht="15.75" customHeight="1">
      <c r="D580" s="51"/>
    </row>
    <row r="581" spans="4:4" ht="15.75" customHeight="1">
      <c r="D581" s="51"/>
    </row>
    <row r="582" spans="4:4" ht="15.75" customHeight="1">
      <c r="D582" s="51"/>
    </row>
    <row r="583" spans="4:4" ht="15.75" customHeight="1">
      <c r="D583" s="51"/>
    </row>
    <row r="584" spans="4:4" ht="15.75" customHeight="1">
      <c r="D584" s="51"/>
    </row>
    <row r="585" spans="4:4" ht="15.75" customHeight="1">
      <c r="D585" s="51"/>
    </row>
    <row r="586" spans="4:4" ht="15.75" customHeight="1">
      <c r="D586" s="51"/>
    </row>
    <row r="587" spans="4:4" ht="15.75" customHeight="1">
      <c r="D587" s="51"/>
    </row>
    <row r="588" spans="4:4" ht="15.75" customHeight="1">
      <c r="D588" s="51"/>
    </row>
    <row r="589" spans="4:4" ht="15.75" customHeight="1">
      <c r="D589" s="51"/>
    </row>
    <row r="590" spans="4:4" ht="15.75" customHeight="1">
      <c r="D590" s="51"/>
    </row>
    <row r="591" spans="4:4" ht="15.75" customHeight="1">
      <c r="D591" s="51"/>
    </row>
    <row r="592" spans="4:4" ht="15.75" customHeight="1">
      <c r="D592" s="51"/>
    </row>
    <row r="593" spans="4:4" ht="15.75" customHeight="1">
      <c r="D593" s="51"/>
    </row>
    <row r="594" spans="4:4" ht="15.75" customHeight="1">
      <c r="D594" s="51"/>
    </row>
    <row r="595" spans="4:4" ht="15.75" customHeight="1">
      <c r="D595" s="51"/>
    </row>
    <row r="596" spans="4:4" ht="15.75" customHeight="1">
      <c r="D596" s="51"/>
    </row>
    <row r="597" spans="4:4" ht="15.75" customHeight="1">
      <c r="D597" s="51"/>
    </row>
    <row r="598" spans="4:4" ht="15.75" customHeight="1">
      <c r="D598" s="51"/>
    </row>
    <row r="599" spans="4:4" ht="15.75" customHeight="1">
      <c r="D599" s="51"/>
    </row>
    <row r="600" spans="4:4" ht="15.75" customHeight="1">
      <c r="D600" s="51"/>
    </row>
    <row r="601" spans="4:4" ht="15.75" customHeight="1">
      <c r="D601" s="51"/>
    </row>
    <row r="602" spans="4:4" ht="15.75" customHeight="1">
      <c r="D602" s="51"/>
    </row>
    <row r="603" spans="4:4" ht="15.75" customHeight="1">
      <c r="D603" s="51"/>
    </row>
    <row r="604" spans="4:4" ht="15.75" customHeight="1">
      <c r="D604" s="51"/>
    </row>
    <row r="605" spans="4:4" ht="15.75" customHeight="1">
      <c r="D605" s="51"/>
    </row>
    <row r="606" spans="4:4" ht="15.75" customHeight="1">
      <c r="D606" s="51"/>
    </row>
    <row r="607" spans="4:4" ht="15.75" customHeight="1">
      <c r="D607" s="51"/>
    </row>
    <row r="608" spans="4:4" ht="15.75" customHeight="1">
      <c r="D608" s="51"/>
    </row>
    <row r="609" spans="4:4" ht="15.75" customHeight="1">
      <c r="D609" s="51"/>
    </row>
    <row r="610" spans="4:4" ht="15.75" customHeight="1">
      <c r="D610" s="51"/>
    </row>
    <row r="611" spans="4:4" ht="15.75" customHeight="1">
      <c r="D611" s="51"/>
    </row>
    <row r="612" spans="4:4" ht="15.75" customHeight="1">
      <c r="D612" s="51"/>
    </row>
    <row r="613" spans="4:4" ht="15.75" customHeight="1">
      <c r="D613" s="51"/>
    </row>
    <row r="614" spans="4:4" ht="15.75" customHeight="1">
      <c r="D614" s="51"/>
    </row>
    <row r="615" spans="4:4" ht="15.75" customHeight="1">
      <c r="D615" s="51"/>
    </row>
    <row r="616" spans="4:4" ht="15.75" customHeight="1">
      <c r="D616" s="51"/>
    </row>
    <row r="617" spans="4:4" ht="15.75" customHeight="1">
      <c r="D617" s="51"/>
    </row>
    <row r="618" spans="4:4" ht="15.75" customHeight="1">
      <c r="D618" s="51"/>
    </row>
    <row r="619" spans="4:4" ht="15.75" customHeight="1">
      <c r="D619" s="51"/>
    </row>
    <row r="620" spans="4:4" ht="15.75" customHeight="1">
      <c r="D620" s="51"/>
    </row>
    <row r="621" spans="4:4" ht="15.75" customHeight="1">
      <c r="D621" s="51"/>
    </row>
    <row r="622" spans="4:4" ht="15.75" customHeight="1">
      <c r="D622" s="51"/>
    </row>
    <row r="623" spans="4:4" ht="15.75" customHeight="1">
      <c r="D623" s="51"/>
    </row>
    <row r="624" spans="4:4" ht="15.75" customHeight="1">
      <c r="D624" s="51"/>
    </row>
    <row r="625" spans="4:4" ht="15.75" customHeight="1">
      <c r="D625" s="51"/>
    </row>
    <row r="626" spans="4:4" ht="15.75" customHeight="1">
      <c r="D626" s="51"/>
    </row>
    <row r="627" spans="4:4" ht="15.75" customHeight="1">
      <c r="D627" s="51"/>
    </row>
    <row r="628" spans="4:4" ht="15.75" customHeight="1">
      <c r="D628" s="51"/>
    </row>
    <row r="629" spans="4:4" ht="15.75" customHeight="1">
      <c r="D629" s="51"/>
    </row>
    <row r="630" spans="4:4" ht="15.75" customHeight="1">
      <c r="D630" s="51"/>
    </row>
    <row r="631" spans="4:4" ht="15.75" customHeight="1">
      <c r="D631" s="51"/>
    </row>
    <row r="632" spans="4:4" ht="15.75" customHeight="1">
      <c r="D632" s="51"/>
    </row>
    <row r="633" spans="4:4" ht="15.75" customHeight="1">
      <c r="D633" s="51"/>
    </row>
    <row r="634" spans="4:4" ht="15.75" customHeight="1">
      <c r="D634" s="51"/>
    </row>
    <row r="635" spans="4:4" ht="15.75" customHeight="1">
      <c r="D635" s="51"/>
    </row>
    <row r="636" spans="4:4" ht="15.75" customHeight="1">
      <c r="D636" s="51"/>
    </row>
    <row r="637" spans="4:4" ht="15.75" customHeight="1">
      <c r="D637" s="51"/>
    </row>
    <row r="638" spans="4:4" ht="15.75" customHeight="1">
      <c r="D638" s="51"/>
    </row>
    <row r="639" spans="4:4" ht="15.75" customHeight="1">
      <c r="D639" s="51"/>
    </row>
    <row r="640" spans="4:4" ht="15.75" customHeight="1">
      <c r="D640" s="51"/>
    </row>
    <row r="641" spans="4:4" ht="15.75" customHeight="1">
      <c r="D641" s="51"/>
    </row>
    <row r="642" spans="4:4" ht="15.75" customHeight="1">
      <c r="D642" s="51"/>
    </row>
    <row r="643" spans="4:4" ht="15.75" customHeight="1">
      <c r="D643" s="51"/>
    </row>
    <row r="644" spans="4:4" ht="15.75" customHeight="1">
      <c r="D644" s="51"/>
    </row>
    <row r="645" spans="4:4" ht="15.75" customHeight="1">
      <c r="D645" s="51"/>
    </row>
    <row r="646" spans="4:4" ht="15.75" customHeight="1">
      <c r="D646" s="51"/>
    </row>
    <row r="647" spans="4:4" ht="15.75" customHeight="1">
      <c r="D647" s="51"/>
    </row>
    <row r="648" spans="4:4" ht="15.75" customHeight="1">
      <c r="D648" s="51"/>
    </row>
    <row r="649" spans="4:4" ht="15.75" customHeight="1">
      <c r="D649" s="51"/>
    </row>
    <row r="650" spans="4:4" ht="15.75" customHeight="1">
      <c r="D650" s="51"/>
    </row>
    <row r="651" spans="4:4" ht="15.75" customHeight="1">
      <c r="D651" s="51"/>
    </row>
    <row r="652" spans="4:4" ht="15.75" customHeight="1">
      <c r="D652" s="51"/>
    </row>
    <row r="653" spans="4:4" ht="15.75" customHeight="1">
      <c r="D653" s="51"/>
    </row>
    <row r="654" spans="4:4" ht="15.75" customHeight="1">
      <c r="D654" s="51"/>
    </row>
    <row r="655" spans="4:4" ht="15.75" customHeight="1">
      <c r="D655" s="51"/>
    </row>
    <row r="656" spans="4:4" ht="15.75" customHeight="1">
      <c r="D656" s="51"/>
    </row>
    <row r="657" spans="4:4" ht="15.75" customHeight="1">
      <c r="D657" s="51"/>
    </row>
    <row r="658" spans="4:4" ht="15.75" customHeight="1">
      <c r="D658" s="51"/>
    </row>
    <row r="659" spans="4:4" ht="15.75" customHeight="1">
      <c r="D659" s="51"/>
    </row>
    <row r="660" spans="4:4" ht="15.75" customHeight="1">
      <c r="D660" s="51"/>
    </row>
    <row r="661" spans="4:4" ht="15.75" customHeight="1">
      <c r="D661" s="51"/>
    </row>
    <row r="662" spans="4:4" ht="15.75" customHeight="1">
      <c r="D662" s="51"/>
    </row>
    <row r="663" spans="4:4" ht="15.75" customHeight="1">
      <c r="D663" s="51"/>
    </row>
    <row r="664" spans="4:4" ht="15.75" customHeight="1">
      <c r="D664" s="51"/>
    </row>
    <row r="665" spans="4:4" ht="15.75" customHeight="1">
      <c r="D665" s="51"/>
    </row>
    <row r="666" spans="4:4" ht="15.75" customHeight="1">
      <c r="D666" s="51"/>
    </row>
    <row r="667" spans="4:4" ht="15.75" customHeight="1">
      <c r="D667" s="51"/>
    </row>
    <row r="668" spans="4:4" ht="15.75" customHeight="1">
      <c r="D668" s="51"/>
    </row>
    <row r="669" spans="4:4" ht="15.75" customHeight="1">
      <c r="D669" s="51"/>
    </row>
    <row r="670" spans="4:4" ht="15.75" customHeight="1">
      <c r="D670" s="51"/>
    </row>
    <row r="671" spans="4:4" ht="15.75" customHeight="1">
      <c r="D671" s="51"/>
    </row>
    <row r="672" spans="4:4" ht="15.75" customHeight="1">
      <c r="D672" s="51"/>
    </row>
    <row r="673" spans="4:4" ht="15.75" customHeight="1">
      <c r="D673" s="51"/>
    </row>
    <row r="674" spans="4:4" ht="15.75" customHeight="1">
      <c r="D674" s="51"/>
    </row>
    <row r="675" spans="4:4" ht="15.75" customHeight="1">
      <c r="D675" s="51"/>
    </row>
    <row r="676" spans="4:4" ht="15.75" customHeight="1">
      <c r="D676" s="51"/>
    </row>
    <row r="677" spans="4:4" ht="15.75" customHeight="1">
      <c r="D677" s="51"/>
    </row>
    <row r="678" spans="4:4" ht="15.75" customHeight="1">
      <c r="D678" s="51"/>
    </row>
    <row r="679" spans="4:4" ht="15.75" customHeight="1">
      <c r="D679" s="51"/>
    </row>
    <row r="680" spans="4:4" ht="15.75" customHeight="1">
      <c r="D680" s="51"/>
    </row>
    <row r="681" spans="4:4" ht="15.75" customHeight="1">
      <c r="D681" s="51"/>
    </row>
    <row r="682" spans="4:4" ht="15.75" customHeight="1">
      <c r="D682" s="51"/>
    </row>
    <row r="683" spans="4:4" ht="15.75" customHeight="1">
      <c r="D683" s="51"/>
    </row>
    <row r="684" spans="4:4" ht="15.75" customHeight="1">
      <c r="D684" s="51"/>
    </row>
    <row r="685" spans="4:4" ht="15.75" customHeight="1">
      <c r="D685" s="51"/>
    </row>
    <row r="686" spans="4:4" ht="15.75" customHeight="1">
      <c r="D686" s="51"/>
    </row>
    <row r="687" spans="4:4" ht="15.75" customHeight="1">
      <c r="D687" s="51"/>
    </row>
    <row r="688" spans="4:4" ht="15.75" customHeight="1">
      <c r="D688" s="51"/>
    </row>
    <row r="689" spans="4:4" ht="15.75" customHeight="1">
      <c r="D689" s="51"/>
    </row>
    <row r="690" spans="4:4" ht="15.75" customHeight="1">
      <c r="D690" s="51"/>
    </row>
    <row r="691" spans="4:4" ht="15.75" customHeight="1">
      <c r="D691" s="51"/>
    </row>
    <row r="692" spans="4:4" ht="15.75" customHeight="1">
      <c r="D692" s="51"/>
    </row>
    <row r="693" spans="4:4" ht="15.75" customHeight="1">
      <c r="D693" s="51"/>
    </row>
    <row r="694" spans="4:4" ht="15.75" customHeight="1">
      <c r="D694" s="51"/>
    </row>
    <row r="695" spans="4:4" ht="15.75" customHeight="1">
      <c r="D695" s="51"/>
    </row>
    <row r="696" spans="4:4" ht="15.75" customHeight="1">
      <c r="D696" s="51"/>
    </row>
    <row r="697" spans="4:4" ht="15.75" customHeight="1">
      <c r="D697" s="51"/>
    </row>
    <row r="698" spans="4:4" ht="15.75" customHeight="1">
      <c r="D698" s="51"/>
    </row>
    <row r="699" spans="4:4" ht="15.75" customHeight="1">
      <c r="D699" s="51"/>
    </row>
    <row r="700" spans="4:4" ht="15.75" customHeight="1">
      <c r="D700" s="51"/>
    </row>
    <row r="701" spans="4:4" ht="15.75" customHeight="1">
      <c r="D701" s="51"/>
    </row>
    <row r="702" spans="4:4" ht="15.75" customHeight="1">
      <c r="D702" s="51"/>
    </row>
    <row r="703" spans="4:4" ht="15.75" customHeight="1">
      <c r="D703" s="51"/>
    </row>
    <row r="704" spans="4:4" ht="15.75" customHeight="1">
      <c r="D704" s="51"/>
    </row>
    <row r="705" spans="4:4" ht="15.75" customHeight="1">
      <c r="D705" s="51"/>
    </row>
    <row r="706" spans="4:4" ht="15.75" customHeight="1">
      <c r="D706" s="51"/>
    </row>
    <row r="707" spans="4:4" ht="15.75" customHeight="1">
      <c r="D707" s="51"/>
    </row>
    <row r="708" spans="4:4" ht="15.75" customHeight="1">
      <c r="D708" s="51"/>
    </row>
    <row r="709" spans="4:4" ht="15.75" customHeight="1">
      <c r="D709" s="51"/>
    </row>
    <row r="710" spans="4:4" ht="15.75" customHeight="1">
      <c r="D710" s="51"/>
    </row>
    <row r="711" spans="4:4" ht="15.75" customHeight="1">
      <c r="D711" s="51"/>
    </row>
    <row r="712" spans="4:4" ht="15.75" customHeight="1">
      <c r="D712" s="51"/>
    </row>
    <row r="713" spans="4:4" ht="15.75" customHeight="1">
      <c r="D713" s="51"/>
    </row>
    <row r="714" spans="4:4" ht="15.75" customHeight="1">
      <c r="D714" s="51"/>
    </row>
    <row r="715" spans="4:4" ht="15.75" customHeight="1">
      <c r="D715" s="51"/>
    </row>
    <row r="716" spans="4:4" ht="15.75" customHeight="1">
      <c r="D716" s="51"/>
    </row>
    <row r="717" spans="4:4" ht="15.75" customHeight="1">
      <c r="D717" s="51"/>
    </row>
    <row r="718" spans="4:4" ht="15.75" customHeight="1">
      <c r="D718" s="51"/>
    </row>
    <row r="719" spans="4:4" ht="15.75" customHeight="1">
      <c r="D719" s="51"/>
    </row>
    <row r="720" spans="4:4" ht="15.75" customHeight="1">
      <c r="D720" s="51"/>
    </row>
    <row r="721" spans="4:4" ht="15.75" customHeight="1">
      <c r="D721" s="51"/>
    </row>
    <row r="722" spans="4:4" ht="15.75" customHeight="1">
      <c r="D722" s="51"/>
    </row>
    <row r="723" spans="4:4" ht="15.75" customHeight="1">
      <c r="D723" s="51"/>
    </row>
    <row r="724" spans="4:4" ht="15.75" customHeight="1">
      <c r="D724" s="51"/>
    </row>
    <row r="725" spans="4:4" ht="15.75" customHeight="1">
      <c r="D725" s="51"/>
    </row>
    <row r="726" spans="4:4" ht="15.75" customHeight="1">
      <c r="D726" s="51"/>
    </row>
    <row r="727" spans="4:4" ht="15.75" customHeight="1">
      <c r="D727" s="51"/>
    </row>
    <row r="728" spans="4:4" ht="15.75" customHeight="1">
      <c r="D728" s="51"/>
    </row>
    <row r="729" spans="4:4" ht="15.75" customHeight="1">
      <c r="D729" s="51"/>
    </row>
    <row r="730" spans="4:4" ht="15.75" customHeight="1">
      <c r="D730" s="51"/>
    </row>
    <row r="731" spans="4:4" ht="15.75" customHeight="1">
      <c r="D731" s="51"/>
    </row>
    <row r="732" spans="4:4" ht="15.75" customHeight="1">
      <c r="D732" s="51"/>
    </row>
    <row r="733" spans="4:4" ht="15.75" customHeight="1">
      <c r="D733" s="51"/>
    </row>
    <row r="734" spans="4:4" ht="15.75" customHeight="1">
      <c r="D734" s="51"/>
    </row>
    <row r="735" spans="4:4" ht="15.75" customHeight="1">
      <c r="D735" s="51"/>
    </row>
    <row r="736" spans="4:4" ht="15.75" customHeight="1">
      <c r="D736" s="51"/>
    </row>
    <row r="737" spans="4:4" ht="15.75" customHeight="1">
      <c r="D737" s="51"/>
    </row>
    <row r="738" spans="4:4" ht="15.75" customHeight="1">
      <c r="D738" s="51"/>
    </row>
    <row r="739" spans="4:4" ht="15.75" customHeight="1">
      <c r="D739" s="51"/>
    </row>
    <row r="740" spans="4:4" ht="15.75" customHeight="1">
      <c r="D740" s="51"/>
    </row>
    <row r="741" spans="4:4" ht="15.75" customHeight="1">
      <c r="D741" s="51"/>
    </row>
    <row r="742" spans="4:4" ht="15.75" customHeight="1">
      <c r="D742" s="51"/>
    </row>
    <row r="743" spans="4:4" ht="15.75" customHeight="1">
      <c r="D743" s="51"/>
    </row>
    <row r="744" spans="4:4" ht="15.75" customHeight="1">
      <c r="D744" s="51"/>
    </row>
    <row r="745" spans="4:4" ht="15.75" customHeight="1">
      <c r="D745" s="51"/>
    </row>
    <row r="746" spans="4:4" ht="15.75" customHeight="1">
      <c r="D746" s="51"/>
    </row>
    <row r="747" spans="4:4" ht="15.75" customHeight="1">
      <c r="D747" s="51"/>
    </row>
    <row r="748" spans="4:4" ht="15.75" customHeight="1">
      <c r="D748" s="51"/>
    </row>
    <row r="749" spans="4:4" ht="15.75" customHeight="1">
      <c r="D749" s="51"/>
    </row>
    <row r="750" spans="4:4" ht="15.75" customHeight="1">
      <c r="D750" s="51"/>
    </row>
    <row r="751" spans="4:4" ht="15.75" customHeight="1">
      <c r="D751" s="51"/>
    </row>
    <row r="752" spans="4:4" ht="15.75" customHeight="1">
      <c r="D752" s="51"/>
    </row>
    <row r="753" spans="4:4" ht="15.75" customHeight="1">
      <c r="D753" s="51"/>
    </row>
    <row r="754" spans="4:4" ht="15.75" customHeight="1">
      <c r="D754" s="51"/>
    </row>
    <row r="755" spans="4:4" ht="15.75" customHeight="1">
      <c r="D755" s="51"/>
    </row>
    <row r="756" spans="4:4" ht="15.75" customHeight="1">
      <c r="D756" s="51"/>
    </row>
    <row r="757" spans="4:4" ht="15.75" customHeight="1">
      <c r="D757" s="51"/>
    </row>
    <row r="758" spans="4:4" ht="15.75" customHeight="1">
      <c r="D758" s="51"/>
    </row>
    <row r="759" spans="4:4" ht="15.75" customHeight="1">
      <c r="D759" s="51"/>
    </row>
    <row r="760" spans="4:4" ht="15.75" customHeight="1">
      <c r="D760" s="51"/>
    </row>
    <row r="761" spans="4:4" ht="15.75" customHeight="1">
      <c r="D761" s="51"/>
    </row>
    <row r="762" spans="4:4" ht="15.75" customHeight="1">
      <c r="D762" s="51"/>
    </row>
    <row r="763" spans="4:4" ht="15.75" customHeight="1">
      <c r="D763" s="51"/>
    </row>
    <row r="764" spans="4:4" ht="15.75" customHeight="1">
      <c r="D764" s="51"/>
    </row>
    <row r="765" spans="4:4" ht="15.75" customHeight="1">
      <c r="D765" s="51"/>
    </row>
    <row r="766" spans="4:4" ht="15.75" customHeight="1">
      <c r="D766" s="51"/>
    </row>
    <row r="767" spans="4:4" ht="15.75" customHeight="1">
      <c r="D767" s="51"/>
    </row>
    <row r="768" spans="4:4" ht="15.75" customHeight="1">
      <c r="D768" s="51"/>
    </row>
    <row r="769" spans="4:4" ht="15.75" customHeight="1">
      <c r="D769" s="51"/>
    </row>
    <row r="770" spans="4:4" ht="15.75" customHeight="1">
      <c r="D770" s="51"/>
    </row>
    <row r="771" spans="4:4" ht="15.75" customHeight="1">
      <c r="D771" s="51"/>
    </row>
    <row r="772" spans="4:4" ht="15.75" customHeight="1">
      <c r="D772" s="51"/>
    </row>
    <row r="773" spans="4:4" ht="15.75" customHeight="1">
      <c r="D773" s="51"/>
    </row>
    <row r="774" spans="4:4" ht="15.75" customHeight="1">
      <c r="D774" s="51"/>
    </row>
    <row r="775" spans="4:4" ht="15.75" customHeight="1">
      <c r="D775" s="51"/>
    </row>
    <row r="776" spans="4:4" ht="15.75" customHeight="1">
      <c r="D776" s="51"/>
    </row>
    <row r="777" spans="4:4" ht="15.75" customHeight="1">
      <c r="D777" s="51"/>
    </row>
    <row r="778" spans="4:4" ht="15.75" customHeight="1">
      <c r="D778" s="51"/>
    </row>
    <row r="779" spans="4:4" ht="15.75" customHeight="1">
      <c r="D779" s="51"/>
    </row>
    <row r="780" spans="4:4" ht="15.75" customHeight="1">
      <c r="D780" s="51"/>
    </row>
    <row r="781" spans="4:4" ht="15.75" customHeight="1">
      <c r="D781" s="51"/>
    </row>
    <row r="782" spans="4:4" ht="15.75" customHeight="1">
      <c r="D782" s="51"/>
    </row>
    <row r="783" spans="4:4" ht="15.75" customHeight="1">
      <c r="D783" s="51"/>
    </row>
    <row r="784" spans="4:4" ht="15.75" customHeight="1">
      <c r="D784" s="51"/>
    </row>
    <row r="785" spans="4:4" ht="15.75" customHeight="1">
      <c r="D785" s="51"/>
    </row>
    <row r="786" spans="4:4" ht="15.75" customHeight="1">
      <c r="D786" s="51"/>
    </row>
    <row r="787" spans="4:4" ht="15.75" customHeight="1">
      <c r="D787" s="51"/>
    </row>
    <row r="788" spans="4:4" ht="15.75" customHeight="1">
      <c r="D788" s="51"/>
    </row>
    <row r="789" spans="4:4" ht="15.75" customHeight="1">
      <c r="D789" s="51"/>
    </row>
    <row r="790" spans="4:4" ht="15.75" customHeight="1">
      <c r="D790" s="51"/>
    </row>
    <row r="791" spans="4:4" ht="15.75" customHeight="1">
      <c r="D791" s="51"/>
    </row>
    <row r="792" spans="4:4" ht="15.75" customHeight="1">
      <c r="D792" s="51"/>
    </row>
    <row r="793" spans="4:4" ht="15.75" customHeight="1">
      <c r="D793" s="51"/>
    </row>
    <row r="794" spans="4:4" ht="15.75" customHeight="1">
      <c r="D794" s="51"/>
    </row>
    <row r="795" spans="4:4" ht="15.75" customHeight="1">
      <c r="D795" s="51"/>
    </row>
    <row r="796" spans="4:4" ht="15.75" customHeight="1">
      <c r="D796" s="51"/>
    </row>
    <row r="797" spans="4:4" ht="15.75" customHeight="1">
      <c r="D797" s="51"/>
    </row>
    <row r="798" spans="4:4" ht="15.75" customHeight="1">
      <c r="D798" s="51"/>
    </row>
    <row r="799" spans="4:4" ht="15.75" customHeight="1">
      <c r="D799" s="51"/>
    </row>
    <row r="800" spans="4:4" ht="15.75" customHeight="1">
      <c r="D800" s="51"/>
    </row>
    <row r="801" spans="4:4" ht="15.75" customHeight="1">
      <c r="D801" s="51"/>
    </row>
    <row r="802" spans="4:4" ht="15.75" customHeight="1">
      <c r="D802" s="51"/>
    </row>
    <row r="803" spans="4:4" ht="15.75" customHeight="1">
      <c r="D803" s="51"/>
    </row>
    <row r="804" spans="4:4" ht="15.75" customHeight="1">
      <c r="D804" s="51"/>
    </row>
    <row r="805" spans="4:4" ht="15.75" customHeight="1">
      <c r="D805" s="51"/>
    </row>
    <row r="806" spans="4:4" ht="15.75" customHeight="1">
      <c r="D806" s="51"/>
    </row>
    <row r="807" spans="4:4" ht="15.75" customHeight="1">
      <c r="D807" s="51"/>
    </row>
    <row r="808" spans="4:4" ht="15.75" customHeight="1">
      <c r="D808" s="51"/>
    </row>
    <row r="809" spans="4:4" ht="15.75" customHeight="1">
      <c r="D809" s="51"/>
    </row>
    <row r="810" spans="4:4" ht="15.75" customHeight="1">
      <c r="D810" s="51"/>
    </row>
    <row r="811" spans="4:4" ht="15.75" customHeight="1">
      <c r="D811" s="51"/>
    </row>
    <row r="812" spans="4:4" ht="15.75" customHeight="1">
      <c r="D812" s="51"/>
    </row>
    <row r="813" spans="4:4" ht="15.75" customHeight="1">
      <c r="D813" s="51"/>
    </row>
    <row r="814" spans="4:4" ht="15.75" customHeight="1">
      <c r="D814" s="51"/>
    </row>
    <row r="815" spans="4:4" ht="15.75" customHeight="1">
      <c r="D815" s="51"/>
    </row>
    <row r="816" spans="4:4" ht="15.75" customHeight="1">
      <c r="D816" s="51"/>
    </row>
    <row r="817" spans="4:4" ht="15.75" customHeight="1">
      <c r="D817" s="51"/>
    </row>
    <row r="818" spans="4:4" ht="15.75" customHeight="1">
      <c r="D818" s="51"/>
    </row>
    <row r="819" spans="4:4" ht="15.75" customHeight="1">
      <c r="D819" s="51"/>
    </row>
    <row r="820" spans="4:4" ht="15.75" customHeight="1">
      <c r="D820" s="51"/>
    </row>
    <row r="821" spans="4:4" ht="15.75" customHeight="1">
      <c r="D821" s="51"/>
    </row>
    <row r="822" spans="4:4" ht="15.75" customHeight="1">
      <c r="D822" s="51"/>
    </row>
    <row r="823" spans="4:4" ht="15.75" customHeight="1">
      <c r="D823" s="51"/>
    </row>
    <row r="824" spans="4:4" ht="15.75" customHeight="1">
      <c r="D824" s="51"/>
    </row>
    <row r="825" spans="4:4" ht="15.75" customHeight="1">
      <c r="D825" s="51"/>
    </row>
    <row r="826" spans="4:4" ht="15.75" customHeight="1">
      <c r="D826" s="51"/>
    </row>
    <row r="827" spans="4:4" ht="15.75" customHeight="1">
      <c r="D827" s="51"/>
    </row>
    <row r="828" spans="4:4" ht="15.75" customHeight="1">
      <c r="D828" s="51"/>
    </row>
    <row r="829" spans="4:4" ht="15.75" customHeight="1">
      <c r="D829" s="51"/>
    </row>
    <row r="830" spans="4:4" ht="15.75" customHeight="1">
      <c r="D830" s="51"/>
    </row>
    <row r="831" spans="4:4" ht="15.75" customHeight="1">
      <c r="D831" s="51"/>
    </row>
    <row r="832" spans="4:4" ht="15.75" customHeight="1">
      <c r="D832" s="51"/>
    </row>
    <row r="833" spans="4:4" ht="15.75" customHeight="1">
      <c r="D833" s="51"/>
    </row>
    <row r="834" spans="4:4" ht="15.75" customHeight="1">
      <c r="D834" s="51"/>
    </row>
    <row r="835" spans="4:4" ht="15.75" customHeight="1">
      <c r="D835" s="51"/>
    </row>
    <row r="836" spans="4:4" ht="15.75" customHeight="1">
      <c r="D836" s="51"/>
    </row>
    <row r="837" spans="4:4" ht="15.75" customHeight="1">
      <c r="D837" s="51"/>
    </row>
    <row r="838" spans="4:4" ht="15.75" customHeight="1">
      <c r="D838" s="51"/>
    </row>
    <row r="839" spans="4:4" ht="15.75" customHeight="1">
      <c r="D839" s="51"/>
    </row>
    <row r="840" spans="4:4" ht="15.75" customHeight="1">
      <c r="D840" s="51"/>
    </row>
    <row r="841" spans="4:4" ht="15.75" customHeight="1">
      <c r="D841" s="51"/>
    </row>
    <row r="842" spans="4:4" ht="15.75" customHeight="1">
      <c r="D842" s="51"/>
    </row>
    <row r="843" spans="4:4" ht="15.75" customHeight="1">
      <c r="D843" s="51"/>
    </row>
    <row r="844" spans="4:4" ht="15.75" customHeight="1">
      <c r="D844" s="51"/>
    </row>
    <row r="845" spans="4:4" ht="15.75" customHeight="1">
      <c r="D845" s="51"/>
    </row>
    <row r="846" spans="4:4" ht="15.75" customHeight="1">
      <c r="D846" s="51"/>
    </row>
    <row r="847" spans="4:4" ht="15.75" customHeight="1">
      <c r="D847" s="51"/>
    </row>
    <row r="848" spans="4:4" ht="15.75" customHeight="1">
      <c r="D848" s="51"/>
    </row>
    <row r="849" spans="4:4" ht="15.75" customHeight="1">
      <c r="D849" s="51"/>
    </row>
    <row r="850" spans="4:4" ht="15.75" customHeight="1">
      <c r="D850" s="51"/>
    </row>
    <row r="851" spans="4:4" ht="15.75" customHeight="1">
      <c r="D851" s="51"/>
    </row>
    <row r="852" spans="4:4" ht="15.75" customHeight="1">
      <c r="D852" s="51"/>
    </row>
    <row r="853" spans="4:4" ht="15.75" customHeight="1">
      <c r="D853" s="51"/>
    </row>
    <row r="854" spans="4:4" ht="15.75" customHeight="1">
      <c r="D854" s="51"/>
    </row>
    <row r="855" spans="4:4" ht="15.75" customHeight="1">
      <c r="D855" s="51"/>
    </row>
    <row r="856" spans="4:4" ht="15.75" customHeight="1">
      <c r="D856" s="51"/>
    </row>
    <row r="857" spans="4:4" ht="15.75" customHeight="1">
      <c r="D857" s="51"/>
    </row>
    <row r="858" spans="4:4" ht="15.75" customHeight="1">
      <c r="D858" s="51"/>
    </row>
    <row r="859" spans="4:4" ht="15.75" customHeight="1">
      <c r="D859" s="51"/>
    </row>
    <row r="860" spans="4:4" ht="15.75" customHeight="1">
      <c r="D860" s="51"/>
    </row>
    <row r="861" spans="4:4" ht="15.75" customHeight="1">
      <c r="D861" s="51"/>
    </row>
    <row r="862" spans="4:4" ht="15.75" customHeight="1">
      <c r="D862" s="51"/>
    </row>
    <row r="863" spans="4:4" ht="15.75" customHeight="1">
      <c r="D863" s="51"/>
    </row>
    <row r="864" spans="4:4" ht="15.75" customHeight="1">
      <c r="D864" s="51"/>
    </row>
    <row r="865" spans="4:4" ht="15.75" customHeight="1">
      <c r="D865" s="51"/>
    </row>
    <row r="866" spans="4:4" ht="15.75" customHeight="1">
      <c r="D866" s="51"/>
    </row>
    <row r="867" spans="4:4" ht="15.75" customHeight="1">
      <c r="D867" s="51"/>
    </row>
    <row r="868" spans="4:4" ht="15.75" customHeight="1">
      <c r="D868" s="51"/>
    </row>
    <row r="869" spans="4:4" ht="15.75" customHeight="1">
      <c r="D869" s="51"/>
    </row>
    <row r="870" spans="4:4" ht="15.75" customHeight="1">
      <c r="D870" s="51"/>
    </row>
    <row r="871" spans="4:4" ht="15.75" customHeight="1">
      <c r="D871" s="51"/>
    </row>
    <row r="872" spans="4:4" ht="15.75" customHeight="1">
      <c r="D872" s="51"/>
    </row>
    <row r="873" spans="4:4" ht="15.75" customHeight="1">
      <c r="D873" s="51"/>
    </row>
    <row r="874" spans="4:4" ht="15.75" customHeight="1">
      <c r="D874" s="51"/>
    </row>
    <row r="875" spans="4:4" ht="15.75" customHeight="1">
      <c r="D875" s="51"/>
    </row>
    <row r="876" spans="4:4" ht="15.75" customHeight="1">
      <c r="D876" s="51"/>
    </row>
    <row r="877" spans="4:4" ht="15.75" customHeight="1">
      <c r="D877" s="51"/>
    </row>
    <row r="878" spans="4:4" ht="15.75" customHeight="1">
      <c r="D878" s="51"/>
    </row>
    <row r="879" spans="4:4" ht="15.75" customHeight="1">
      <c r="D879" s="51"/>
    </row>
    <row r="880" spans="4:4" ht="15.75" customHeight="1">
      <c r="D880" s="51"/>
    </row>
    <row r="881" spans="4:4" ht="15.75" customHeight="1">
      <c r="D881" s="51"/>
    </row>
    <row r="882" spans="4:4" ht="15.75" customHeight="1">
      <c r="D882" s="51"/>
    </row>
    <row r="883" spans="4:4" ht="15.75" customHeight="1">
      <c r="D883" s="51"/>
    </row>
    <row r="884" spans="4:4" ht="15.75" customHeight="1">
      <c r="D884" s="51"/>
    </row>
    <row r="885" spans="4:4" ht="15.75" customHeight="1">
      <c r="D885" s="51"/>
    </row>
    <row r="886" spans="4:4" ht="15.75" customHeight="1">
      <c r="D886" s="51"/>
    </row>
    <row r="887" spans="4:4" ht="15.75" customHeight="1">
      <c r="D887" s="51"/>
    </row>
    <row r="888" spans="4:4" ht="15.75" customHeight="1">
      <c r="D888" s="51"/>
    </row>
    <row r="889" spans="4:4" ht="15.75" customHeight="1">
      <c r="D889" s="51"/>
    </row>
    <row r="890" spans="4:4" ht="15.75" customHeight="1">
      <c r="D890" s="51"/>
    </row>
    <row r="891" spans="4:4" ht="15.75" customHeight="1">
      <c r="D891" s="51"/>
    </row>
    <row r="892" spans="4:4" ht="15.75" customHeight="1">
      <c r="D892" s="51"/>
    </row>
    <row r="893" spans="4:4" ht="15.75" customHeight="1">
      <c r="D893" s="51"/>
    </row>
    <row r="894" spans="4:4" ht="15.75" customHeight="1">
      <c r="D894" s="51"/>
    </row>
    <row r="895" spans="4:4" ht="15.75" customHeight="1">
      <c r="D895" s="51"/>
    </row>
    <row r="896" spans="4:4" ht="15.75" customHeight="1">
      <c r="D896" s="51"/>
    </row>
    <row r="897" spans="4:4" ht="15.75" customHeight="1">
      <c r="D897" s="51"/>
    </row>
    <row r="898" spans="4:4" ht="15.75" customHeight="1">
      <c r="D898" s="51"/>
    </row>
    <row r="899" spans="4:4" ht="15.75" customHeight="1">
      <c r="D899" s="51"/>
    </row>
    <row r="900" spans="4:4" ht="15.75" customHeight="1">
      <c r="D900" s="51"/>
    </row>
    <row r="901" spans="4:4" ht="15.75" customHeight="1">
      <c r="D901" s="51"/>
    </row>
    <row r="902" spans="4:4" ht="15.75" customHeight="1">
      <c r="D902" s="51"/>
    </row>
    <row r="903" spans="4:4" ht="15.75" customHeight="1">
      <c r="D903" s="51"/>
    </row>
    <row r="904" spans="4:4" ht="15.75" customHeight="1">
      <c r="D904" s="51"/>
    </row>
    <row r="905" spans="4:4" ht="15.75" customHeight="1">
      <c r="D905" s="51"/>
    </row>
    <row r="906" spans="4:4" ht="15.75" customHeight="1">
      <c r="D906" s="51"/>
    </row>
    <row r="907" spans="4:4" ht="15.75" customHeight="1">
      <c r="D907" s="51"/>
    </row>
    <row r="908" spans="4:4" ht="15.75" customHeight="1">
      <c r="D908" s="51"/>
    </row>
    <row r="909" spans="4:4" ht="15.75" customHeight="1">
      <c r="D909" s="51"/>
    </row>
    <row r="910" spans="4:4" ht="15.75" customHeight="1">
      <c r="D910" s="51"/>
    </row>
    <row r="911" spans="4:4" ht="15.75" customHeight="1">
      <c r="D911" s="51"/>
    </row>
    <row r="912" spans="4:4" ht="15.75" customHeight="1">
      <c r="D912" s="51"/>
    </row>
    <row r="913" spans="4:4" ht="15.75" customHeight="1">
      <c r="D913" s="51"/>
    </row>
    <row r="914" spans="4:4" ht="15.75" customHeight="1">
      <c r="D914" s="51"/>
    </row>
    <row r="915" spans="4:4" ht="15.75" customHeight="1">
      <c r="D915" s="51"/>
    </row>
    <row r="916" spans="4:4" ht="15.75" customHeight="1">
      <c r="D916" s="51"/>
    </row>
    <row r="917" spans="4:4" ht="15.75" customHeight="1">
      <c r="D917" s="51"/>
    </row>
    <row r="918" spans="4:4" ht="15.75" customHeight="1">
      <c r="D918" s="51"/>
    </row>
    <row r="919" spans="4:4" ht="15.75" customHeight="1">
      <c r="D919" s="51"/>
    </row>
    <row r="920" spans="4:4" ht="15.75" customHeight="1">
      <c r="D920" s="51"/>
    </row>
    <row r="921" spans="4:4" ht="15.75" customHeight="1">
      <c r="D921" s="51"/>
    </row>
    <row r="922" spans="4:4" ht="15.75" customHeight="1">
      <c r="D922" s="51"/>
    </row>
    <row r="923" spans="4:4" ht="15.75" customHeight="1">
      <c r="D923" s="51"/>
    </row>
    <row r="924" spans="4:4" ht="15.75" customHeight="1">
      <c r="D924" s="51"/>
    </row>
    <row r="925" spans="4:4" ht="15.75" customHeight="1">
      <c r="D925" s="51"/>
    </row>
    <row r="926" spans="4:4" ht="15.75" customHeight="1">
      <c r="D926" s="51"/>
    </row>
    <row r="927" spans="4:4" ht="15.75" customHeight="1">
      <c r="D927" s="51"/>
    </row>
    <row r="928" spans="4:4" ht="15.75" customHeight="1">
      <c r="D928" s="51"/>
    </row>
    <row r="929" spans="4:4" ht="15.75" customHeight="1">
      <c r="D929" s="51"/>
    </row>
    <row r="930" spans="4:4" ht="15.75" customHeight="1">
      <c r="D930" s="51"/>
    </row>
    <row r="931" spans="4:4" ht="15.75" customHeight="1">
      <c r="D931" s="51"/>
    </row>
    <row r="932" spans="4:4" ht="15.75" customHeight="1">
      <c r="D932" s="51"/>
    </row>
    <row r="933" spans="4:4" ht="15.75" customHeight="1">
      <c r="D933" s="51"/>
    </row>
    <row r="934" spans="4:4" ht="15.75" customHeight="1">
      <c r="D934" s="51"/>
    </row>
    <row r="935" spans="4:4" ht="15.75" customHeight="1">
      <c r="D935" s="51"/>
    </row>
    <row r="936" spans="4:4" ht="15.75" customHeight="1">
      <c r="D936" s="51"/>
    </row>
    <row r="937" spans="4:4" ht="15.75" customHeight="1">
      <c r="D937" s="51"/>
    </row>
    <row r="938" spans="4:4" ht="15.75" customHeight="1">
      <c r="D938" s="51"/>
    </row>
    <row r="939" spans="4:4" ht="15.75" customHeight="1">
      <c r="D939" s="51"/>
    </row>
    <row r="940" spans="4:4" ht="15.75" customHeight="1">
      <c r="D940" s="51"/>
    </row>
    <row r="941" spans="4:4" ht="15.75" customHeight="1">
      <c r="D941" s="51"/>
    </row>
    <row r="942" spans="4:4" ht="15.75" customHeight="1">
      <c r="D942" s="51"/>
    </row>
    <row r="943" spans="4:4" ht="15.75" customHeight="1">
      <c r="D943" s="51"/>
    </row>
    <row r="944" spans="4:4" ht="15.75" customHeight="1">
      <c r="D944" s="51"/>
    </row>
    <row r="945" spans="4:4" ht="15.75" customHeight="1">
      <c r="D945" s="51"/>
    </row>
    <row r="946" spans="4:4" ht="15.75" customHeight="1">
      <c r="D946" s="51"/>
    </row>
    <row r="947" spans="4:4" ht="15.75" customHeight="1">
      <c r="D947" s="51"/>
    </row>
    <row r="948" spans="4:4" ht="15.75" customHeight="1">
      <c r="D948" s="51"/>
    </row>
    <row r="949" spans="4:4" ht="15.75" customHeight="1">
      <c r="D949" s="51"/>
    </row>
    <row r="950" spans="4:4" ht="15.75" customHeight="1">
      <c r="D950" s="51"/>
    </row>
    <row r="951" spans="4:4" ht="15.75" customHeight="1">
      <c r="D951" s="51"/>
    </row>
    <row r="952" spans="4:4" ht="15.75" customHeight="1">
      <c r="D952" s="51"/>
    </row>
    <row r="953" spans="4:4" ht="15.75" customHeight="1">
      <c r="D953" s="51"/>
    </row>
    <row r="954" spans="4:4" ht="15.75" customHeight="1">
      <c r="D954" s="51"/>
    </row>
    <row r="955" spans="4:4" ht="15.75" customHeight="1">
      <c r="D955" s="51"/>
    </row>
    <row r="956" spans="4:4" ht="15.75" customHeight="1">
      <c r="D956" s="51"/>
    </row>
    <row r="957" spans="4:4" ht="15.75" customHeight="1">
      <c r="D957" s="51"/>
    </row>
    <row r="958" spans="4:4" ht="15.75" customHeight="1">
      <c r="D958" s="51"/>
    </row>
    <row r="959" spans="4:4" ht="15.75" customHeight="1">
      <c r="D959" s="51"/>
    </row>
    <row r="960" spans="4:4" ht="15.75" customHeight="1">
      <c r="D960" s="51"/>
    </row>
    <row r="961" spans="4:4" ht="15.75" customHeight="1">
      <c r="D961" s="51"/>
    </row>
    <row r="962" spans="4:4" ht="15.75" customHeight="1">
      <c r="D962" s="51"/>
    </row>
    <row r="963" spans="4:4" ht="15.75" customHeight="1">
      <c r="D963" s="51"/>
    </row>
    <row r="964" spans="4:4" ht="15.75" customHeight="1">
      <c r="D964" s="51"/>
    </row>
    <row r="965" spans="4:4" ht="15.75" customHeight="1">
      <c r="D965" s="51"/>
    </row>
    <row r="966" spans="4:4" ht="15.75" customHeight="1">
      <c r="D966" s="51"/>
    </row>
    <row r="967" spans="4:4" ht="15.75" customHeight="1">
      <c r="D967" s="51"/>
    </row>
    <row r="968" spans="4:4" ht="15.75" customHeight="1">
      <c r="D968" s="51"/>
    </row>
    <row r="969" spans="4:4" ht="15.75" customHeight="1">
      <c r="D969" s="51"/>
    </row>
    <row r="970" spans="4:4" ht="15.75" customHeight="1">
      <c r="D970" s="51"/>
    </row>
    <row r="971" spans="4:4" ht="15.75" customHeight="1">
      <c r="D971" s="51"/>
    </row>
    <row r="972" spans="4:4" ht="15.75" customHeight="1">
      <c r="D972" s="51"/>
    </row>
    <row r="973" spans="4:4" ht="15.75" customHeight="1">
      <c r="D973" s="51"/>
    </row>
    <row r="974" spans="4:4" ht="15.75" customHeight="1">
      <c r="D974" s="51"/>
    </row>
    <row r="975" spans="4:4" ht="15.75" customHeight="1">
      <c r="D975" s="51"/>
    </row>
    <row r="976" spans="4:4" ht="15.75" customHeight="1">
      <c r="D976" s="51"/>
    </row>
    <row r="977" spans="4:4" ht="15.75" customHeight="1">
      <c r="D977" s="51"/>
    </row>
    <row r="978" spans="4:4" ht="15.75" customHeight="1">
      <c r="D978" s="51"/>
    </row>
    <row r="979" spans="4:4" ht="15.75" customHeight="1">
      <c r="D979" s="51"/>
    </row>
    <row r="980" spans="4:4" ht="15.75" customHeight="1">
      <c r="D980" s="51"/>
    </row>
    <row r="981" spans="4:4" ht="15.75" customHeight="1">
      <c r="D981" s="51"/>
    </row>
    <row r="982" spans="4:4" ht="15.75" customHeight="1">
      <c r="D982" s="51"/>
    </row>
    <row r="983" spans="4:4" ht="15.75" customHeight="1">
      <c r="D983" s="51"/>
    </row>
    <row r="984" spans="4:4" ht="15.75" customHeight="1">
      <c r="D984" s="51"/>
    </row>
    <row r="985" spans="4:4" ht="15.75" customHeight="1">
      <c r="D985" s="51"/>
    </row>
    <row r="986" spans="4:4" ht="15.75" customHeight="1">
      <c r="D986" s="51"/>
    </row>
    <row r="987" spans="4:4" ht="15.75" customHeight="1">
      <c r="D987" s="51"/>
    </row>
    <row r="988" spans="4:4" ht="15.75" customHeight="1">
      <c r="D988" s="51"/>
    </row>
    <row r="989" spans="4:4" ht="15.75" customHeight="1">
      <c r="D989" s="51"/>
    </row>
    <row r="990" spans="4:4" ht="15.75" customHeight="1">
      <c r="D990" s="51"/>
    </row>
    <row r="991" spans="4:4" ht="15.75" customHeight="1">
      <c r="D991" s="51"/>
    </row>
    <row r="992" spans="4:4" ht="15.75" customHeight="1">
      <c r="D992" s="51"/>
    </row>
    <row r="993" spans="4:4" ht="15.75" customHeight="1">
      <c r="D993" s="51"/>
    </row>
    <row r="994" spans="4:4" ht="15.75" customHeight="1">
      <c r="D994" s="51"/>
    </row>
    <row r="995" spans="4:4" ht="15.75" customHeight="1">
      <c r="D995" s="51"/>
    </row>
    <row r="996" spans="4:4" ht="15.75" customHeight="1">
      <c r="D996" s="51"/>
    </row>
    <row r="997" spans="4:4" ht="15.75" customHeight="1">
      <c r="D997" s="51"/>
    </row>
    <row r="998" spans="4:4" ht="15.75" customHeight="1">
      <c r="D998" s="51"/>
    </row>
    <row r="999" spans="4:4" ht="15.75" customHeight="1">
      <c r="D999" s="51"/>
    </row>
    <row r="1000" spans="4:4" ht="15.75" customHeight="1">
      <c r="D1000" s="51"/>
    </row>
    <row r="1001" spans="4:4" ht="15.75" customHeight="1">
      <c r="D1001" s="51"/>
    </row>
    <row r="1002" spans="4:4" ht="15.75" customHeight="1">
      <c r="D1002" s="51"/>
    </row>
    <row r="1003" spans="4:4" ht="15.75" customHeight="1">
      <c r="D1003" s="51"/>
    </row>
  </sheetData>
  <autoFilter ref="A1:O142" xr:uid="{00000000-0001-0000-0600-000000000000}"/>
  <conditionalFormatting sqref="I1:I144 I159:I1048576">
    <cfRule type="duplicateValues" dxfId="0" priority="2"/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8"/>
  <sheetViews>
    <sheetView showGridLines="0" zoomScale="90" zoomScaleNormal="90" workbookViewId="0">
      <selection activeCell="U6" sqref="U6"/>
    </sheetView>
  </sheetViews>
  <sheetFormatPr baseColWidth="10" defaultColWidth="12.5703125" defaultRowHeight="15" customHeight="1"/>
  <cols>
    <col min="1" max="2" width="12.5703125" customWidth="1"/>
    <col min="3" max="3" width="18.7109375" customWidth="1"/>
    <col min="4" max="6" width="12.5703125" customWidth="1"/>
    <col min="7" max="7" width="24.28515625" hidden="1" customWidth="1"/>
    <col min="8" max="9" width="0" hidden="1" customWidth="1"/>
    <col min="10" max="10" width="32.85546875" hidden="1" customWidth="1"/>
    <col min="11" max="22" width="12.5703125" customWidth="1"/>
  </cols>
  <sheetData>
    <row r="1" spans="1:22" ht="45">
      <c r="A1" s="85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436</v>
      </c>
      <c r="G1" s="85" t="s">
        <v>258</v>
      </c>
      <c r="H1" s="85" t="s">
        <v>248</v>
      </c>
      <c r="I1" s="85" t="s">
        <v>250</v>
      </c>
      <c r="J1" s="85" t="s">
        <v>437</v>
      </c>
      <c r="K1" s="85" t="s">
        <v>251</v>
      </c>
      <c r="L1" s="85" t="s">
        <v>252</v>
      </c>
      <c r="M1" s="85" t="s">
        <v>253</v>
      </c>
      <c r="N1" s="85" t="s">
        <v>438</v>
      </c>
      <c r="O1" s="85" t="s">
        <v>254</v>
      </c>
      <c r="P1" s="85" t="s">
        <v>255</v>
      </c>
      <c r="Q1" s="85" t="s">
        <v>439</v>
      </c>
      <c r="R1" s="85" t="s">
        <v>440</v>
      </c>
      <c r="S1" s="85" t="s">
        <v>441</v>
      </c>
      <c r="T1" s="85" t="s">
        <v>38</v>
      </c>
      <c r="U1" s="85" t="s">
        <v>259</v>
      </c>
      <c r="V1" s="85" t="s">
        <v>442</v>
      </c>
    </row>
    <row r="2" spans="1:22" s="119" customFormat="1" ht="30">
      <c r="A2" s="170">
        <v>1</v>
      </c>
      <c r="B2" s="171" t="s">
        <v>105</v>
      </c>
      <c r="C2" s="105" t="s">
        <v>20</v>
      </c>
      <c r="D2" s="171" t="s">
        <v>270</v>
      </c>
      <c r="E2" s="171" t="s">
        <v>279</v>
      </c>
      <c r="F2" s="171" t="s">
        <v>443</v>
      </c>
      <c r="G2" s="43" t="s">
        <v>444</v>
      </c>
      <c r="H2" s="43" t="s">
        <v>267</v>
      </c>
      <c r="I2" s="43" t="s">
        <v>445</v>
      </c>
      <c r="J2" s="58"/>
      <c r="K2" s="171" t="s">
        <v>446</v>
      </c>
      <c r="L2" s="171" t="s">
        <v>447</v>
      </c>
      <c r="M2" s="171" t="s">
        <v>448</v>
      </c>
      <c r="N2" s="102"/>
      <c r="O2" s="171" t="s">
        <v>323</v>
      </c>
      <c r="P2" s="102"/>
      <c r="Q2" s="102" t="s">
        <v>266</v>
      </c>
      <c r="R2" s="171" t="s">
        <v>266</v>
      </c>
      <c r="S2" s="176"/>
      <c r="T2" s="172" t="s">
        <v>449</v>
      </c>
      <c r="U2" s="118" t="s">
        <v>309</v>
      </c>
      <c r="V2" s="87"/>
    </row>
    <row r="3" spans="1:22" s="119" customFormat="1" ht="30">
      <c r="A3" s="170"/>
      <c r="B3" s="171" t="s">
        <v>105</v>
      </c>
      <c r="C3" s="105" t="s">
        <v>20</v>
      </c>
      <c r="D3" s="171" t="s">
        <v>270</v>
      </c>
      <c r="E3" s="171" t="s">
        <v>279</v>
      </c>
      <c r="F3" s="171" t="s">
        <v>450</v>
      </c>
      <c r="G3" s="43"/>
      <c r="H3" s="43"/>
      <c r="I3" s="43"/>
      <c r="J3" s="58"/>
      <c r="K3" s="171" t="s">
        <v>446</v>
      </c>
      <c r="L3" s="171" t="s">
        <v>451</v>
      </c>
      <c r="M3" s="171" t="s">
        <v>352</v>
      </c>
      <c r="N3" s="102"/>
      <c r="O3" s="171" t="s">
        <v>323</v>
      </c>
      <c r="P3" s="102"/>
      <c r="Q3" s="102" t="s">
        <v>266</v>
      </c>
      <c r="R3" s="171" t="s">
        <v>267</v>
      </c>
      <c r="S3" s="176"/>
      <c r="T3" s="172" t="s">
        <v>449</v>
      </c>
      <c r="U3" s="118" t="s">
        <v>316</v>
      </c>
      <c r="V3" s="87"/>
    </row>
    <row r="4" spans="1:22" s="119" customFormat="1" ht="30">
      <c r="A4" s="170"/>
      <c r="B4" s="171" t="s">
        <v>105</v>
      </c>
      <c r="C4" s="105" t="s">
        <v>20</v>
      </c>
      <c r="D4" s="171" t="s">
        <v>270</v>
      </c>
      <c r="E4" s="171" t="s">
        <v>279</v>
      </c>
      <c r="F4" s="171" t="s">
        <v>452</v>
      </c>
      <c r="G4" s="43"/>
      <c r="H4" s="43"/>
      <c r="I4" s="43"/>
      <c r="J4" s="58"/>
      <c r="K4" s="171" t="s">
        <v>453</v>
      </c>
      <c r="L4" s="171" t="s">
        <v>454</v>
      </c>
      <c r="M4" s="171" t="s">
        <v>352</v>
      </c>
      <c r="N4" s="102"/>
      <c r="O4" s="171" t="s">
        <v>323</v>
      </c>
      <c r="P4" s="58"/>
      <c r="Q4" s="58" t="s">
        <v>266</v>
      </c>
      <c r="R4" s="16" t="s">
        <v>267</v>
      </c>
      <c r="S4" s="90"/>
      <c r="T4" s="172" t="s">
        <v>449</v>
      </c>
      <c r="U4" s="86" t="s">
        <v>316</v>
      </c>
      <c r="V4" s="87"/>
    </row>
    <row r="5" spans="1:22" s="119" customFormat="1" ht="30">
      <c r="A5" s="170"/>
      <c r="B5" s="171" t="s">
        <v>105</v>
      </c>
      <c r="C5" s="105" t="s">
        <v>20</v>
      </c>
      <c r="D5" s="171" t="s">
        <v>270</v>
      </c>
      <c r="E5" s="171" t="s">
        <v>279</v>
      </c>
      <c r="F5" s="171" t="s">
        <v>455</v>
      </c>
      <c r="G5" s="43"/>
      <c r="H5" s="43"/>
      <c r="I5" s="43"/>
      <c r="J5" s="58"/>
      <c r="K5" s="171" t="s">
        <v>453</v>
      </c>
      <c r="L5" s="171" t="s">
        <v>456</v>
      </c>
      <c r="M5" s="171" t="s">
        <v>352</v>
      </c>
      <c r="N5" s="102"/>
      <c r="O5" s="171" t="s">
        <v>323</v>
      </c>
      <c r="P5" s="58"/>
      <c r="Q5" s="58" t="s">
        <v>266</v>
      </c>
      <c r="R5" s="16" t="s">
        <v>267</v>
      </c>
      <c r="S5" s="90"/>
      <c r="T5" s="172" t="s">
        <v>449</v>
      </c>
      <c r="U5" s="86" t="s">
        <v>316</v>
      </c>
      <c r="V5" s="87"/>
    </row>
    <row r="6" spans="1:22" s="119" customFormat="1">
      <c r="A6" s="170"/>
      <c r="B6" s="171" t="s">
        <v>105</v>
      </c>
      <c r="C6" s="105" t="s">
        <v>20</v>
      </c>
      <c r="D6" s="171" t="s">
        <v>270</v>
      </c>
      <c r="E6" s="171" t="s">
        <v>279</v>
      </c>
      <c r="F6" s="171" t="s">
        <v>457</v>
      </c>
      <c r="G6" s="43"/>
      <c r="H6" s="43"/>
      <c r="I6" s="43"/>
      <c r="J6" s="58"/>
      <c r="K6" s="171" t="s">
        <v>453</v>
      </c>
      <c r="L6" s="171" t="s">
        <v>458</v>
      </c>
      <c r="M6" s="171" t="s">
        <v>459</v>
      </c>
      <c r="N6" s="102"/>
      <c r="O6" s="171" t="s">
        <v>275</v>
      </c>
      <c r="P6" s="58"/>
      <c r="Q6" s="58" t="s">
        <v>266</v>
      </c>
      <c r="R6" s="16" t="s">
        <v>267</v>
      </c>
      <c r="S6" s="90"/>
      <c r="T6" s="172" t="s">
        <v>460</v>
      </c>
      <c r="U6" s="86" t="s">
        <v>316</v>
      </c>
      <c r="V6" s="87"/>
    </row>
    <row r="7" spans="1:22" s="119" customFormat="1" ht="60">
      <c r="A7" s="170">
        <v>2</v>
      </c>
      <c r="B7" s="171" t="s">
        <v>105</v>
      </c>
      <c r="C7" s="105" t="s">
        <v>20</v>
      </c>
      <c r="D7" s="171" t="s">
        <v>270</v>
      </c>
      <c r="E7" s="171" t="s">
        <v>279</v>
      </c>
      <c r="F7" s="171" t="s">
        <v>461</v>
      </c>
      <c r="G7" s="43" t="s">
        <v>444</v>
      </c>
      <c r="H7" s="43" t="s">
        <v>267</v>
      </c>
      <c r="I7" s="43" t="s">
        <v>445</v>
      </c>
      <c r="J7" s="58"/>
      <c r="K7" s="171" t="s">
        <v>446</v>
      </c>
      <c r="L7" s="171" t="s">
        <v>462</v>
      </c>
      <c r="M7" s="171" t="s">
        <v>463</v>
      </c>
      <c r="N7" s="102"/>
      <c r="O7" s="171" t="s">
        <v>323</v>
      </c>
      <c r="P7" s="58"/>
      <c r="Q7" s="58" t="s">
        <v>266</v>
      </c>
      <c r="R7" s="16" t="s">
        <v>266</v>
      </c>
      <c r="S7" s="90"/>
      <c r="T7" s="172" t="s">
        <v>464</v>
      </c>
      <c r="U7" s="118" t="s">
        <v>309</v>
      </c>
      <c r="V7" s="87"/>
    </row>
    <row r="8" spans="1:22" s="119" customFormat="1" ht="60">
      <c r="A8" s="170">
        <v>3</v>
      </c>
      <c r="B8" s="171" t="s">
        <v>105</v>
      </c>
      <c r="C8" s="105" t="s">
        <v>20</v>
      </c>
      <c r="D8" s="171" t="s">
        <v>270</v>
      </c>
      <c r="E8" s="171" t="s">
        <v>279</v>
      </c>
      <c r="F8" s="171" t="s">
        <v>465</v>
      </c>
      <c r="G8" s="43" t="s">
        <v>444</v>
      </c>
      <c r="H8" s="43" t="s">
        <v>267</v>
      </c>
      <c r="I8" s="43" t="s">
        <v>445</v>
      </c>
      <c r="J8" s="58"/>
      <c r="K8" s="171" t="s">
        <v>446</v>
      </c>
      <c r="L8" s="171" t="s">
        <v>466</v>
      </c>
      <c r="M8" s="171" t="s">
        <v>467</v>
      </c>
      <c r="N8" s="102"/>
      <c r="O8" s="171" t="s">
        <v>323</v>
      </c>
      <c r="P8" s="58"/>
      <c r="Q8" s="58" t="s">
        <v>266</v>
      </c>
      <c r="R8" s="16" t="s">
        <v>266</v>
      </c>
      <c r="S8" s="90"/>
      <c r="T8" s="172" t="s">
        <v>468</v>
      </c>
      <c r="U8" s="118" t="s">
        <v>309</v>
      </c>
      <c r="V8" s="87"/>
    </row>
    <row r="9" spans="1:22" s="119" customFormat="1" ht="30">
      <c r="A9" s="170">
        <v>4</v>
      </c>
      <c r="B9" s="171" t="s">
        <v>105</v>
      </c>
      <c r="C9" s="105" t="s">
        <v>20</v>
      </c>
      <c r="D9" s="171" t="s">
        <v>270</v>
      </c>
      <c r="E9" s="171" t="s">
        <v>279</v>
      </c>
      <c r="F9" s="171" t="s">
        <v>469</v>
      </c>
      <c r="G9" s="43" t="s">
        <v>444</v>
      </c>
      <c r="H9" s="43" t="s">
        <v>267</v>
      </c>
      <c r="I9" s="43" t="s">
        <v>445</v>
      </c>
      <c r="J9" s="58"/>
      <c r="K9" s="171" t="s">
        <v>446</v>
      </c>
      <c r="L9" s="171" t="s">
        <v>470</v>
      </c>
      <c r="M9" s="171" t="s">
        <v>471</v>
      </c>
      <c r="N9" s="102"/>
      <c r="O9" s="171" t="s">
        <v>323</v>
      </c>
      <c r="P9" s="58"/>
      <c r="Q9" s="58" t="s">
        <v>266</v>
      </c>
      <c r="R9" s="16" t="s">
        <v>266</v>
      </c>
      <c r="S9" s="90"/>
      <c r="T9" s="172" t="s">
        <v>449</v>
      </c>
      <c r="U9" s="118" t="s">
        <v>309</v>
      </c>
      <c r="V9" s="87"/>
    </row>
    <row r="10" spans="1:22" s="119" customFormat="1" ht="30">
      <c r="A10" s="170">
        <v>5</v>
      </c>
      <c r="B10" s="171" t="s">
        <v>105</v>
      </c>
      <c r="C10" s="105" t="s">
        <v>20</v>
      </c>
      <c r="D10" s="171" t="s">
        <v>270</v>
      </c>
      <c r="E10" s="171" t="s">
        <v>279</v>
      </c>
      <c r="F10" s="171" t="s">
        <v>472</v>
      </c>
      <c r="G10" s="43" t="s">
        <v>444</v>
      </c>
      <c r="H10" s="43" t="s">
        <v>267</v>
      </c>
      <c r="I10" s="43" t="s">
        <v>445</v>
      </c>
      <c r="J10" s="58"/>
      <c r="K10" s="171" t="s">
        <v>446</v>
      </c>
      <c r="L10" s="171" t="s">
        <v>473</v>
      </c>
      <c r="M10" s="171" t="s">
        <v>474</v>
      </c>
      <c r="N10" s="102"/>
      <c r="O10" s="171" t="s">
        <v>323</v>
      </c>
      <c r="P10" s="58"/>
      <c r="Q10" s="58" t="s">
        <v>266</v>
      </c>
      <c r="R10" s="16" t="s">
        <v>266</v>
      </c>
      <c r="S10" s="90"/>
      <c r="T10" s="172" t="s">
        <v>449</v>
      </c>
      <c r="U10" s="118" t="s">
        <v>309</v>
      </c>
      <c r="V10" s="87"/>
    </row>
    <row r="11" spans="1:22" s="119" customFormat="1" ht="30">
      <c r="A11" s="170"/>
      <c r="B11" s="171" t="s">
        <v>105</v>
      </c>
      <c r="C11" s="105" t="s">
        <v>20</v>
      </c>
      <c r="D11" s="171" t="s">
        <v>270</v>
      </c>
      <c r="E11" s="171" t="s">
        <v>279</v>
      </c>
      <c r="F11" s="171" t="s">
        <v>475</v>
      </c>
      <c r="G11" s="43"/>
      <c r="H11" s="43"/>
      <c r="I11" s="43"/>
      <c r="J11" s="58"/>
      <c r="K11" s="171" t="s">
        <v>476</v>
      </c>
      <c r="L11" s="171" t="s">
        <v>477</v>
      </c>
      <c r="M11" s="171" t="s">
        <v>478</v>
      </c>
      <c r="N11" s="102"/>
      <c r="O11" s="171" t="s">
        <v>323</v>
      </c>
      <c r="P11" s="58"/>
      <c r="Q11" s="58" t="s">
        <v>266</v>
      </c>
      <c r="R11" s="16" t="s">
        <v>267</v>
      </c>
      <c r="S11" s="90"/>
      <c r="T11" s="172" t="s">
        <v>449</v>
      </c>
      <c r="U11" s="86" t="s">
        <v>316</v>
      </c>
      <c r="V11" s="87"/>
    </row>
    <row r="12" spans="1:22" s="119" customFormat="1" ht="30">
      <c r="A12" s="170">
        <v>6</v>
      </c>
      <c r="B12" s="171" t="s">
        <v>105</v>
      </c>
      <c r="C12" s="105" t="s">
        <v>20</v>
      </c>
      <c r="D12" s="171" t="s">
        <v>270</v>
      </c>
      <c r="E12" s="171" t="s">
        <v>279</v>
      </c>
      <c r="F12" s="171" t="s">
        <v>479</v>
      </c>
      <c r="G12" s="43" t="s">
        <v>444</v>
      </c>
      <c r="H12" s="43" t="s">
        <v>267</v>
      </c>
      <c r="I12" s="43" t="s">
        <v>445</v>
      </c>
      <c r="J12" s="58"/>
      <c r="K12" s="171" t="s">
        <v>446</v>
      </c>
      <c r="L12" s="171" t="s">
        <v>480</v>
      </c>
      <c r="M12" s="171" t="s">
        <v>481</v>
      </c>
      <c r="N12" s="102"/>
      <c r="O12" s="171" t="s">
        <v>323</v>
      </c>
      <c r="P12" s="58"/>
      <c r="Q12" s="58" t="s">
        <v>266</v>
      </c>
      <c r="R12" s="16" t="s">
        <v>266</v>
      </c>
      <c r="S12" s="90"/>
      <c r="T12" s="172" t="s">
        <v>449</v>
      </c>
      <c r="U12" s="118" t="s">
        <v>309</v>
      </c>
      <c r="V12" s="87"/>
    </row>
    <row r="13" spans="1:22" ht="15" customHeight="1">
      <c r="A13" s="44">
        <v>7</v>
      </c>
      <c r="B13" s="46" t="s">
        <v>69</v>
      </c>
      <c r="C13" s="104" t="s">
        <v>3</v>
      </c>
      <c r="D13" s="46" t="s">
        <v>270</v>
      </c>
      <c r="E13" s="46" t="s">
        <v>482</v>
      </c>
      <c r="F13" s="45" t="s">
        <v>483</v>
      </c>
      <c r="G13" s="46" t="s">
        <v>484</v>
      </c>
      <c r="H13" s="46" t="s">
        <v>267</v>
      </c>
      <c r="I13" s="46" t="s">
        <v>445</v>
      </c>
      <c r="J13" s="62" t="s">
        <v>485</v>
      </c>
      <c r="K13" s="46" t="s">
        <v>486</v>
      </c>
      <c r="L13" s="46" t="s">
        <v>487</v>
      </c>
      <c r="M13" s="53" t="s">
        <v>488</v>
      </c>
      <c r="N13" s="169" t="s">
        <v>489</v>
      </c>
      <c r="O13" s="171" t="s">
        <v>275</v>
      </c>
      <c r="P13" s="46" t="s">
        <v>490</v>
      </c>
      <c r="Q13" s="44" t="s">
        <v>266</v>
      </c>
      <c r="R13" s="44" t="s">
        <v>266</v>
      </c>
      <c r="S13" s="91" t="s">
        <v>491</v>
      </c>
      <c r="T13" s="172" t="s">
        <v>449</v>
      </c>
      <c r="U13" s="86" t="s">
        <v>309</v>
      </c>
      <c r="V13" s="87"/>
    </row>
    <row r="14" spans="1:22" s="119" customFormat="1" ht="30">
      <c r="A14" s="170">
        <v>8</v>
      </c>
      <c r="B14" s="171" t="s">
        <v>105</v>
      </c>
      <c r="C14" s="105" t="s">
        <v>20</v>
      </c>
      <c r="D14" s="171" t="s">
        <v>270</v>
      </c>
      <c r="E14" s="171" t="s">
        <v>279</v>
      </c>
      <c r="F14" s="171" t="s">
        <v>492</v>
      </c>
      <c r="G14" s="43" t="s">
        <v>444</v>
      </c>
      <c r="H14" s="43" t="s">
        <v>267</v>
      </c>
      <c r="I14" s="43" t="s">
        <v>445</v>
      </c>
      <c r="J14" s="58"/>
      <c r="K14" s="171" t="s">
        <v>446</v>
      </c>
      <c r="L14" s="171" t="s">
        <v>473</v>
      </c>
      <c r="M14" s="171" t="s">
        <v>493</v>
      </c>
      <c r="N14" s="102"/>
      <c r="O14" s="171" t="s">
        <v>323</v>
      </c>
      <c r="P14" s="58"/>
      <c r="Q14" s="58" t="s">
        <v>266</v>
      </c>
      <c r="R14" s="16" t="s">
        <v>266</v>
      </c>
      <c r="S14" s="90"/>
      <c r="T14" s="172" t="s">
        <v>449</v>
      </c>
      <c r="U14" s="118" t="s">
        <v>309</v>
      </c>
      <c r="V14" s="87"/>
    </row>
    <row r="15" spans="1:22" s="119" customFormat="1" ht="30">
      <c r="A15" s="170">
        <v>9</v>
      </c>
      <c r="B15" s="171" t="s">
        <v>105</v>
      </c>
      <c r="C15" s="105" t="s">
        <v>20</v>
      </c>
      <c r="D15" s="171" t="s">
        <v>270</v>
      </c>
      <c r="E15" s="171" t="s">
        <v>279</v>
      </c>
      <c r="F15" s="171" t="s">
        <v>494</v>
      </c>
      <c r="G15" s="43" t="s">
        <v>444</v>
      </c>
      <c r="H15" s="43" t="s">
        <v>267</v>
      </c>
      <c r="I15" s="43" t="s">
        <v>445</v>
      </c>
      <c r="J15" s="58"/>
      <c r="K15" s="171" t="s">
        <v>446</v>
      </c>
      <c r="L15" s="171" t="s">
        <v>466</v>
      </c>
      <c r="M15" s="171" t="s">
        <v>495</v>
      </c>
      <c r="N15" s="102"/>
      <c r="O15" s="171" t="s">
        <v>323</v>
      </c>
      <c r="P15" s="58"/>
      <c r="Q15" s="58" t="s">
        <v>266</v>
      </c>
      <c r="R15" s="16" t="s">
        <v>266</v>
      </c>
      <c r="S15" s="90"/>
      <c r="T15" s="172" t="s">
        <v>449</v>
      </c>
      <c r="U15" s="118" t="s">
        <v>309</v>
      </c>
      <c r="V15" s="87"/>
    </row>
    <row r="16" spans="1:22" s="119" customFormat="1" ht="30">
      <c r="A16" s="170">
        <v>10</v>
      </c>
      <c r="B16" s="171" t="s">
        <v>105</v>
      </c>
      <c r="C16" s="105" t="s">
        <v>20</v>
      </c>
      <c r="D16" s="171" t="s">
        <v>270</v>
      </c>
      <c r="E16" s="171" t="s">
        <v>279</v>
      </c>
      <c r="F16" s="171" t="s">
        <v>496</v>
      </c>
      <c r="G16" s="43" t="s">
        <v>444</v>
      </c>
      <c r="H16" s="43" t="s">
        <v>267</v>
      </c>
      <c r="I16" s="43" t="s">
        <v>445</v>
      </c>
      <c r="J16" s="58"/>
      <c r="K16" s="171" t="s">
        <v>446</v>
      </c>
      <c r="L16" s="171" t="s">
        <v>497</v>
      </c>
      <c r="M16" s="171" t="s">
        <v>498</v>
      </c>
      <c r="N16" s="102"/>
      <c r="O16" s="171" t="s">
        <v>323</v>
      </c>
      <c r="P16" s="58"/>
      <c r="Q16" s="58" t="s">
        <v>266</v>
      </c>
      <c r="R16" s="16" t="s">
        <v>266</v>
      </c>
      <c r="S16" s="90"/>
      <c r="T16" s="172" t="s">
        <v>449</v>
      </c>
      <c r="U16" s="118" t="s">
        <v>309</v>
      </c>
      <c r="V16" s="87"/>
    </row>
    <row r="17" spans="1:22" ht="15" customHeight="1">
      <c r="A17" s="44">
        <v>11</v>
      </c>
      <c r="B17" s="46" t="s">
        <v>69</v>
      </c>
      <c r="C17" s="104" t="s">
        <v>3</v>
      </c>
      <c r="D17" s="46" t="s">
        <v>270</v>
      </c>
      <c r="E17" s="46" t="s">
        <v>482</v>
      </c>
      <c r="F17" s="45" t="s">
        <v>499</v>
      </c>
      <c r="G17" s="46" t="s">
        <v>484</v>
      </c>
      <c r="H17" s="46" t="s">
        <v>267</v>
      </c>
      <c r="I17" s="46" t="s">
        <v>445</v>
      </c>
      <c r="J17" s="63" t="s">
        <v>500</v>
      </c>
      <c r="K17" s="46" t="s">
        <v>486</v>
      </c>
      <c r="L17" s="46" t="s">
        <v>501</v>
      </c>
      <c r="M17" s="53" t="s">
        <v>502</v>
      </c>
      <c r="N17" s="53" t="s">
        <v>503</v>
      </c>
      <c r="O17" s="171" t="s">
        <v>275</v>
      </c>
      <c r="P17" s="46" t="s">
        <v>504</v>
      </c>
      <c r="Q17" s="44" t="s">
        <v>266</v>
      </c>
      <c r="R17" s="44" t="s">
        <v>266</v>
      </c>
      <c r="S17" s="91" t="s">
        <v>491</v>
      </c>
      <c r="T17" s="94" t="s">
        <v>505</v>
      </c>
      <c r="U17" s="86" t="s">
        <v>309</v>
      </c>
      <c r="V17" s="87" t="s">
        <v>506</v>
      </c>
    </row>
    <row r="18" spans="1:22" ht="15" customHeight="1">
      <c r="A18" s="44">
        <v>12</v>
      </c>
      <c r="B18" s="46" t="s">
        <v>69</v>
      </c>
      <c r="C18" s="104" t="s">
        <v>3</v>
      </c>
      <c r="D18" s="46" t="s">
        <v>270</v>
      </c>
      <c r="E18" s="46" t="s">
        <v>482</v>
      </c>
      <c r="F18" s="45" t="s">
        <v>507</v>
      </c>
      <c r="G18" s="46" t="s">
        <v>484</v>
      </c>
      <c r="H18" s="46" t="s">
        <v>267</v>
      </c>
      <c r="I18" s="46" t="s">
        <v>445</v>
      </c>
      <c r="J18" s="63"/>
      <c r="K18" s="46" t="s">
        <v>486</v>
      </c>
      <c r="L18" s="46" t="s">
        <v>508</v>
      </c>
      <c r="M18" s="53" t="s">
        <v>509</v>
      </c>
      <c r="N18" s="53" t="s">
        <v>510</v>
      </c>
      <c r="O18" s="46" t="s">
        <v>323</v>
      </c>
      <c r="P18" s="46" t="s">
        <v>511</v>
      </c>
      <c r="Q18" s="44" t="s">
        <v>266</v>
      </c>
      <c r="R18" s="44" t="s">
        <v>266</v>
      </c>
      <c r="S18" s="91" t="s">
        <v>491</v>
      </c>
      <c r="T18" s="94"/>
      <c r="U18" s="86" t="s">
        <v>309</v>
      </c>
      <c r="V18" s="87"/>
    </row>
    <row r="19" spans="1:22" ht="15" customHeight="1">
      <c r="A19" s="44">
        <v>13</v>
      </c>
      <c r="B19" s="46" t="s">
        <v>69</v>
      </c>
      <c r="C19" s="104" t="s">
        <v>3</v>
      </c>
      <c r="D19" s="46" t="s">
        <v>270</v>
      </c>
      <c r="E19" s="46" t="s">
        <v>482</v>
      </c>
      <c r="F19" s="44" t="s">
        <v>512</v>
      </c>
      <c r="G19" s="46" t="s">
        <v>484</v>
      </c>
      <c r="H19" s="46" t="s">
        <v>267</v>
      </c>
      <c r="I19" s="46" t="s">
        <v>445</v>
      </c>
      <c r="J19" s="63"/>
      <c r="K19" s="46" t="s">
        <v>486</v>
      </c>
      <c r="L19" s="46" t="s">
        <v>513</v>
      </c>
      <c r="M19" s="53" t="s">
        <v>514</v>
      </c>
      <c r="N19" s="53" t="s">
        <v>352</v>
      </c>
      <c r="O19" s="46" t="s">
        <v>323</v>
      </c>
      <c r="P19" s="46" t="s">
        <v>515</v>
      </c>
      <c r="Q19" s="44" t="s">
        <v>266</v>
      </c>
      <c r="R19" s="44" t="s">
        <v>266</v>
      </c>
      <c r="S19" s="91" t="s">
        <v>491</v>
      </c>
      <c r="T19" s="94" t="s">
        <v>505</v>
      </c>
      <c r="U19" s="86" t="s">
        <v>309</v>
      </c>
      <c r="V19" s="87"/>
    </row>
    <row r="20" spans="1:22" ht="15" customHeight="1">
      <c r="A20" s="44">
        <v>14</v>
      </c>
      <c r="B20" s="46" t="s">
        <v>69</v>
      </c>
      <c r="C20" s="104" t="s">
        <v>3</v>
      </c>
      <c r="D20" s="46" t="s">
        <v>270</v>
      </c>
      <c r="E20" s="46" t="s">
        <v>482</v>
      </c>
      <c r="F20" s="45" t="s">
        <v>516</v>
      </c>
      <c r="G20" s="46" t="s">
        <v>484</v>
      </c>
      <c r="H20" s="46" t="s">
        <v>267</v>
      </c>
      <c r="I20" s="46" t="s">
        <v>445</v>
      </c>
      <c r="J20" s="63" t="s">
        <v>517</v>
      </c>
      <c r="K20" s="46" t="s">
        <v>486</v>
      </c>
      <c r="L20" s="46" t="s">
        <v>518</v>
      </c>
      <c r="M20" s="44" t="s">
        <v>519</v>
      </c>
      <c r="N20" s="53" t="s">
        <v>520</v>
      </c>
      <c r="O20" s="171" t="s">
        <v>275</v>
      </c>
      <c r="P20" s="46"/>
      <c r="Q20" s="44" t="s">
        <v>266</v>
      </c>
      <c r="R20" s="44" t="s">
        <v>266</v>
      </c>
      <c r="S20" s="91" t="s">
        <v>491</v>
      </c>
      <c r="T20" s="94" t="s">
        <v>521</v>
      </c>
      <c r="U20" s="86" t="s">
        <v>309</v>
      </c>
      <c r="V20" s="87"/>
    </row>
    <row r="21" spans="1:22" ht="15" customHeight="1">
      <c r="A21" s="44">
        <v>15</v>
      </c>
      <c r="B21" s="46" t="s">
        <v>69</v>
      </c>
      <c r="C21" s="104" t="s">
        <v>3</v>
      </c>
      <c r="D21" s="46" t="s">
        <v>270</v>
      </c>
      <c r="E21" s="46" t="s">
        <v>482</v>
      </c>
      <c r="F21" s="45" t="s">
        <v>522</v>
      </c>
      <c r="G21" s="46" t="s">
        <v>484</v>
      </c>
      <c r="H21" s="46" t="s">
        <v>267</v>
      </c>
      <c r="I21" s="46" t="s">
        <v>445</v>
      </c>
      <c r="J21" s="63" t="s">
        <v>523</v>
      </c>
      <c r="K21" s="46" t="s">
        <v>486</v>
      </c>
      <c r="L21" s="46" t="s">
        <v>518</v>
      </c>
      <c r="M21" s="44" t="s">
        <v>524</v>
      </c>
      <c r="N21" s="53" t="s">
        <v>525</v>
      </c>
      <c r="O21" s="171" t="s">
        <v>275</v>
      </c>
      <c r="P21" s="46"/>
      <c r="Q21" s="44" t="s">
        <v>266</v>
      </c>
      <c r="R21" s="44" t="s">
        <v>266</v>
      </c>
      <c r="S21" s="91" t="s">
        <v>491</v>
      </c>
      <c r="T21" s="94" t="s">
        <v>505</v>
      </c>
      <c r="U21" s="86" t="s">
        <v>309</v>
      </c>
      <c r="V21" s="87"/>
    </row>
    <row r="22" spans="1:22" ht="15" customHeight="1">
      <c r="A22" s="44">
        <v>16</v>
      </c>
      <c r="B22" s="46" t="s">
        <v>69</v>
      </c>
      <c r="C22" s="104" t="s">
        <v>3</v>
      </c>
      <c r="D22" s="46" t="s">
        <v>270</v>
      </c>
      <c r="E22" s="46" t="s">
        <v>482</v>
      </c>
      <c r="F22" s="45" t="s">
        <v>526</v>
      </c>
      <c r="G22" s="46" t="s">
        <v>484</v>
      </c>
      <c r="H22" s="46" t="s">
        <v>267</v>
      </c>
      <c r="I22" s="46" t="s">
        <v>445</v>
      </c>
      <c r="J22" s="63" t="s">
        <v>500</v>
      </c>
      <c r="K22" s="46" t="s">
        <v>486</v>
      </c>
      <c r="L22" s="46" t="s">
        <v>501</v>
      </c>
      <c r="M22" s="46" t="s">
        <v>527</v>
      </c>
      <c r="N22" s="53" t="s">
        <v>528</v>
      </c>
      <c r="O22" s="171" t="s">
        <v>275</v>
      </c>
      <c r="P22" s="46" t="s">
        <v>529</v>
      </c>
      <c r="Q22" s="44" t="s">
        <v>266</v>
      </c>
      <c r="R22" s="44" t="s">
        <v>266</v>
      </c>
      <c r="S22" s="91" t="s">
        <v>491</v>
      </c>
      <c r="T22" s="94" t="s">
        <v>505</v>
      </c>
      <c r="U22" s="86" t="s">
        <v>309</v>
      </c>
      <c r="V22" s="87" t="s">
        <v>506</v>
      </c>
    </row>
    <row r="23" spans="1:22" s="133" customFormat="1" ht="15" customHeight="1">
      <c r="A23" s="50"/>
      <c r="B23" s="47" t="s">
        <v>69</v>
      </c>
      <c r="C23" s="104" t="s">
        <v>26</v>
      </c>
      <c r="D23" s="47" t="s">
        <v>384</v>
      </c>
      <c r="E23" s="47" t="s">
        <v>482</v>
      </c>
      <c r="F23" s="136" t="s">
        <v>530</v>
      </c>
      <c r="G23" s="47" t="s">
        <v>484</v>
      </c>
      <c r="H23" s="47" t="s">
        <v>267</v>
      </c>
      <c r="I23" s="47" t="s">
        <v>445</v>
      </c>
      <c r="J23" s="137"/>
      <c r="K23" s="47" t="s">
        <v>531</v>
      </c>
      <c r="L23" s="47" t="s">
        <v>532</v>
      </c>
      <c r="M23" s="47" t="s">
        <v>533</v>
      </c>
      <c r="N23" s="138" t="s">
        <v>534</v>
      </c>
      <c r="O23" s="171" t="s">
        <v>275</v>
      </c>
      <c r="P23" s="47"/>
      <c r="Q23" s="50" t="s">
        <v>266</v>
      </c>
      <c r="R23" s="50" t="s">
        <v>266</v>
      </c>
      <c r="S23" s="129"/>
      <c r="T23" s="139"/>
      <c r="U23" s="89" t="s">
        <v>309</v>
      </c>
      <c r="V23" s="87"/>
    </row>
    <row r="24" spans="1:22" s="133" customFormat="1" ht="15" customHeight="1">
      <c r="A24" s="50"/>
      <c r="B24" s="47" t="s">
        <v>69</v>
      </c>
      <c r="C24" s="104" t="s">
        <v>535</v>
      </c>
      <c r="D24" s="47" t="s">
        <v>337</v>
      </c>
      <c r="E24" s="47" t="s">
        <v>353</v>
      </c>
      <c r="F24" s="136" t="s">
        <v>536</v>
      </c>
      <c r="G24" s="47" t="s">
        <v>537</v>
      </c>
      <c r="H24" s="47" t="s">
        <v>267</v>
      </c>
      <c r="I24" s="47" t="s">
        <v>445</v>
      </c>
      <c r="J24" s="137" t="s">
        <v>538</v>
      </c>
      <c r="K24" s="47" t="s">
        <v>539</v>
      </c>
      <c r="L24" s="47" t="s">
        <v>540</v>
      </c>
      <c r="M24" s="47" t="s">
        <v>541</v>
      </c>
      <c r="N24" s="138"/>
      <c r="O24" s="171" t="s">
        <v>275</v>
      </c>
      <c r="P24" s="47"/>
      <c r="Q24" s="50" t="s">
        <v>266</v>
      </c>
      <c r="R24" s="50" t="s">
        <v>266</v>
      </c>
      <c r="S24" s="129" t="s">
        <v>542</v>
      </c>
      <c r="T24" s="141" t="s">
        <v>543</v>
      </c>
      <c r="U24" s="86" t="s">
        <v>309</v>
      </c>
      <c r="V24" s="87"/>
    </row>
    <row r="25" spans="1:22" s="133" customFormat="1" ht="15" customHeight="1">
      <c r="A25" s="50"/>
      <c r="B25" s="47" t="s">
        <v>69</v>
      </c>
      <c r="C25" s="104" t="s">
        <v>535</v>
      </c>
      <c r="D25" s="47" t="s">
        <v>337</v>
      </c>
      <c r="E25" s="47" t="s">
        <v>482</v>
      </c>
      <c r="F25" s="136" t="s">
        <v>544</v>
      </c>
      <c r="G25" s="47" t="s">
        <v>537</v>
      </c>
      <c r="H25" s="47" t="s">
        <v>267</v>
      </c>
      <c r="I25" s="47" t="s">
        <v>445</v>
      </c>
      <c r="J25" s="137" t="s">
        <v>545</v>
      </c>
      <c r="K25" s="47" t="s">
        <v>486</v>
      </c>
      <c r="L25" s="47" t="s">
        <v>546</v>
      </c>
      <c r="M25" s="47" t="s">
        <v>547</v>
      </c>
      <c r="N25" s="138"/>
      <c r="O25" s="171" t="s">
        <v>275</v>
      </c>
      <c r="P25" s="47"/>
      <c r="Q25" s="50" t="s">
        <v>266</v>
      </c>
      <c r="R25" s="50" t="s">
        <v>266</v>
      </c>
      <c r="S25" s="185" t="s">
        <v>548</v>
      </c>
      <c r="T25" s="141"/>
      <c r="U25" s="86" t="s">
        <v>309</v>
      </c>
      <c r="V25" s="87"/>
    </row>
    <row r="26" spans="1:22" s="133" customFormat="1" ht="15" customHeight="1">
      <c r="A26" s="50"/>
      <c r="B26" s="47" t="s">
        <v>69</v>
      </c>
      <c r="C26" s="104" t="s">
        <v>535</v>
      </c>
      <c r="D26" s="47" t="s">
        <v>337</v>
      </c>
      <c r="E26" s="47" t="s">
        <v>482</v>
      </c>
      <c r="F26" s="136"/>
      <c r="G26" s="47" t="s">
        <v>537</v>
      </c>
      <c r="H26" s="47" t="s">
        <v>267</v>
      </c>
      <c r="I26" s="47" t="s">
        <v>445</v>
      </c>
      <c r="J26" s="137" t="s">
        <v>549</v>
      </c>
      <c r="K26" s="47" t="s">
        <v>531</v>
      </c>
      <c r="L26" s="47" t="s">
        <v>550</v>
      </c>
      <c r="M26" s="47"/>
      <c r="N26" s="138"/>
      <c r="O26" s="171" t="s">
        <v>275</v>
      </c>
      <c r="P26" s="47" t="s">
        <v>551</v>
      </c>
      <c r="Q26" s="50" t="s">
        <v>266</v>
      </c>
      <c r="R26" s="50" t="s">
        <v>266</v>
      </c>
      <c r="S26" s="91" t="s">
        <v>491</v>
      </c>
      <c r="T26" s="141"/>
      <c r="U26" s="89" t="s">
        <v>309</v>
      </c>
      <c r="V26" s="87"/>
    </row>
    <row r="27" spans="1:22" s="133" customFormat="1" ht="15" customHeight="1">
      <c r="A27" s="50"/>
      <c r="B27" s="47" t="s">
        <v>69</v>
      </c>
      <c r="C27" s="104" t="s">
        <v>552</v>
      </c>
      <c r="D27" s="47" t="s">
        <v>337</v>
      </c>
      <c r="E27" s="47" t="s">
        <v>553</v>
      </c>
      <c r="F27" s="136"/>
      <c r="G27" s="47" t="s">
        <v>537</v>
      </c>
      <c r="H27" s="47" t="s">
        <v>267</v>
      </c>
      <c r="I27" s="47" t="s">
        <v>445</v>
      </c>
      <c r="J27" s="137" t="s">
        <v>554</v>
      </c>
      <c r="K27" s="47" t="s">
        <v>531</v>
      </c>
      <c r="L27" s="47" t="s">
        <v>555</v>
      </c>
      <c r="M27" s="47" t="s">
        <v>556</v>
      </c>
      <c r="N27" s="138"/>
      <c r="O27" s="171" t="s">
        <v>275</v>
      </c>
      <c r="P27" s="47"/>
      <c r="Q27" s="50" t="s">
        <v>266</v>
      </c>
      <c r="R27" s="50" t="s">
        <v>266</v>
      </c>
      <c r="S27" s="91" t="s">
        <v>557</v>
      </c>
      <c r="T27" s="141"/>
      <c r="U27" s="89" t="s">
        <v>309</v>
      </c>
      <c r="V27" s="87"/>
    </row>
    <row r="28" spans="1:22" s="119" customFormat="1" ht="30">
      <c r="A28" s="170">
        <v>17</v>
      </c>
      <c r="B28" s="171" t="s">
        <v>105</v>
      </c>
      <c r="C28" s="105" t="s">
        <v>20</v>
      </c>
      <c r="D28" s="171" t="s">
        <v>270</v>
      </c>
      <c r="E28" s="171" t="s">
        <v>279</v>
      </c>
      <c r="F28" s="171" t="s">
        <v>558</v>
      </c>
      <c r="G28" s="43" t="s">
        <v>444</v>
      </c>
      <c r="H28" s="43" t="s">
        <v>267</v>
      </c>
      <c r="I28" s="43" t="s">
        <v>445</v>
      </c>
      <c r="J28" s="43" t="s">
        <v>554</v>
      </c>
      <c r="K28" s="171" t="s">
        <v>446</v>
      </c>
      <c r="L28" s="171" t="s">
        <v>559</v>
      </c>
      <c r="M28" s="171" t="s">
        <v>560</v>
      </c>
      <c r="N28" s="102"/>
      <c r="O28" s="171" t="s">
        <v>275</v>
      </c>
      <c r="P28" s="58"/>
      <c r="Q28" s="58" t="s">
        <v>266</v>
      </c>
      <c r="R28" s="16" t="s">
        <v>266</v>
      </c>
      <c r="S28" s="90"/>
      <c r="T28" s="172" t="s">
        <v>449</v>
      </c>
      <c r="U28" s="118" t="s">
        <v>309</v>
      </c>
      <c r="V28" s="87"/>
    </row>
    <row r="29" spans="1:22" ht="15.75" customHeight="1">
      <c r="A29" s="42">
        <v>18</v>
      </c>
      <c r="B29" s="43" t="s">
        <v>561</v>
      </c>
      <c r="C29" s="103" t="s">
        <v>20</v>
      </c>
      <c r="D29" s="43" t="s">
        <v>562</v>
      </c>
      <c r="E29" s="43" t="s">
        <v>563</v>
      </c>
      <c r="F29" s="43"/>
      <c r="G29" s="43" t="s">
        <v>444</v>
      </c>
      <c r="H29" s="43" t="s">
        <v>564</v>
      </c>
      <c r="I29" s="43" t="s">
        <v>445</v>
      </c>
      <c r="J29" s="43" t="s">
        <v>565</v>
      </c>
      <c r="K29" s="43" t="s">
        <v>453</v>
      </c>
      <c r="L29" s="43" t="s">
        <v>566</v>
      </c>
      <c r="M29" s="43" t="s">
        <v>567</v>
      </c>
      <c r="N29" s="58"/>
      <c r="O29" s="43" t="s">
        <v>275</v>
      </c>
      <c r="P29" s="43" t="s">
        <v>568</v>
      </c>
      <c r="Q29" s="43"/>
      <c r="R29" s="16"/>
      <c r="S29" s="90"/>
      <c r="T29" s="95"/>
      <c r="U29" s="87" t="s">
        <v>268</v>
      </c>
      <c r="V29" s="87"/>
    </row>
    <row r="30" spans="1:22" ht="15.75" customHeight="1">
      <c r="A30" s="44">
        <v>19</v>
      </c>
      <c r="B30" s="46" t="s">
        <v>159</v>
      </c>
      <c r="C30" s="105" t="s">
        <v>18</v>
      </c>
      <c r="D30" s="46" t="s">
        <v>270</v>
      </c>
      <c r="E30" s="46" t="s">
        <v>563</v>
      </c>
      <c r="F30" s="44" t="s">
        <v>569</v>
      </c>
      <c r="G30" s="46" t="s">
        <v>444</v>
      </c>
      <c r="H30" s="46" t="s">
        <v>267</v>
      </c>
      <c r="I30" s="46" t="s">
        <v>445</v>
      </c>
      <c r="J30" s="53"/>
      <c r="K30" s="46" t="s">
        <v>486</v>
      </c>
      <c r="L30" s="46" t="s">
        <v>570</v>
      </c>
      <c r="M30" s="44" t="s">
        <v>571</v>
      </c>
      <c r="N30" s="53" t="s">
        <v>572</v>
      </c>
      <c r="O30" s="46" t="s">
        <v>323</v>
      </c>
      <c r="P30" s="53"/>
      <c r="Q30" s="44" t="s">
        <v>266</v>
      </c>
      <c r="R30" s="44" t="s">
        <v>266</v>
      </c>
      <c r="S30" s="92"/>
      <c r="T30" s="96"/>
      <c r="U30" s="86" t="s">
        <v>309</v>
      </c>
      <c r="V30" s="87"/>
    </row>
    <row r="31" spans="1:22" ht="15.75" customHeight="1">
      <c r="A31" s="44">
        <v>20</v>
      </c>
      <c r="B31" s="46" t="s">
        <v>159</v>
      </c>
      <c r="C31" s="105" t="s">
        <v>18</v>
      </c>
      <c r="D31" s="46" t="s">
        <v>270</v>
      </c>
      <c r="E31" s="46" t="s">
        <v>563</v>
      </c>
      <c r="F31" s="44" t="s">
        <v>573</v>
      </c>
      <c r="G31" s="46" t="s">
        <v>444</v>
      </c>
      <c r="H31" s="46" t="s">
        <v>267</v>
      </c>
      <c r="I31" s="46" t="s">
        <v>445</v>
      </c>
      <c r="J31" s="53"/>
      <c r="K31" s="46" t="s">
        <v>486</v>
      </c>
      <c r="L31" s="46" t="s">
        <v>574</v>
      </c>
      <c r="M31" s="44" t="s">
        <v>575</v>
      </c>
      <c r="N31" s="53" t="s">
        <v>576</v>
      </c>
      <c r="O31" s="44" t="s">
        <v>54</v>
      </c>
      <c r="P31" s="46" t="s">
        <v>577</v>
      </c>
      <c r="Q31" s="44" t="s">
        <v>266</v>
      </c>
      <c r="R31" s="44" t="s">
        <v>266</v>
      </c>
      <c r="S31" s="92"/>
      <c r="T31" s="94" t="s">
        <v>505</v>
      </c>
      <c r="U31" s="86" t="s">
        <v>309</v>
      </c>
      <c r="V31" s="87"/>
    </row>
    <row r="32" spans="1:22" ht="15.75" customHeight="1">
      <c r="A32" s="42">
        <v>21</v>
      </c>
      <c r="B32" s="43" t="s">
        <v>105</v>
      </c>
      <c r="C32" s="103" t="s">
        <v>33</v>
      </c>
      <c r="D32" s="43" t="s">
        <v>578</v>
      </c>
      <c r="E32" s="43" t="s">
        <v>279</v>
      </c>
      <c r="F32" s="43"/>
      <c r="G32" s="43" t="s">
        <v>444</v>
      </c>
      <c r="H32" s="43" t="s">
        <v>564</v>
      </c>
      <c r="I32" s="43" t="s">
        <v>445</v>
      </c>
      <c r="J32" s="58"/>
      <c r="K32" s="43" t="s">
        <v>453</v>
      </c>
      <c r="L32" s="43" t="s">
        <v>579</v>
      </c>
      <c r="M32" s="58"/>
      <c r="N32" s="58"/>
      <c r="O32" s="43" t="s">
        <v>275</v>
      </c>
      <c r="P32" s="58"/>
      <c r="Q32" s="58"/>
      <c r="R32" s="16"/>
      <c r="S32" s="90"/>
      <c r="T32" s="95"/>
      <c r="U32" s="87" t="s">
        <v>268</v>
      </c>
      <c r="V32" s="87"/>
    </row>
    <row r="33" spans="1:22" ht="15.75" customHeight="1">
      <c r="A33" s="42">
        <v>22</v>
      </c>
      <c r="B33" s="64" t="s">
        <v>105</v>
      </c>
      <c r="C33" s="103" t="s">
        <v>25</v>
      </c>
      <c r="D33" s="43" t="s">
        <v>378</v>
      </c>
      <c r="E33" s="43" t="s">
        <v>563</v>
      </c>
      <c r="F33" s="43"/>
      <c r="G33" s="43" t="s">
        <v>444</v>
      </c>
      <c r="H33" s="43" t="s">
        <v>564</v>
      </c>
      <c r="I33" s="43" t="s">
        <v>445</v>
      </c>
      <c r="J33" s="58"/>
      <c r="K33" s="43" t="s">
        <v>446</v>
      </c>
      <c r="L33" s="43" t="s">
        <v>473</v>
      </c>
      <c r="M33" s="43" t="s">
        <v>580</v>
      </c>
      <c r="N33" s="58"/>
      <c r="O33" s="43" t="s">
        <v>275</v>
      </c>
      <c r="P33" s="58"/>
      <c r="Q33" s="58"/>
      <c r="R33" s="16"/>
      <c r="S33" s="90"/>
      <c r="T33" s="95"/>
      <c r="U33" s="87" t="s">
        <v>268</v>
      </c>
      <c r="V33" s="87"/>
    </row>
    <row r="34" spans="1:22" ht="15.75" customHeight="1">
      <c r="A34" s="42"/>
      <c r="B34" s="64" t="s">
        <v>105</v>
      </c>
      <c r="C34" s="103" t="s">
        <v>25</v>
      </c>
      <c r="D34" s="43" t="s">
        <v>378</v>
      </c>
      <c r="E34" s="43" t="s">
        <v>563</v>
      </c>
      <c r="F34" s="43" t="s">
        <v>581</v>
      </c>
      <c r="G34" s="43"/>
      <c r="H34" s="43"/>
      <c r="I34" s="43"/>
      <c r="J34" s="58"/>
      <c r="K34" s="43" t="s">
        <v>582</v>
      </c>
      <c r="L34" s="43" t="s">
        <v>583</v>
      </c>
      <c r="M34" s="43" t="s">
        <v>584</v>
      </c>
      <c r="N34" s="58"/>
      <c r="O34" s="43" t="s">
        <v>275</v>
      </c>
      <c r="P34" s="58"/>
      <c r="Q34" s="58"/>
      <c r="R34" s="16"/>
      <c r="S34" s="90"/>
      <c r="T34" s="95"/>
      <c r="U34" s="87" t="s">
        <v>268</v>
      </c>
      <c r="V34" s="87"/>
    </row>
    <row r="35" spans="1:22" ht="15.75" customHeight="1">
      <c r="A35" s="42">
        <v>24</v>
      </c>
      <c r="B35" s="43" t="s">
        <v>105</v>
      </c>
      <c r="C35" s="103" t="s">
        <v>33</v>
      </c>
      <c r="D35" s="43" t="s">
        <v>578</v>
      </c>
      <c r="E35" s="43" t="s">
        <v>279</v>
      </c>
      <c r="F35" s="43"/>
      <c r="G35" s="43" t="s">
        <v>444</v>
      </c>
      <c r="H35" s="43" t="s">
        <v>564</v>
      </c>
      <c r="I35" s="43" t="s">
        <v>445</v>
      </c>
      <c r="J35" s="58"/>
      <c r="K35" s="43" t="s">
        <v>446</v>
      </c>
      <c r="L35" s="43" t="s">
        <v>585</v>
      </c>
      <c r="M35" s="58"/>
      <c r="N35" s="58"/>
      <c r="O35" s="43" t="s">
        <v>323</v>
      </c>
      <c r="P35" s="58"/>
      <c r="Q35" s="58"/>
      <c r="R35" s="16"/>
      <c r="S35" s="90"/>
      <c r="T35" s="95"/>
      <c r="U35" s="87" t="s">
        <v>268</v>
      </c>
      <c r="V35" s="87"/>
    </row>
    <row r="36" spans="1:22" ht="15.75" customHeight="1">
      <c r="A36" s="44">
        <v>25</v>
      </c>
      <c r="B36" s="46" t="s">
        <v>159</v>
      </c>
      <c r="C36" s="105" t="s">
        <v>18</v>
      </c>
      <c r="D36" s="46" t="s">
        <v>270</v>
      </c>
      <c r="E36" s="46" t="s">
        <v>563</v>
      </c>
      <c r="F36" s="44" t="s">
        <v>586</v>
      </c>
      <c r="G36" s="46" t="s">
        <v>444</v>
      </c>
      <c r="H36" s="46" t="s">
        <v>267</v>
      </c>
      <c r="I36" s="46" t="s">
        <v>445</v>
      </c>
      <c r="J36" s="46" t="s">
        <v>587</v>
      </c>
      <c r="K36" s="46" t="s">
        <v>486</v>
      </c>
      <c r="L36" s="46" t="s">
        <v>588</v>
      </c>
      <c r="M36" s="44" t="s">
        <v>589</v>
      </c>
      <c r="N36" s="53" t="s">
        <v>590</v>
      </c>
      <c r="O36" s="46" t="s">
        <v>275</v>
      </c>
      <c r="P36" s="46" t="s">
        <v>591</v>
      </c>
      <c r="Q36" s="44" t="s">
        <v>266</v>
      </c>
      <c r="R36" s="44" t="s">
        <v>266</v>
      </c>
      <c r="S36" s="46"/>
      <c r="T36" s="93"/>
      <c r="U36" s="86" t="s">
        <v>309</v>
      </c>
      <c r="V36" s="87"/>
    </row>
    <row r="37" spans="1:22" ht="15" customHeight="1">
      <c r="A37" s="44"/>
      <c r="B37" s="46" t="s">
        <v>69</v>
      </c>
      <c r="C37" s="105" t="s">
        <v>23</v>
      </c>
      <c r="D37" s="46" t="s">
        <v>378</v>
      </c>
      <c r="E37" s="46" t="s">
        <v>592</v>
      </c>
      <c r="F37" s="44" t="s">
        <v>593</v>
      </c>
      <c r="G37" s="46"/>
      <c r="H37" s="46"/>
      <c r="I37" s="46"/>
      <c r="J37" s="46"/>
      <c r="K37" s="46" t="s">
        <v>486</v>
      </c>
      <c r="L37" s="46" t="s">
        <v>594</v>
      </c>
      <c r="M37" s="44" t="s">
        <v>595</v>
      </c>
      <c r="N37" s="53"/>
      <c r="O37" s="46" t="s">
        <v>323</v>
      </c>
      <c r="P37" s="46"/>
      <c r="Q37" s="44"/>
      <c r="R37" s="44"/>
      <c r="S37" s="46"/>
      <c r="T37" s="93"/>
      <c r="U37" s="86" t="s">
        <v>268</v>
      </c>
      <c r="V37" s="87"/>
    </row>
    <row r="38" spans="1:22" ht="15" customHeight="1"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</sheetData>
  <autoFilter ref="A1:U36" xr:uid="{00000000-0001-0000-0200-000000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0D0D0"/>
  </sheetPr>
  <dimension ref="A1:H1000"/>
  <sheetViews>
    <sheetView workbookViewId="0">
      <selection activeCell="F21" sqref="F21"/>
    </sheetView>
  </sheetViews>
  <sheetFormatPr baseColWidth="10" defaultColWidth="12.5703125" defaultRowHeight="15" customHeight="1"/>
  <cols>
    <col min="1" max="1" width="10.28515625" customWidth="1"/>
    <col min="2" max="2" width="23.85546875" customWidth="1"/>
    <col min="3" max="3" width="35.5703125" customWidth="1"/>
    <col min="4" max="4" width="21.42578125" customWidth="1"/>
    <col min="5" max="5" width="22.140625" customWidth="1"/>
    <col min="6" max="6" width="64.85546875" customWidth="1"/>
    <col min="7" max="7" width="34.7109375" customWidth="1"/>
    <col min="8" max="8" width="16" customWidth="1"/>
  </cols>
  <sheetData>
    <row r="1" spans="1:8" ht="14.25" customHeight="1">
      <c r="A1" s="41"/>
      <c r="B1" s="54" t="s">
        <v>1985</v>
      </c>
      <c r="C1" s="54" t="s">
        <v>1986</v>
      </c>
      <c r="D1" s="54" t="s">
        <v>1987</v>
      </c>
      <c r="E1" s="54" t="s">
        <v>1988</v>
      </c>
      <c r="F1" s="54"/>
      <c r="G1" s="55" t="s">
        <v>38</v>
      </c>
      <c r="H1" s="54" t="s">
        <v>1989</v>
      </c>
    </row>
    <row r="2" spans="1:8" ht="14.25" customHeight="1">
      <c r="A2" s="5" t="s">
        <v>69</v>
      </c>
      <c r="B2" s="5" t="s">
        <v>1990</v>
      </c>
      <c r="C2" s="5" t="s">
        <v>504</v>
      </c>
      <c r="D2" s="5" t="s">
        <v>1991</v>
      </c>
      <c r="E2" s="5" t="s">
        <v>1991</v>
      </c>
      <c r="F2" s="5"/>
      <c r="G2" s="5"/>
      <c r="H2" s="5" t="s">
        <v>1991</v>
      </c>
    </row>
    <row r="3" spans="1:8" ht="14.25" customHeight="1">
      <c r="A3" s="5" t="s">
        <v>69</v>
      </c>
      <c r="B3" s="5" t="s">
        <v>1992</v>
      </c>
      <c r="C3" s="5" t="s">
        <v>1993</v>
      </c>
      <c r="D3" s="5" t="s">
        <v>1991</v>
      </c>
      <c r="E3" s="5" t="s">
        <v>1991</v>
      </c>
      <c r="F3" s="5"/>
      <c r="G3" s="5"/>
      <c r="H3" s="5" t="s">
        <v>1991</v>
      </c>
    </row>
    <row r="4" spans="1:8" ht="14.25" customHeight="1">
      <c r="A4" s="5" t="s">
        <v>69</v>
      </c>
      <c r="B4" s="5" t="s">
        <v>1994</v>
      </c>
      <c r="C4" s="5" t="s">
        <v>1995</v>
      </c>
      <c r="D4" s="5" t="s">
        <v>1991</v>
      </c>
      <c r="E4" s="5" t="s">
        <v>1991</v>
      </c>
      <c r="F4" s="5"/>
      <c r="G4" s="5" t="s">
        <v>1996</v>
      </c>
      <c r="H4" s="5" t="s">
        <v>1991</v>
      </c>
    </row>
    <row r="5" spans="1:8" ht="14.25" customHeight="1">
      <c r="A5" s="5" t="s">
        <v>69</v>
      </c>
      <c r="B5" s="5" t="s">
        <v>1997</v>
      </c>
      <c r="C5" s="5" t="s">
        <v>529</v>
      </c>
      <c r="D5" s="5" t="s">
        <v>1991</v>
      </c>
      <c r="E5" s="5" t="s">
        <v>1991</v>
      </c>
      <c r="F5" s="5"/>
      <c r="G5" s="5"/>
      <c r="H5" s="5" t="s">
        <v>1991</v>
      </c>
    </row>
    <row r="6" spans="1:8" ht="14.25" customHeight="1">
      <c r="A6" s="5" t="s">
        <v>69</v>
      </c>
      <c r="B6" s="5" t="s">
        <v>1998</v>
      </c>
      <c r="C6" s="5" t="s">
        <v>1999</v>
      </c>
      <c r="D6" s="5" t="s">
        <v>1991</v>
      </c>
      <c r="E6" s="5" t="s">
        <v>1991</v>
      </c>
      <c r="F6" s="5"/>
      <c r="G6" s="5" t="s">
        <v>2000</v>
      </c>
      <c r="H6" s="5" t="s">
        <v>1991</v>
      </c>
    </row>
    <row r="7" spans="1:8" ht="14.25" customHeight="1">
      <c r="A7" s="5" t="s">
        <v>69</v>
      </c>
      <c r="B7" s="5" t="s">
        <v>2001</v>
      </c>
      <c r="C7" s="5" t="s">
        <v>2002</v>
      </c>
      <c r="D7" s="5" t="s">
        <v>1991</v>
      </c>
      <c r="E7" s="5" t="s">
        <v>1991</v>
      </c>
      <c r="F7" s="5"/>
      <c r="G7" s="5" t="s">
        <v>1996</v>
      </c>
      <c r="H7" s="5" t="s">
        <v>1991</v>
      </c>
    </row>
    <row r="8" spans="1:8" ht="14.25" customHeight="1">
      <c r="A8" s="5" t="s">
        <v>69</v>
      </c>
      <c r="B8" s="5" t="s">
        <v>2003</v>
      </c>
      <c r="C8" s="5" t="s">
        <v>2004</v>
      </c>
      <c r="D8" s="5" t="s">
        <v>1991</v>
      </c>
      <c r="E8" s="5" t="s">
        <v>1991</v>
      </c>
      <c r="F8" s="5"/>
      <c r="G8" s="5" t="s">
        <v>2005</v>
      </c>
      <c r="H8" s="5" t="s">
        <v>1991</v>
      </c>
    </row>
    <row r="9" spans="1:8" ht="14.25" customHeight="1">
      <c r="A9" s="5" t="s">
        <v>69</v>
      </c>
      <c r="B9" s="5" t="s">
        <v>2006</v>
      </c>
      <c r="C9" s="5" t="s">
        <v>2007</v>
      </c>
      <c r="D9" s="5" t="s">
        <v>1991</v>
      </c>
      <c r="E9" s="5" t="s">
        <v>1991</v>
      </c>
      <c r="F9" s="5"/>
      <c r="G9" s="5" t="s">
        <v>2005</v>
      </c>
      <c r="H9" s="5" t="s">
        <v>1991</v>
      </c>
    </row>
    <row r="10" spans="1:8" ht="14.25" customHeight="1">
      <c r="A10" s="5" t="s">
        <v>69</v>
      </c>
      <c r="B10" s="5" t="s">
        <v>2008</v>
      </c>
      <c r="C10" s="5" t="s">
        <v>1115</v>
      </c>
      <c r="D10" s="5" t="s">
        <v>1991</v>
      </c>
      <c r="E10" s="5" t="s">
        <v>1991</v>
      </c>
      <c r="F10" s="5"/>
      <c r="G10" s="5" t="s">
        <v>2009</v>
      </c>
      <c r="H10" s="5" t="s">
        <v>1991</v>
      </c>
    </row>
    <row r="11" spans="1:8" ht="14.25" customHeight="1">
      <c r="A11" s="5" t="s">
        <v>69</v>
      </c>
      <c r="B11" s="5" t="s">
        <v>2010</v>
      </c>
      <c r="C11" s="5" t="s">
        <v>2011</v>
      </c>
      <c r="D11" s="5" t="s">
        <v>1991</v>
      </c>
      <c r="E11" s="5" t="s">
        <v>1991</v>
      </c>
      <c r="F11" s="5"/>
      <c r="G11" s="5" t="s">
        <v>2012</v>
      </c>
      <c r="H11" s="5" t="s">
        <v>1991</v>
      </c>
    </row>
    <row r="12" spans="1:8" ht="14.25" customHeight="1">
      <c r="A12" s="5" t="s">
        <v>69</v>
      </c>
      <c r="B12" s="5" t="s">
        <v>2013</v>
      </c>
      <c r="C12" s="5" t="s">
        <v>2014</v>
      </c>
      <c r="D12" s="5" t="s">
        <v>1991</v>
      </c>
      <c r="E12" s="5" t="s">
        <v>1991</v>
      </c>
      <c r="F12" s="5"/>
      <c r="G12" s="5" t="s">
        <v>2012</v>
      </c>
      <c r="H12" s="5" t="s">
        <v>1991</v>
      </c>
    </row>
    <row r="13" spans="1:8" ht="14.25" customHeight="1">
      <c r="A13" s="5" t="s">
        <v>69</v>
      </c>
      <c r="B13" s="5" t="s">
        <v>2015</v>
      </c>
      <c r="C13" s="5" t="s">
        <v>2016</v>
      </c>
      <c r="D13" s="5" t="s">
        <v>1991</v>
      </c>
      <c r="E13" s="5" t="s">
        <v>1991</v>
      </c>
      <c r="F13" s="5"/>
      <c r="G13" s="5" t="s">
        <v>2012</v>
      </c>
      <c r="H13" s="5" t="s">
        <v>1991</v>
      </c>
    </row>
    <row r="14" spans="1:8" ht="14.25" customHeight="1">
      <c r="A14" s="41"/>
      <c r="B14" s="41"/>
      <c r="C14" s="41"/>
      <c r="D14" s="41"/>
      <c r="E14" s="41"/>
      <c r="F14" s="41"/>
      <c r="G14" s="41"/>
      <c r="H14" s="41"/>
    </row>
    <row r="15" spans="1:8" ht="14.25" customHeight="1">
      <c r="A15" s="41"/>
    </row>
    <row r="16" spans="1:8" ht="14.25" customHeight="1">
      <c r="A16" s="41"/>
      <c r="B16" s="54" t="s">
        <v>2017</v>
      </c>
      <c r="C16" s="54" t="s">
        <v>2018</v>
      </c>
      <c r="D16" s="54" t="s">
        <v>2019</v>
      </c>
      <c r="E16" s="54" t="s">
        <v>2020</v>
      </c>
      <c r="F16" s="54" t="s">
        <v>2021</v>
      </c>
      <c r="G16" s="54" t="s">
        <v>1987</v>
      </c>
      <c r="H16" s="54" t="s">
        <v>2022</v>
      </c>
    </row>
    <row r="17" spans="1:8" ht="14.25" customHeight="1">
      <c r="A17" s="5" t="s">
        <v>159</v>
      </c>
      <c r="B17" s="5" t="s">
        <v>2023</v>
      </c>
      <c r="C17" s="5" t="s">
        <v>2024</v>
      </c>
      <c r="D17" s="5" t="s">
        <v>2025</v>
      </c>
      <c r="E17" s="5" t="s">
        <v>2026</v>
      </c>
      <c r="F17" s="56" t="s">
        <v>2027</v>
      </c>
      <c r="G17" s="5" t="s">
        <v>2028</v>
      </c>
      <c r="H17" s="5" t="s">
        <v>2028</v>
      </c>
    </row>
    <row r="18" spans="1:8" ht="14.25" customHeight="1">
      <c r="A18" s="5" t="s">
        <v>159</v>
      </c>
      <c r="B18" s="5" t="s">
        <v>2029</v>
      </c>
      <c r="C18" s="5" t="s">
        <v>2030</v>
      </c>
      <c r="D18" s="5" t="s">
        <v>2025</v>
      </c>
      <c r="E18" s="5" t="s">
        <v>2026</v>
      </c>
      <c r="F18" s="56" t="s">
        <v>2031</v>
      </c>
      <c r="G18" s="5" t="s">
        <v>2028</v>
      </c>
      <c r="H18" s="5" t="s">
        <v>2028</v>
      </c>
    </row>
    <row r="19" spans="1:8" ht="14.25" customHeight="1">
      <c r="A19" s="5" t="s">
        <v>159</v>
      </c>
      <c r="B19" s="5" t="s">
        <v>1991</v>
      </c>
      <c r="C19" s="5" t="s">
        <v>2032</v>
      </c>
      <c r="D19" s="5" t="s">
        <v>2025</v>
      </c>
      <c r="E19" s="5" t="s">
        <v>2026</v>
      </c>
      <c r="F19" s="56" t="s">
        <v>2033</v>
      </c>
      <c r="G19" s="5" t="s">
        <v>2028</v>
      </c>
      <c r="H19" s="5" t="s">
        <v>2028</v>
      </c>
    </row>
    <row r="20" spans="1:8" ht="14.25" customHeight="1">
      <c r="A20" s="5" t="s">
        <v>159</v>
      </c>
      <c r="B20" s="5" t="s">
        <v>2034</v>
      </c>
      <c r="C20" s="5" t="s">
        <v>2035</v>
      </c>
      <c r="D20" s="5" t="s">
        <v>2025</v>
      </c>
      <c r="E20" s="5" t="s">
        <v>2026</v>
      </c>
      <c r="F20" s="56"/>
      <c r="G20" s="5" t="s">
        <v>2028</v>
      </c>
      <c r="H20" s="5" t="s">
        <v>2028</v>
      </c>
    </row>
    <row r="21" spans="1:8" ht="14.25" customHeight="1">
      <c r="A21" s="5" t="s">
        <v>159</v>
      </c>
      <c r="B21" s="5" t="s">
        <v>228</v>
      </c>
      <c r="C21" s="5" t="s">
        <v>2036</v>
      </c>
      <c r="D21" s="5" t="s">
        <v>2025</v>
      </c>
      <c r="E21" s="5" t="s">
        <v>2026</v>
      </c>
      <c r="F21" s="56" t="s">
        <v>2037</v>
      </c>
      <c r="G21" s="5" t="s">
        <v>2028</v>
      </c>
      <c r="H21" s="5" t="s">
        <v>2028</v>
      </c>
    </row>
    <row r="22" spans="1:8" ht="14.25" customHeight="1">
      <c r="A22" s="5" t="s">
        <v>159</v>
      </c>
      <c r="B22" s="5" t="s">
        <v>2038</v>
      </c>
      <c r="C22" s="5" t="s">
        <v>2039</v>
      </c>
      <c r="D22" s="5" t="s">
        <v>2040</v>
      </c>
      <c r="E22" s="5" t="s">
        <v>2026</v>
      </c>
      <c r="F22" s="56" t="s">
        <v>2041</v>
      </c>
      <c r="G22" s="5" t="s">
        <v>1991</v>
      </c>
      <c r="H22" s="5" t="s">
        <v>1991</v>
      </c>
    </row>
    <row r="23" spans="1:8" ht="14.25" customHeight="1">
      <c r="A23" s="5" t="s">
        <v>159</v>
      </c>
      <c r="B23" s="5" t="s">
        <v>2042</v>
      </c>
      <c r="C23" s="5" t="s">
        <v>2039</v>
      </c>
      <c r="D23" s="5" t="s">
        <v>2025</v>
      </c>
      <c r="E23" s="5" t="s">
        <v>2026</v>
      </c>
      <c r="F23" s="5" t="s">
        <v>2043</v>
      </c>
      <c r="G23" s="5" t="s">
        <v>2028</v>
      </c>
      <c r="H23" s="5" t="s">
        <v>2028</v>
      </c>
    </row>
    <row r="24" spans="1:8" ht="14.25" customHeight="1">
      <c r="A24" s="5" t="s">
        <v>159</v>
      </c>
      <c r="B24" s="5" t="s">
        <v>2044</v>
      </c>
      <c r="C24" s="5" t="s">
        <v>2039</v>
      </c>
      <c r="D24" s="5" t="s">
        <v>2025</v>
      </c>
      <c r="E24" s="5" t="s">
        <v>2026</v>
      </c>
      <c r="F24" s="5" t="s">
        <v>2045</v>
      </c>
      <c r="G24" s="5" t="s">
        <v>2028</v>
      </c>
      <c r="H24" s="5" t="s">
        <v>2028</v>
      </c>
    </row>
    <row r="25" spans="1:8" ht="14.25" customHeight="1">
      <c r="A25" s="5" t="s">
        <v>159</v>
      </c>
      <c r="B25" s="5" t="s">
        <v>2046</v>
      </c>
      <c r="C25" s="5" t="s">
        <v>2047</v>
      </c>
      <c r="D25" s="5" t="s">
        <v>2025</v>
      </c>
      <c r="E25" s="5" t="s">
        <v>2026</v>
      </c>
      <c r="F25" s="5" t="s">
        <v>2048</v>
      </c>
      <c r="G25" s="5" t="s">
        <v>2028</v>
      </c>
      <c r="H25" s="5" t="s">
        <v>2028</v>
      </c>
    </row>
    <row r="26" spans="1:8" ht="14.25" customHeight="1">
      <c r="A26" s="5" t="s">
        <v>159</v>
      </c>
      <c r="B26" s="5" t="s">
        <v>2049</v>
      </c>
      <c r="C26" s="5" t="s">
        <v>2050</v>
      </c>
      <c r="D26" s="5" t="s">
        <v>2025</v>
      </c>
      <c r="E26" s="5" t="s">
        <v>2026</v>
      </c>
      <c r="F26" s="5" t="s">
        <v>2051</v>
      </c>
      <c r="G26" s="5" t="s">
        <v>2028</v>
      </c>
      <c r="H26" s="5" t="s">
        <v>2028</v>
      </c>
    </row>
    <row r="27" spans="1:8" ht="14.25" customHeight="1">
      <c r="A27" s="5" t="s">
        <v>159</v>
      </c>
      <c r="B27" s="5" t="s">
        <v>545</v>
      </c>
      <c r="C27" s="5" t="s">
        <v>2052</v>
      </c>
      <c r="D27" s="5" t="s">
        <v>2025</v>
      </c>
      <c r="E27" s="5" t="s">
        <v>2026</v>
      </c>
      <c r="F27" s="57" t="s">
        <v>2053</v>
      </c>
      <c r="G27" s="5" t="s">
        <v>1991</v>
      </c>
      <c r="H27" s="5" t="s">
        <v>1991</v>
      </c>
    </row>
    <row r="28" spans="1:8" ht="14.25" customHeight="1">
      <c r="A28" s="5" t="s">
        <v>159</v>
      </c>
      <c r="B28" s="5" t="s">
        <v>2054</v>
      </c>
      <c r="C28" s="5" t="s">
        <v>2055</v>
      </c>
      <c r="D28" s="5" t="s">
        <v>2025</v>
      </c>
      <c r="E28" s="5" t="s">
        <v>2026</v>
      </c>
      <c r="F28" s="56" t="s">
        <v>2056</v>
      </c>
      <c r="G28" s="5" t="s">
        <v>2028</v>
      </c>
      <c r="H28" s="5" t="s">
        <v>2028</v>
      </c>
    </row>
    <row r="29" spans="1:8" ht="14.25" customHeight="1">
      <c r="A29" s="5" t="s">
        <v>159</v>
      </c>
      <c r="B29" s="5" t="s">
        <v>2057</v>
      </c>
      <c r="C29" s="5" t="s">
        <v>2058</v>
      </c>
      <c r="D29" s="5" t="s">
        <v>2025</v>
      </c>
      <c r="E29" s="5" t="s">
        <v>2026</v>
      </c>
      <c r="F29" s="57" t="s">
        <v>2059</v>
      </c>
      <c r="G29" s="5" t="s">
        <v>2028</v>
      </c>
      <c r="H29" s="5" t="s">
        <v>2028</v>
      </c>
    </row>
    <row r="30" spans="1:8" ht="14.25" customHeight="1">
      <c r="A30" s="5" t="s">
        <v>159</v>
      </c>
      <c r="B30" s="5" t="s">
        <v>2060</v>
      </c>
      <c r="C30" s="5" t="s">
        <v>2061</v>
      </c>
      <c r="D30" s="5" t="s">
        <v>2025</v>
      </c>
      <c r="E30" s="5" t="s">
        <v>2026</v>
      </c>
      <c r="F30" s="57" t="s">
        <v>2062</v>
      </c>
      <c r="G30" s="5" t="s">
        <v>1991</v>
      </c>
      <c r="H30" s="5" t="s">
        <v>1991</v>
      </c>
    </row>
    <row r="31" spans="1:8" ht="14.25" customHeight="1">
      <c r="A31" s="5" t="s">
        <v>159</v>
      </c>
      <c r="B31" s="5" t="s">
        <v>2063</v>
      </c>
      <c r="C31" s="5" t="s">
        <v>2063</v>
      </c>
      <c r="D31" s="5" t="s">
        <v>2025</v>
      </c>
      <c r="E31" s="5" t="s">
        <v>2026</v>
      </c>
      <c r="F31" s="57" t="s">
        <v>2064</v>
      </c>
      <c r="G31" s="5" t="s">
        <v>1991</v>
      </c>
      <c r="H31" s="5" t="s">
        <v>1991</v>
      </c>
    </row>
    <row r="32" spans="1:8" ht="14.25" customHeight="1">
      <c r="A32" s="5" t="s">
        <v>69</v>
      </c>
      <c r="B32" s="233" t="s">
        <v>2065</v>
      </c>
      <c r="C32" s="233" t="s">
        <v>2061</v>
      </c>
      <c r="D32" s="233" t="s">
        <v>2025</v>
      </c>
      <c r="E32" s="233" t="s">
        <v>2026</v>
      </c>
      <c r="F32" s="57" t="s">
        <v>2066</v>
      </c>
      <c r="G32" s="5" t="s">
        <v>1991</v>
      </c>
      <c r="H32" s="5" t="s">
        <v>1991</v>
      </c>
    </row>
    <row r="33" spans="1:8" ht="14.25" customHeight="1">
      <c r="A33" s="5" t="s">
        <v>69</v>
      </c>
      <c r="B33" s="234"/>
      <c r="C33" s="234"/>
      <c r="D33" s="234"/>
      <c r="E33" s="234"/>
      <c r="F33" s="5" t="s">
        <v>946</v>
      </c>
      <c r="G33" s="5" t="s">
        <v>1991</v>
      </c>
      <c r="H33" s="5" t="s">
        <v>1991</v>
      </c>
    </row>
    <row r="34" spans="1:8" ht="14.25" customHeight="1">
      <c r="A34" s="5" t="s">
        <v>105</v>
      </c>
      <c r="B34" s="5" t="s">
        <v>2067</v>
      </c>
      <c r="C34" s="5" t="s">
        <v>2061</v>
      </c>
      <c r="D34" s="5" t="s">
        <v>2025</v>
      </c>
      <c r="E34" s="5" t="s">
        <v>2026</v>
      </c>
      <c r="F34" s="5" t="s">
        <v>2068</v>
      </c>
      <c r="G34" s="5" t="s">
        <v>1991</v>
      </c>
      <c r="H34" s="5" t="s">
        <v>1991</v>
      </c>
    </row>
    <row r="35" spans="1:8" ht="14.25" customHeight="1">
      <c r="A35" s="5" t="s">
        <v>105</v>
      </c>
      <c r="B35" s="5" t="s">
        <v>2069</v>
      </c>
      <c r="C35" s="5" t="s">
        <v>2061</v>
      </c>
      <c r="D35" s="5" t="s">
        <v>2025</v>
      </c>
      <c r="E35" s="5" t="s">
        <v>2026</v>
      </c>
      <c r="F35" s="5" t="s">
        <v>2070</v>
      </c>
      <c r="G35" s="5" t="s">
        <v>1991</v>
      </c>
      <c r="H35" s="5" t="s">
        <v>1991</v>
      </c>
    </row>
    <row r="36" spans="1:8" ht="14.25" customHeight="1">
      <c r="A36" s="5" t="s">
        <v>69</v>
      </c>
      <c r="B36" s="5" t="s">
        <v>2071</v>
      </c>
      <c r="C36" s="5" t="s">
        <v>2072</v>
      </c>
      <c r="D36" s="5" t="s">
        <v>2025</v>
      </c>
      <c r="E36" s="5" t="s">
        <v>2026</v>
      </c>
      <c r="F36" s="5" t="s">
        <v>2073</v>
      </c>
      <c r="G36" s="5" t="s">
        <v>1991</v>
      </c>
      <c r="H36" s="5" t="s">
        <v>1991</v>
      </c>
    </row>
    <row r="37" spans="1:8" ht="14.25" customHeight="1">
      <c r="A37" s="41"/>
    </row>
    <row r="38" spans="1:8" ht="14.25" customHeight="1">
      <c r="A38" s="41"/>
    </row>
    <row r="39" spans="1:8" ht="14.25" customHeight="1">
      <c r="A39" s="41"/>
    </row>
    <row r="40" spans="1:8" ht="14.25" customHeight="1">
      <c r="A40" s="41"/>
    </row>
    <row r="41" spans="1:8" ht="14.25" customHeight="1">
      <c r="A41" s="41"/>
    </row>
    <row r="42" spans="1:8" ht="14.25" customHeight="1">
      <c r="A42" s="41"/>
    </row>
    <row r="43" spans="1:8" ht="14.25" customHeight="1">
      <c r="A43" s="41"/>
    </row>
    <row r="44" spans="1:8" ht="14.25" customHeight="1">
      <c r="A44" s="41"/>
    </row>
    <row r="45" spans="1:8" ht="14.25" customHeight="1">
      <c r="A45" s="41"/>
    </row>
    <row r="46" spans="1:8" ht="14.25" customHeight="1">
      <c r="A46" s="41"/>
    </row>
    <row r="47" spans="1:8" ht="14.25" customHeight="1">
      <c r="A47" s="41"/>
    </row>
    <row r="48" spans="1:8" ht="14.25" customHeight="1">
      <c r="A48" s="41"/>
    </row>
    <row r="49" spans="1:1" ht="14.25" customHeight="1">
      <c r="A49" s="41"/>
    </row>
    <row r="50" spans="1:1" ht="14.25" customHeight="1">
      <c r="A50" s="41"/>
    </row>
    <row r="51" spans="1:1" ht="14.25" customHeight="1">
      <c r="A51" s="41"/>
    </row>
    <row r="52" spans="1:1" ht="14.25" customHeight="1">
      <c r="A52" s="41"/>
    </row>
    <row r="53" spans="1:1" ht="14.25" customHeight="1">
      <c r="A53" s="41"/>
    </row>
    <row r="54" spans="1:1" ht="14.25" customHeight="1">
      <c r="A54" s="41"/>
    </row>
    <row r="55" spans="1:1" ht="14.25" customHeight="1">
      <c r="A55" s="41"/>
    </row>
    <row r="56" spans="1:1" ht="14.25" customHeight="1">
      <c r="A56" s="41"/>
    </row>
    <row r="57" spans="1:1" ht="14.25" customHeight="1">
      <c r="A57" s="41"/>
    </row>
    <row r="58" spans="1:1" ht="14.25" customHeight="1">
      <c r="A58" s="41"/>
    </row>
    <row r="59" spans="1:1" ht="14.25" customHeight="1">
      <c r="A59" s="41"/>
    </row>
    <row r="60" spans="1:1" ht="14.25" customHeight="1">
      <c r="A60" s="41"/>
    </row>
    <row r="61" spans="1:1" ht="14.25" customHeight="1">
      <c r="A61" s="41"/>
    </row>
    <row r="62" spans="1:1" ht="14.25" customHeight="1">
      <c r="A62" s="41"/>
    </row>
    <row r="63" spans="1:1" ht="14.25" customHeight="1">
      <c r="A63" s="41"/>
    </row>
    <row r="64" spans="1:1" ht="14.25" customHeight="1">
      <c r="A64" s="41"/>
    </row>
    <row r="65" spans="1:1" ht="14.25" customHeight="1">
      <c r="A65" s="41"/>
    </row>
    <row r="66" spans="1:1" ht="14.25" customHeight="1">
      <c r="A66" s="41"/>
    </row>
    <row r="67" spans="1:1" ht="14.25" customHeight="1">
      <c r="A67" s="41"/>
    </row>
    <row r="68" spans="1:1" ht="14.25" customHeight="1">
      <c r="A68" s="41"/>
    </row>
    <row r="69" spans="1:1" ht="14.25" customHeight="1">
      <c r="A69" s="41"/>
    </row>
    <row r="70" spans="1:1" ht="14.25" customHeight="1">
      <c r="A70" s="41"/>
    </row>
    <row r="71" spans="1:1" ht="14.25" customHeight="1">
      <c r="A71" s="41"/>
    </row>
    <row r="72" spans="1:1" ht="14.25" customHeight="1">
      <c r="A72" s="41"/>
    </row>
    <row r="73" spans="1:1" ht="14.25" customHeight="1">
      <c r="A73" s="41"/>
    </row>
    <row r="74" spans="1:1" ht="14.25" customHeight="1">
      <c r="A74" s="41"/>
    </row>
    <row r="75" spans="1:1" ht="14.25" customHeight="1">
      <c r="A75" s="41"/>
    </row>
    <row r="76" spans="1:1" ht="14.25" customHeight="1">
      <c r="A76" s="41"/>
    </row>
    <row r="77" spans="1:1" ht="14.25" customHeight="1">
      <c r="A77" s="41"/>
    </row>
    <row r="78" spans="1:1" ht="14.25" customHeight="1">
      <c r="A78" s="41"/>
    </row>
    <row r="79" spans="1:1" ht="14.25" customHeight="1">
      <c r="A79" s="41"/>
    </row>
    <row r="80" spans="1:1" ht="14.25" customHeight="1">
      <c r="A80" s="41"/>
    </row>
    <row r="81" spans="1:1" ht="14.25" customHeight="1">
      <c r="A81" s="41"/>
    </row>
    <row r="82" spans="1:1" ht="14.25" customHeight="1">
      <c r="A82" s="41"/>
    </row>
    <row r="83" spans="1:1" ht="14.25" customHeight="1">
      <c r="A83" s="41"/>
    </row>
    <row r="84" spans="1:1" ht="14.25" customHeight="1">
      <c r="A84" s="41"/>
    </row>
    <row r="85" spans="1:1" ht="14.25" customHeight="1">
      <c r="A85" s="41"/>
    </row>
    <row r="86" spans="1:1" ht="14.25" customHeight="1">
      <c r="A86" s="41"/>
    </row>
    <row r="87" spans="1:1" ht="14.25" customHeight="1">
      <c r="A87" s="41"/>
    </row>
    <row r="88" spans="1:1" ht="14.25" customHeight="1">
      <c r="A88" s="41"/>
    </row>
    <row r="89" spans="1:1" ht="14.25" customHeight="1">
      <c r="A89" s="41"/>
    </row>
    <row r="90" spans="1:1" ht="14.25" customHeight="1">
      <c r="A90" s="41"/>
    </row>
    <row r="91" spans="1:1" ht="14.25" customHeight="1">
      <c r="A91" s="41"/>
    </row>
    <row r="92" spans="1:1" ht="14.25" customHeight="1">
      <c r="A92" s="41"/>
    </row>
    <row r="93" spans="1:1" ht="14.25" customHeight="1">
      <c r="A93" s="41"/>
    </row>
    <row r="94" spans="1:1" ht="14.25" customHeight="1">
      <c r="A94" s="41"/>
    </row>
    <row r="95" spans="1:1" ht="14.25" customHeight="1">
      <c r="A95" s="41"/>
    </row>
    <row r="96" spans="1:1" ht="14.25" customHeight="1">
      <c r="A96" s="41"/>
    </row>
    <row r="97" spans="1:1" ht="14.25" customHeight="1">
      <c r="A97" s="41"/>
    </row>
    <row r="98" spans="1:1" ht="14.25" customHeight="1">
      <c r="A98" s="41"/>
    </row>
    <row r="99" spans="1:1" ht="14.25" customHeight="1">
      <c r="A99" s="41"/>
    </row>
    <row r="100" spans="1:1" ht="14.25" customHeight="1">
      <c r="A100" s="41"/>
    </row>
    <row r="101" spans="1:1" ht="14.25" customHeight="1">
      <c r="A101" s="41"/>
    </row>
    <row r="102" spans="1:1" ht="14.25" customHeight="1">
      <c r="A102" s="41"/>
    </row>
    <row r="103" spans="1:1" ht="14.25" customHeight="1">
      <c r="A103" s="41"/>
    </row>
    <row r="104" spans="1:1" ht="14.25" customHeight="1">
      <c r="A104" s="41"/>
    </row>
    <row r="105" spans="1:1" ht="14.25" customHeight="1">
      <c r="A105" s="41"/>
    </row>
    <row r="106" spans="1:1" ht="14.25" customHeight="1">
      <c r="A106" s="41"/>
    </row>
    <row r="107" spans="1:1" ht="14.25" customHeight="1">
      <c r="A107" s="41"/>
    </row>
    <row r="108" spans="1:1" ht="14.25" customHeight="1">
      <c r="A108" s="41"/>
    </row>
    <row r="109" spans="1:1" ht="14.25" customHeight="1">
      <c r="A109" s="41"/>
    </row>
    <row r="110" spans="1:1" ht="14.25" customHeight="1">
      <c r="A110" s="41"/>
    </row>
    <row r="111" spans="1:1" ht="14.25" customHeight="1">
      <c r="A111" s="41"/>
    </row>
    <row r="112" spans="1:1" ht="14.25" customHeight="1">
      <c r="A112" s="41"/>
    </row>
    <row r="113" spans="1:1" ht="14.25" customHeight="1">
      <c r="A113" s="41"/>
    </row>
    <row r="114" spans="1:1" ht="14.25" customHeight="1">
      <c r="A114" s="41"/>
    </row>
    <row r="115" spans="1:1" ht="14.25" customHeight="1">
      <c r="A115" s="41"/>
    </row>
    <row r="116" spans="1:1" ht="14.25" customHeight="1">
      <c r="A116" s="41"/>
    </row>
    <row r="117" spans="1:1" ht="14.25" customHeight="1">
      <c r="A117" s="41"/>
    </row>
    <row r="118" spans="1:1" ht="14.25" customHeight="1">
      <c r="A118" s="41"/>
    </row>
    <row r="119" spans="1:1" ht="14.25" customHeight="1">
      <c r="A119" s="41"/>
    </row>
    <row r="120" spans="1:1" ht="14.25" customHeight="1">
      <c r="A120" s="41"/>
    </row>
    <row r="121" spans="1:1" ht="14.25" customHeight="1">
      <c r="A121" s="41"/>
    </row>
    <row r="122" spans="1:1" ht="14.25" customHeight="1">
      <c r="A122" s="41"/>
    </row>
    <row r="123" spans="1:1" ht="14.25" customHeight="1">
      <c r="A123" s="41"/>
    </row>
    <row r="124" spans="1:1" ht="14.25" customHeight="1">
      <c r="A124" s="41"/>
    </row>
    <row r="125" spans="1:1" ht="14.25" customHeight="1">
      <c r="A125" s="41"/>
    </row>
    <row r="126" spans="1:1" ht="14.25" customHeight="1">
      <c r="A126" s="41"/>
    </row>
    <row r="127" spans="1:1" ht="14.25" customHeight="1">
      <c r="A127" s="41"/>
    </row>
    <row r="128" spans="1:1" ht="14.25" customHeight="1">
      <c r="A128" s="41"/>
    </row>
    <row r="129" spans="1:1" ht="14.25" customHeight="1">
      <c r="A129" s="41"/>
    </row>
    <row r="130" spans="1:1" ht="14.25" customHeight="1">
      <c r="A130" s="41"/>
    </row>
    <row r="131" spans="1:1" ht="14.25" customHeight="1">
      <c r="A131" s="41"/>
    </row>
    <row r="132" spans="1:1" ht="14.25" customHeight="1">
      <c r="A132" s="41"/>
    </row>
    <row r="133" spans="1:1" ht="14.25" customHeight="1">
      <c r="A133" s="41"/>
    </row>
    <row r="134" spans="1:1" ht="14.25" customHeight="1">
      <c r="A134" s="41"/>
    </row>
    <row r="135" spans="1:1" ht="14.25" customHeight="1">
      <c r="A135" s="41"/>
    </row>
    <row r="136" spans="1:1" ht="14.25" customHeight="1">
      <c r="A136" s="41"/>
    </row>
    <row r="137" spans="1:1" ht="14.25" customHeight="1">
      <c r="A137" s="41"/>
    </row>
    <row r="138" spans="1:1" ht="14.25" customHeight="1">
      <c r="A138" s="41"/>
    </row>
    <row r="139" spans="1:1" ht="14.25" customHeight="1">
      <c r="A139" s="41"/>
    </row>
    <row r="140" spans="1:1" ht="14.25" customHeight="1">
      <c r="A140" s="41"/>
    </row>
    <row r="141" spans="1:1" ht="14.25" customHeight="1">
      <c r="A141" s="41"/>
    </row>
    <row r="142" spans="1:1" ht="14.25" customHeight="1">
      <c r="A142" s="41"/>
    </row>
    <row r="143" spans="1:1" ht="14.25" customHeight="1">
      <c r="A143" s="41"/>
    </row>
    <row r="144" spans="1:1" ht="14.25" customHeight="1">
      <c r="A144" s="41"/>
    </row>
    <row r="145" spans="1:1" ht="14.25" customHeight="1">
      <c r="A145" s="41"/>
    </row>
    <row r="146" spans="1:1" ht="14.25" customHeight="1">
      <c r="A146" s="41"/>
    </row>
    <row r="147" spans="1:1" ht="14.25" customHeight="1">
      <c r="A147" s="41"/>
    </row>
    <row r="148" spans="1:1" ht="14.25" customHeight="1">
      <c r="A148" s="41"/>
    </row>
    <row r="149" spans="1:1" ht="14.25" customHeight="1">
      <c r="A149" s="41"/>
    </row>
    <row r="150" spans="1:1" ht="14.25" customHeight="1">
      <c r="A150" s="41"/>
    </row>
    <row r="151" spans="1:1" ht="14.25" customHeight="1">
      <c r="A151" s="41"/>
    </row>
    <row r="152" spans="1:1" ht="14.25" customHeight="1">
      <c r="A152" s="41"/>
    </row>
    <row r="153" spans="1:1" ht="14.25" customHeight="1">
      <c r="A153" s="41"/>
    </row>
    <row r="154" spans="1:1" ht="14.25" customHeight="1">
      <c r="A154" s="41"/>
    </row>
    <row r="155" spans="1:1" ht="14.25" customHeight="1">
      <c r="A155" s="41"/>
    </row>
    <row r="156" spans="1:1" ht="14.25" customHeight="1">
      <c r="A156" s="41"/>
    </row>
    <row r="157" spans="1:1" ht="14.25" customHeight="1">
      <c r="A157" s="41"/>
    </row>
    <row r="158" spans="1:1" ht="14.25" customHeight="1">
      <c r="A158" s="41"/>
    </row>
    <row r="159" spans="1:1" ht="14.25" customHeight="1">
      <c r="A159" s="41"/>
    </row>
    <row r="160" spans="1:1" ht="14.25" customHeight="1">
      <c r="A160" s="41"/>
    </row>
    <row r="161" spans="1:1" ht="14.25" customHeight="1">
      <c r="A161" s="41"/>
    </row>
    <row r="162" spans="1:1" ht="14.25" customHeight="1">
      <c r="A162" s="41"/>
    </row>
    <row r="163" spans="1:1" ht="14.25" customHeight="1">
      <c r="A163" s="41"/>
    </row>
    <row r="164" spans="1:1" ht="14.25" customHeight="1">
      <c r="A164" s="41"/>
    </row>
    <row r="165" spans="1:1" ht="14.25" customHeight="1">
      <c r="A165" s="41"/>
    </row>
    <row r="166" spans="1:1" ht="14.25" customHeight="1">
      <c r="A166" s="41"/>
    </row>
    <row r="167" spans="1:1" ht="14.25" customHeight="1">
      <c r="A167" s="41"/>
    </row>
    <row r="168" spans="1:1" ht="14.25" customHeight="1">
      <c r="A168" s="41"/>
    </row>
    <row r="169" spans="1:1" ht="14.25" customHeight="1">
      <c r="A169" s="41"/>
    </row>
    <row r="170" spans="1:1" ht="14.25" customHeight="1">
      <c r="A170" s="41"/>
    </row>
    <row r="171" spans="1:1" ht="14.25" customHeight="1">
      <c r="A171" s="41"/>
    </row>
    <row r="172" spans="1:1" ht="14.25" customHeight="1">
      <c r="A172" s="41"/>
    </row>
    <row r="173" spans="1:1" ht="14.25" customHeight="1">
      <c r="A173" s="41"/>
    </row>
    <row r="174" spans="1:1" ht="14.25" customHeight="1">
      <c r="A174" s="41"/>
    </row>
    <row r="175" spans="1:1" ht="14.25" customHeight="1">
      <c r="A175" s="41"/>
    </row>
    <row r="176" spans="1:1" ht="14.25" customHeight="1">
      <c r="A176" s="41"/>
    </row>
    <row r="177" spans="1:1" ht="14.25" customHeight="1">
      <c r="A177" s="41"/>
    </row>
    <row r="178" spans="1:1" ht="14.25" customHeight="1">
      <c r="A178" s="41"/>
    </row>
    <row r="179" spans="1:1" ht="14.25" customHeight="1">
      <c r="A179" s="41"/>
    </row>
    <row r="180" spans="1:1" ht="14.25" customHeight="1">
      <c r="A180" s="41"/>
    </row>
    <row r="181" spans="1:1" ht="14.25" customHeight="1">
      <c r="A181" s="41"/>
    </row>
    <row r="182" spans="1:1" ht="14.25" customHeight="1">
      <c r="A182" s="41"/>
    </row>
    <row r="183" spans="1:1" ht="14.25" customHeight="1">
      <c r="A183" s="41"/>
    </row>
    <row r="184" spans="1:1" ht="14.25" customHeight="1">
      <c r="A184" s="41"/>
    </row>
    <row r="185" spans="1:1" ht="14.25" customHeight="1">
      <c r="A185" s="41"/>
    </row>
    <row r="186" spans="1:1" ht="14.25" customHeight="1">
      <c r="A186" s="41"/>
    </row>
    <row r="187" spans="1:1" ht="14.25" customHeight="1">
      <c r="A187" s="41"/>
    </row>
    <row r="188" spans="1:1" ht="14.25" customHeight="1">
      <c r="A188" s="41"/>
    </row>
    <row r="189" spans="1:1" ht="14.25" customHeight="1">
      <c r="A189" s="41"/>
    </row>
    <row r="190" spans="1:1" ht="14.25" customHeight="1">
      <c r="A190" s="41"/>
    </row>
    <row r="191" spans="1:1" ht="14.25" customHeight="1">
      <c r="A191" s="41"/>
    </row>
    <row r="192" spans="1:1" ht="14.25" customHeight="1">
      <c r="A192" s="41"/>
    </row>
    <row r="193" spans="1:1" ht="14.25" customHeight="1">
      <c r="A193" s="41"/>
    </row>
    <row r="194" spans="1:1" ht="14.25" customHeight="1">
      <c r="A194" s="41"/>
    </row>
    <row r="195" spans="1:1" ht="14.25" customHeight="1">
      <c r="A195" s="41"/>
    </row>
    <row r="196" spans="1:1" ht="14.25" customHeight="1">
      <c r="A196" s="41"/>
    </row>
    <row r="197" spans="1:1" ht="14.25" customHeight="1">
      <c r="A197" s="41"/>
    </row>
    <row r="198" spans="1:1" ht="14.25" customHeight="1">
      <c r="A198" s="41"/>
    </row>
    <row r="199" spans="1:1" ht="14.25" customHeight="1">
      <c r="A199" s="41"/>
    </row>
    <row r="200" spans="1:1" ht="14.25" customHeight="1">
      <c r="A200" s="41"/>
    </row>
    <row r="201" spans="1:1" ht="14.25" customHeight="1">
      <c r="A201" s="41"/>
    </row>
    <row r="202" spans="1:1" ht="14.25" customHeight="1">
      <c r="A202" s="41"/>
    </row>
    <row r="203" spans="1:1" ht="14.25" customHeight="1">
      <c r="A203" s="41"/>
    </row>
    <row r="204" spans="1:1" ht="14.25" customHeight="1">
      <c r="A204" s="41"/>
    </row>
    <row r="205" spans="1:1" ht="14.25" customHeight="1">
      <c r="A205" s="41"/>
    </row>
    <row r="206" spans="1:1" ht="14.25" customHeight="1">
      <c r="A206" s="41"/>
    </row>
    <row r="207" spans="1:1" ht="14.25" customHeight="1">
      <c r="A207" s="41"/>
    </row>
    <row r="208" spans="1:1" ht="14.25" customHeight="1">
      <c r="A208" s="41"/>
    </row>
    <row r="209" spans="1:1" ht="14.25" customHeight="1">
      <c r="A209" s="41"/>
    </row>
    <row r="210" spans="1:1" ht="14.25" customHeight="1">
      <c r="A210" s="41"/>
    </row>
    <row r="211" spans="1:1" ht="14.25" customHeight="1">
      <c r="A211" s="41"/>
    </row>
    <row r="212" spans="1:1" ht="14.25" customHeight="1">
      <c r="A212" s="41"/>
    </row>
    <row r="213" spans="1:1" ht="14.25" customHeight="1">
      <c r="A213" s="41"/>
    </row>
    <row r="214" spans="1:1" ht="14.25" customHeight="1">
      <c r="A214" s="41"/>
    </row>
    <row r="215" spans="1:1" ht="14.25" customHeight="1">
      <c r="A215" s="41"/>
    </row>
    <row r="216" spans="1:1" ht="14.25" customHeight="1">
      <c r="A216" s="41"/>
    </row>
    <row r="217" spans="1:1" ht="14.25" customHeight="1">
      <c r="A217" s="41"/>
    </row>
    <row r="218" spans="1:1" ht="14.25" customHeight="1">
      <c r="A218" s="41"/>
    </row>
    <row r="219" spans="1:1" ht="14.25" customHeight="1">
      <c r="A219" s="41"/>
    </row>
    <row r="220" spans="1:1" ht="14.25" customHeight="1">
      <c r="A220" s="41"/>
    </row>
    <row r="221" spans="1:1" ht="14.25" customHeight="1">
      <c r="A221" s="41"/>
    </row>
    <row r="222" spans="1:1" ht="14.25" customHeight="1">
      <c r="A222" s="41"/>
    </row>
    <row r="223" spans="1:1" ht="14.25" customHeight="1">
      <c r="A223" s="41"/>
    </row>
    <row r="224" spans="1:1" ht="14.25" customHeight="1">
      <c r="A224" s="41"/>
    </row>
    <row r="225" spans="1:1" ht="14.25" customHeight="1">
      <c r="A225" s="41"/>
    </row>
    <row r="226" spans="1:1" ht="14.25" customHeight="1">
      <c r="A226" s="41"/>
    </row>
    <row r="227" spans="1:1" ht="14.25" customHeight="1">
      <c r="A227" s="41"/>
    </row>
    <row r="228" spans="1:1" ht="14.25" customHeight="1">
      <c r="A228" s="41"/>
    </row>
    <row r="229" spans="1:1" ht="14.25" customHeight="1">
      <c r="A229" s="41"/>
    </row>
    <row r="230" spans="1:1" ht="14.25" customHeight="1">
      <c r="A230" s="41"/>
    </row>
    <row r="231" spans="1:1" ht="14.25" customHeight="1">
      <c r="A231" s="41"/>
    </row>
    <row r="232" spans="1:1" ht="14.25" customHeight="1">
      <c r="A232" s="41"/>
    </row>
    <row r="233" spans="1:1" ht="14.25" customHeight="1">
      <c r="A233" s="41"/>
    </row>
    <row r="234" spans="1:1" ht="14.25" customHeight="1">
      <c r="A234" s="41"/>
    </row>
    <row r="235" spans="1:1" ht="14.25" customHeight="1">
      <c r="A235" s="41"/>
    </row>
    <row r="236" spans="1:1" ht="14.25" customHeight="1">
      <c r="A236" s="41"/>
    </row>
    <row r="237" spans="1:1" ht="15.75" customHeight="1"/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2:B33"/>
    <mergeCell ref="C32:C33"/>
    <mergeCell ref="D32:D33"/>
    <mergeCell ref="E32:E33"/>
  </mergeCells>
  <hyperlinks>
    <hyperlink ref="F17" r:id="rId1" xr:uid="{00000000-0004-0000-0900-000000000000}"/>
    <hyperlink ref="F18" r:id="rId2" xr:uid="{00000000-0004-0000-0900-000001000000}"/>
    <hyperlink ref="F19" r:id="rId3" xr:uid="{00000000-0004-0000-0900-000002000000}"/>
    <hyperlink ref="F21" r:id="rId4" xr:uid="{00000000-0004-0000-0900-000003000000}"/>
    <hyperlink ref="F22" r:id="rId5" xr:uid="{00000000-0004-0000-0900-000004000000}"/>
    <hyperlink ref="F27" r:id="rId6" xr:uid="{00000000-0004-0000-0900-000005000000}"/>
    <hyperlink ref="F28" r:id="rId7" location="home" xr:uid="{00000000-0004-0000-0900-000006000000}"/>
    <hyperlink ref="F29" r:id="rId8" location="/uems/home/summary" xr:uid="{00000000-0004-0000-0900-000007000000}"/>
    <hyperlink ref="F30" r:id="rId9" xr:uid="{00000000-0004-0000-0900-000008000000}"/>
    <hyperlink ref="F31" r:id="rId10" xr:uid="{00000000-0004-0000-0900-000009000000}"/>
    <hyperlink ref="F32" r:id="rId11" xr:uid="{00000000-0004-0000-0900-00000A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K36"/>
  <sheetViews>
    <sheetView showGridLines="0" workbookViewId="0">
      <selection activeCell="B4" sqref="B4"/>
    </sheetView>
  </sheetViews>
  <sheetFormatPr baseColWidth="10" defaultColWidth="12.5703125" defaultRowHeight="15" customHeight="1"/>
  <cols>
    <col min="1" max="1" width="12.5703125" style="67"/>
    <col min="2" max="2" width="7" customWidth="1"/>
    <col min="3" max="5" width="12.5703125" customWidth="1"/>
    <col min="6" max="6" width="23.28515625" customWidth="1"/>
    <col min="7" max="8" width="12.5703125" customWidth="1"/>
    <col min="9" max="9" width="28.5703125" customWidth="1"/>
    <col min="10" max="10" width="20" customWidth="1"/>
    <col min="11" max="11" width="25.140625" customWidth="1"/>
    <col min="12" max="12" width="20.28515625" customWidth="1"/>
    <col min="13" max="16" width="18.42578125" customWidth="1"/>
    <col min="17" max="17" width="38.28515625" customWidth="1"/>
    <col min="18" max="18" width="31.85546875" style="134" customWidth="1"/>
    <col min="19" max="19" width="31.85546875" customWidth="1"/>
    <col min="20" max="21" width="17.7109375" customWidth="1"/>
  </cols>
  <sheetData>
    <row r="1" spans="1:63" ht="45">
      <c r="A1" s="193" t="s">
        <v>435</v>
      </c>
      <c r="B1" s="65" t="s">
        <v>1300</v>
      </c>
      <c r="C1" s="188" t="s">
        <v>245</v>
      </c>
      <c r="D1" s="65" t="s">
        <v>246</v>
      </c>
      <c r="E1" s="65" t="s">
        <v>247</v>
      </c>
      <c r="F1" s="65" t="s">
        <v>258</v>
      </c>
      <c r="G1" s="65" t="s">
        <v>248</v>
      </c>
      <c r="H1" s="65" t="s">
        <v>250</v>
      </c>
      <c r="I1" s="65" t="s">
        <v>1301</v>
      </c>
      <c r="J1" s="65" t="s">
        <v>1302</v>
      </c>
      <c r="K1" s="65" t="s">
        <v>1303</v>
      </c>
      <c r="L1" s="65" t="s">
        <v>1304</v>
      </c>
      <c r="M1" s="65" t="s">
        <v>600</v>
      </c>
      <c r="N1" s="65" t="s">
        <v>596</v>
      </c>
      <c r="O1" s="65" t="s">
        <v>1305</v>
      </c>
      <c r="P1" s="65" t="s">
        <v>1306</v>
      </c>
      <c r="Q1" s="122" t="s">
        <v>37</v>
      </c>
      <c r="R1" s="145" t="s">
        <v>1307</v>
      </c>
      <c r="S1" s="144" t="s">
        <v>38</v>
      </c>
    </row>
    <row r="2" spans="1:63">
      <c r="A2" s="117">
        <v>1</v>
      </c>
      <c r="B2" s="194" t="s">
        <v>1308</v>
      </c>
      <c r="C2" s="189" t="s">
        <v>1309</v>
      </c>
      <c r="D2" s="15" t="s">
        <v>1309</v>
      </c>
      <c r="E2" s="15" t="s">
        <v>270</v>
      </c>
      <c r="F2" s="5" t="s">
        <v>39</v>
      </c>
      <c r="G2" s="5" t="s">
        <v>1310</v>
      </c>
      <c r="H2" s="5" t="s">
        <v>1311</v>
      </c>
      <c r="I2" s="5" t="s">
        <v>1312</v>
      </c>
      <c r="J2" s="5" t="s">
        <v>1313</v>
      </c>
      <c r="K2" s="5" t="s">
        <v>1314</v>
      </c>
      <c r="L2" s="5" t="s">
        <v>1315</v>
      </c>
      <c r="M2" s="5"/>
      <c r="N2" s="5" t="s">
        <v>1316</v>
      </c>
      <c r="O2" s="5"/>
      <c r="P2" s="5"/>
      <c r="Q2" s="123"/>
      <c r="R2" s="173"/>
      <c r="S2" s="146"/>
    </row>
    <row r="3" spans="1:63">
      <c r="A3" s="117">
        <v>2</v>
      </c>
      <c r="B3" s="194" t="s">
        <v>1308</v>
      </c>
      <c r="C3" s="189" t="s">
        <v>1309</v>
      </c>
      <c r="D3" s="15" t="s">
        <v>1309</v>
      </c>
      <c r="E3" s="15" t="s">
        <v>270</v>
      </c>
      <c r="F3" s="5" t="s">
        <v>39</v>
      </c>
      <c r="G3" s="5" t="s">
        <v>1310</v>
      </c>
      <c r="H3" s="5" t="s">
        <v>1311</v>
      </c>
      <c r="I3" s="5" t="s">
        <v>1312</v>
      </c>
      <c r="J3" s="5" t="s">
        <v>1313</v>
      </c>
      <c r="K3" s="5" t="s">
        <v>1314</v>
      </c>
      <c r="L3" s="5" t="s">
        <v>1315</v>
      </c>
      <c r="M3" s="5"/>
      <c r="N3" s="5" t="s">
        <v>1317</v>
      </c>
      <c r="O3" s="5"/>
      <c r="P3" s="5"/>
      <c r="Q3" s="123"/>
      <c r="R3" s="173"/>
      <c r="S3" s="146"/>
    </row>
    <row r="4" spans="1:63">
      <c r="A4" s="117">
        <v>3</v>
      </c>
      <c r="B4" s="195" t="s">
        <v>1318</v>
      </c>
      <c r="C4" s="190" t="s">
        <v>159</v>
      </c>
      <c r="D4" s="49" t="s">
        <v>1319</v>
      </c>
      <c r="E4" s="49" t="s">
        <v>270</v>
      </c>
      <c r="F4" s="61" t="s">
        <v>444</v>
      </c>
      <c r="G4" s="47" t="s">
        <v>1310</v>
      </c>
      <c r="H4" s="47" t="s">
        <v>1311</v>
      </c>
      <c r="I4" s="47" t="s">
        <v>1320</v>
      </c>
      <c r="J4" s="47" t="s">
        <v>1321</v>
      </c>
      <c r="K4" s="71">
        <v>181188209107</v>
      </c>
      <c r="L4" s="47" t="s">
        <v>1315</v>
      </c>
      <c r="M4" s="47"/>
      <c r="N4" s="47" t="s">
        <v>1322</v>
      </c>
      <c r="O4" s="50" t="s">
        <v>266</v>
      </c>
      <c r="P4" s="50" t="s">
        <v>266</v>
      </c>
      <c r="Q4" s="142" t="s">
        <v>309</v>
      </c>
      <c r="R4" s="147"/>
      <c r="S4" s="147"/>
    </row>
    <row r="5" spans="1:63">
      <c r="A5" s="117">
        <v>4</v>
      </c>
      <c r="B5" s="195" t="s">
        <v>1318</v>
      </c>
      <c r="C5" s="190" t="s">
        <v>159</v>
      </c>
      <c r="D5" s="49" t="s">
        <v>1319</v>
      </c>
      <c r="E5" s="49" t="s">
        <v>270</v>
      </c>
      <c r="F5" s="61" t="s">
        <v>444</v>
      </c>
      <c r="G5" s="47" t="s">
        <v>1310</v>
      </c>
      <c r="H5" s="47" t="s">
        <v>1311</v>
      </c>
      <c r="I5" s="47" t="s">
        <v>1320</v>
      </c>
      <c r="J5" s="47" t="s">
        <v>1321</v>
      </c>
      <c r="K5" s="71">
        <v>181188209107</v>
      </c>
      <c r="L5" s="47" t="s">
        <v>1315</v>
      </c>
      <c r="M5" s="47"/>
      <c r="N5" s="47" t="s">
        <v>1323</v>
      </c>
      <c r="O5" s="50" t="s">
        <v>266</v>
      </c>
      <c r="P5" s="50" t="s">
        <v>266</v>
      </c>
      <c r="Q5" s="142" t="s">
        <v>309</v>
      </c>
      <c r="R5" s="147"/>
      <c r="S5" s="147"/>
    </row>
    <row r="6" spans="1:63" ht="15.75">
      <c r="A6" s="117">
        <f>A5+1</f>
        <v>5</v>
      </c>
      <c r="B6" s="196" t="s">
        <v>1318</v>
      </c>
      <c r="C6" s="191" t="s">
        <v>303</v>
      </c>
      <c r="D6" s="120" t="s">
        <v>1324</v>
      </c>
      <c r="E6" s="120" t="s">
        <v>270</v>
      </c>
      <c r="F6" s="101" t="s">
        <v>444</v>
      </c>
      <c r="G6" s="108" t="s">
        <v>1310</v>
      </c>
      <c r="H6" s="108" t="s">
        <v>1311</v>
      </c>
      <c r="I6" s="108" t="s">
        <v>1325</v>
      </c>
      <c r="J6" s="108" t="s">
        <v>1326</v>
      </c>
      <c r="K6" s="121">
        <v>181188209107</v>
      </c>
      <c r="L6" s="108" t="s">
        <v>1315</v>
      </c>
      <c r="M6" s="108"/>
      <c r="N6" s="108" t="s">
        <v>1327</v>
      </c>
      <c r="O6" s="108" t="s">
        <v>266</v>
      </c>
      <c r="P6" s="108" t="s">
        <v>266</v>
      </c>
      <c r="Q6" s="123" t="s">
        <v>1328</v>
      </c>
      <c r="R6" s="148" t="s">
        <v>1329</v>
      </c>
      <c r="S6" s="148"/>
    </row>
    <row r="7" spans="1:63" ht="15.75">
      <c r="A7" s="117">
        <f t="shared" ref="A7:A36" si="0">A6+1</f>
        <v>6</v>
      </c>
      <c r="B7" s="196" t="s">
        <v>1318</v>
      </c>
      <c r="C7" s="191" t="s">
        <v>303</v>
      </c>
      <c r="D7" s="120" t="s">
        <v>1324</v>
      </c>
      <c r="E7" s="120" t="s">
        <v>270</v>
      </c>
      <c r="F7" s="101" t="s">
        <v>444</v>
      </c>
      <c r="G7" s="108" t="s">
        <v>1310</v>
      </c>
      <c r="H7" s="108" t="s">
        <v>1311</v>
      </c>
      <c r="I7" s="108" t="s">
        <v>1325</v>
      </c>
      <c r="J7" s="108" t="s">
        <v>1326</v>
      </c>
      <c r="K7" s="121">
        <v>181188209107</v>
      </c>
      <c r="L7" s="108" t="s">
        <v>1315</v>
      </c>
      <c r="M7" s="108"/>
      <c r="N7" s="108" t="s">
        <v>1330</v>
      </c>
      <c r="O7" s="108" t="s">
        <v>266</v>
      </c>
      <c r="P7" s="108" t="s">
        <v>266</v>
      </c>
      <c r="Q7" s="123" t="s">
        <v>1328</v>
      </c>
      <c r="R7" s="148" t="s">
        <v>1329</v>
      </c>
      <c r="S7" s="148"/>
    </row>
    <row r="8" spans="1:63">
      <c r="A8" s="117">
        <f t="shared" si="0"/>
        <v>7</v>
      </c>
      <c r="B8" s="196" t="s">
        <v>1318</v>
      </c>
      <c r="C8" s="191" t="s">
        <v>303</v>
      </c>
      <c r="D8" s="120" t="s">
        <v>1324</v>
      </c>
      <c r="E8" s="120" t="s">
        <v>270</v>
      </c>
      <c r="F8" s="101" t="s">
        <v>444</v>
      </c>
      <c r="G8" s="108" t="s">
        <v>1310</v>
      </c>
      <c r="H8" s="108" t="s">
        <v>1311</v>
      </c>
      <c r="I8" s="108" t="s">
        <v>1331</v>
      </c>
      <c r="J8" s="5" t="s">
        <v>1332</v>
      </c>
      <c r="K8" s="73"/>
      <c r="L8" s="5"/>
      <c r="M8" s="5" t="s">
        <v>1333</v>
      </c>
      <c r="N8" s="5" t="s">
        <v>1334</v>
      </c>
      <c r="O8" s="5" t="s">
        <v>266</v>
      </c>
      <c r="P8" s="5" t="s">
        <v>267</v>
      </c>
      <c r="Q8" s="142" t="s">
        <v>316</v>
      </c>
      <c r="R8" s="173"/>
      <c r="S8" s="146"/>
    </row>
    <row r="9" spans="1:63" s="119" customFormat="1">
      <c r="A9" s="117">
        <f t="shared" si="0"/>
        <v>8</v>
      </c>
      <c r="B9" s="196" t="s">
        <v>1318</v>
      </c>
      <c r="C9" s="191" t="s">
        <v>303</v>
      </c>
      <c r="D9" s="120" t="s">
        <v>1324</v>
      </c>
      <c r="E9" s="120" t="s">
        <v>270</v>
      </c>
      <c r="F9" s="101" t="s">
        <v>444</v>
      </c>
      <c r="G9" s="108" t="s">
        <v>1310</v>
      </c>
      <c r="H9" s="108" t="s">
        <v>1311</v>
      </c>
      <c r="I9" s="108" t="s">
        <v>1331</v>
      </c>
      <c r="J9" s="108" t="s">
        <v>1335</v>
      </c>
      <c r="K9" s="121">
        <v>181188209107</v>
      </c>
      <c r="L9" s="108" t="s">
        <v>1315</v>
      </c>
      <c r="M9" s="108"/>
      <c r="N9" s="108" t="s">
        <v>1336</v>
      </c>
      <c r="O9" s="108" t="s">
        <v>266</v>
      </c>
      <c r="P9" s="108" t="s">
        <v>266</v>
      </c>
      <c r="Q9" s="123" t="s">
        <v>1328</v>
      </c>
      <c r="R9" s="128"/>
      <c r="S9" s="152"/>
    </row>
    <row r="10" spans="1:63" s="119" customFormat="1">
      <c r="A10" s="117">
        <f t="shared" si="0"/>
        <v>9</v>
      </c>
      <c r="B10" s="196" t="s">
        <v>1318</v>
      </c>
      <c r="C10" s="191" t="s">
        <v>303</v>
      </c>
      <c r="D10" s="120" t="s">
        <v>1324</v>
      </c>
      <c r="E10" s="120" t="s">
        <v>270</v>
      </c>
      <c r="F10" s="101" t="s">
        <v>444</v>
      </c>
      <c r="G10" s="108" t="s">
        <v>1310</v>
      </c>
      <c r="H10" s="108" t="s">
        <v>1311</v>
      </c>
      <c r="I10" s="108" t="s">
        <v>1331</v>
      </c>
      <c r="J10" s="108" t="s">
        <v>1337</v>
      </c>
      <c r="K10" s="121">
        <v>181188209107</v>
      </c>
      <c r="L10" s="108" t="s">
        <v>1315</v>
      </c>
      <c r="M10" s="108"/>
      <c r="N10" s="108" t="s">
        <v>1338</v>
      </c>
      <c r="O10" s="108" t="s">
        <v>266</v>
      </c>
      <c r="P10" s="108" t="s">
        <v>266</v>
      </c>
      <c r="Q10" s="123" t="s">
        <v>1328</v>
      </c>
      <c r="R10" s="128"/>
      <c r="S10" s="152"/>
    </row>
    <row r="11" spans="1:63" s="119" customFormat="1" ht="15.75">
      <c r="A11" s="117">
        <f t="shared" si="0"/>
        <v>10</v>
      </c>
      <c r="B11" s="196" t="s">
        <v>1339</v>
      </c>
      <c r="C11" s="191" t="s">
        <v>303</v>
      </c>
      <c r="D11" s="120" t="s">
        <v>1324</v>
      </c>
      <c r="E11" s="120" t="s">
        <v>270</v>
      </c>
      <c r="F11" s="101"/>
      <c r="G11" s="108"/>
      <c r="H11" s="108" t="s">
        <v>1311</v>
      </c>
      <c r="I11" s="108"/>
      <c r="J11" s="108" t="s">
        <v>1340</v>
      </c>
      <c r="K11" s="121"/>
      <c r="L11" s="108"/>
      <c r="M11" s="108" t="s">
        <v>1341</v>
      </c>
      <c r="N11" s="108" t="s">
        <v>1342</v>
      </c>
      <c r="O11" s="119" t="s">
        <v>266</v>
      </c>
      <c r="P11" s="108" t="s">
        <v>267</v>
      </c>
      <c r="Q11" s="142" t="s">
        <v>316</v>
      </c>
      <c r="R11" s="148" t="s">
        <v>1343</v>
      </c>
      <c r="S11" s="148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</row>
    <row r="12" spans="1:63">
      <c r="A12" s="117">
        <f t="shared" si="0"/>
        <v>11</v>
      </c>
      <c r="B12" s="194" t="s">
        <v>1318</v>
      </c>
      <c r="C12" s="189" t="s">
        <v>303</v>
      </c>
      <c r="D12" s="15" t="s">
        <v>1324</v>
      </c>
      <c r="E12" s="15" t="s">
        <v>1344</v>
      </c>
      <c r="F12" s="72" t="s">
        <v>444</v>
      </c>
      <c r="G12" s="5" t="s">
        <v>1310</v>
      </c>
      <c r="H12" s="5" t="s">
        <v>1311</v>
      </c>
      <c r="I12" s="5" t="s">
        <v>1345</v>
      </c>
      <c r="J12" s="5" t="s">
        <v>1340</v>
      </c>
      <c r="K12" s="73">
        <v>181188209107</v>
      </c>
      <c r="L12" s="5" t="s">
        <v>1315</v>
      </c>
      <c r="M12" s="5"/>
      <c r="N12" s="5" t="s">
        <v>1346</v>
      </c>
      <c r="O12" s="5"/>
      <c r="P12" s="5"/>
      <c r="Q12" s="123"/>
      <c r="R12" s="173"/>
      <c r="S12" s="146"/>
    </row>
    <row r="13" spans="1:63">
      <c r="A13" s="117">
        <f t="shared" si="0"/>
        <v>12</v>
      </c>
      <c r="B13" s="194" t="s">
        <v>1318</v>
      </c>
      <c r="C13" s="189" t="s">
        <v>303</v>
      </c>
      <c r="D13" s="15" t="s">
        <v>1324</v>
      </c>
      <c r="E13" s="15" t="s">
        <v>1344</v>
      </c>
      <c r="F13" s="72" t="s">
        <v>444</v>
      </c>
      <c r="G13" s="5" t="s">
        <v>1310</v>
      </c>
      <c r="H13" s="5" t="s">
        <v>1311</v>
      </c>
      <c r="I13" s="5" t="s">
        <v>1347</v>
      </c>
      <c r="J13" s="5" t="s">
        <v>1340</v>
      </c>
      <c r="K13" s="73">
        <v>181188209107</v>
      </c>
      <c r="L13" s="5" t="s">
        <v>1315</v>
      </c>
      <c r="M13" s="5"/>
      <c r="N13" s="5" t="s">
        <v>1348</v>
      </c>
      <c r="O13" s="5"/>
      <c r="P13" s="5"/>
      <c r="Q13" s="123"/>
      <c r="R13" s="173"/>
      <c r="S13" s="146"/>
    </row>
    <row r="14" spans="1:63">
      <c r="A14" s="117">
        <f t="shared" si="0"/>
        <v>13</v>
      </c>
      <c r="B14" s="194" t="s">
        <v>1318</v>
      </c>
      <c r="C14" s="189" t="s">
        <v>69</v>
      </c>
      <c r="D14" s="15" t="s">
        <v>1349</v>
      </c>
      <c r="E14" s="15" t="s">
        <v>1350</v>
      </c>
      <c r="F14" s="72" t="s">
        <v>484</v>
      </c>
      <c r="G14" s="5" t="s">
        <v>1310</v>
      </c>
      <c r="H14" s="5" t="s">
        <v>1311</v>
      </c>
      <c r="I14" s="5" t="s">
        <v>1351</v>
      </c>
      <c r="J14" s="5" t="s">
        <v>1332</v>
      </c>
      <c r="K14" s="73">
        <v>6476104202</v>
      </c>
      <c r="L14" s="5" t="s">
        <v>1315</v>
      </c>
      <c r="M14" s="5"/>
      <c r="N14" s="5" t="s">
        <v>1352</v>
      </c>
      <c r="O14" s="5"/>
      <c r="P14" s="5"/>
      <c r="Q14" s="123"/>
      <c r="R14" s="173"/>
      <c r="S14" s="146"/>
    </row>
    <row r="15" spans="1:63" ht="15.75">
      <c r="A15" s="117">
        <f t="shared" si="0"/>
        <v>14</v>
      </c>
      <c r="B15" s="195" t="s">
        <v>1318</v>
      </c>
      <c r="C15" s="190" t="s">
        <v>69</v>
      </c>
      <c r="D15" s="49" t="s">
        <v>1349</v>
      </c>
      <c r="E15" s="49" t="s">
        <v>270</v>
      </c>
      <c r="F15" s="61" t="s">
        <v>484</v>
      </c>
      <c r="G15" s="47" t="s">
        <v>1310</v>
      </c>
      <c r="H15" s="47" t="s">
        <v>1311</v>
      </c>
      <c r="I15" s="47" t="s">
        <v>1353</v>
      </c>
      <c r="J15" s="161" t="s">
        <v>1354</v>
      </c>
      <c r="K15" s="71">
        <v>181188209107</v>
      </c>
      <c r="L15" s="47" t="s">
        <v>1315</v>
      </c>
      <c r="M15" s="47"/>
      <c r="N15" s="47" t="s">
        <v>1355</v>
      </c>
      <c r="O15" s="108" t="s">
        <v>266</v>
      </c>
      <c r="P15" s="50" t="s">
        <v>266</v>
      </c>
      <c r="Q15" s="142" t="s">
        <v>309</v>
      </c>
      <c r="R15" s="156" t="s">
        <v>1356</v>
      </c>
      <c r="S15" s="147"/>
    </row>
    <row r="16" spans="1:63" ht="15.75">
      <c r="A16" s="117">
        <f t="shared" si="0"/>
        <v>15</v>
      </c>
      <c r="B16" s="195" t="s">
        <v>1318</v>
      </c>
      <c r="C16" s="190" t="s">
        <v>69</v>
      </c>
      <c r="D16" s="49" t="s">
        <v>1349</v>
      </c>
      <c r="E16" s="49" t="s">
        <v>270</v>
      </c>
      <c r="F16" s="61" t="s">
        <v>484</v>
      </c>
      <c r="G16" s="47" t="s">
        <v>1310</v>
      </c>
      <c r="H16" s="47" t="s">
        <v>1311</v>
      </c>
      <c r="I16" s="47" t="s">
        <v>1353</v>
      </c>
      <c r="J16" s="161" t="s">
        <v>1354</v>
      </c>
      <c r="K16" s="71">
        <v>181188209107</v>
      </c>
      <c r="L16" s="47" t="s">
        <v>1315</v>
      </c>
      <c r="M16" s="47"/>
      <c r="N16" s="47" t="s">
        <v>1357</v>
      </c>
      <c r="O16" s="108" t="s">
        <v>266</v>
      </c>
      <c r="P16" s="50" t="s">
        <v>266</v>
      </c>
      <c r="Q16" s="142" t="s">
        <v>309</v>
      </c>
      <c r="R16" s="157" t="s">
        <v>1358</v>
      </c>
      <c r="S16" s="147"/>
    </row>
    <row r="17" spans="1:19">
      <c r="A17" s="117">
        <f t="shared" si="0"/>
        <v>16</v>
      </c>
      <c r="B17" s="194" t="s">
        <v>1318</v>
      </c>
      <c r="C17" s="189" t="s">
        <v>69</v>
      </c>
      <c r="D17" s="15" t="s">
        <v>1349</v>
      </c>
      <c r="E17" s="15" t="s">
        <v>104</v>
      </c>
      <c r="F17" s="72" t="s">
        <v>484</v>
      </c>
      <c r="G17" s="5" t="s">
        <v>1310</v>
      </c>
      <c r="H17" s="5" t="s">
        <v>1311</v>
      </c>
      <c r="I17" s="5" t="s">
        <v>1359</v>
      </c>
      <c r="J17" s="5" t="s">
        <v>1360</v>
      </c>
      <c r="K17" s="73">
        <v>190102146196</v>
      </c>
      <c r="L17" s="5" t="s">
        <v>1315</v>
      </c>
      <c r="M17" s="5"/>
      <c r="N17" s="5" t="s">
        <v>1361</v>
      </c>
      <c r="O17" s="5"/>
      <c r="P17" s="5"/>
      <c r="Q17" s="123"/>
      <c r="R17" s="173"/>
      <c r="S17" s="146"/>
    </row>
    <row r="18" spans="1:19">
      <c r="A18" s="117">
        <f t="shared" si="0"/>
        <v>17</v>
      </c>
      <c r="B18" s="194" t="s">
        <v>1318</v>
      </c>
      <c r="C18" s="189" t="s">
        <v>69</v>
      </c>
      <c r="D18" s="15" t="s">
        <v>1349</v>
      </c>
      <c r="E18" s="15" t="s">
        <v>104</v>
      </c>
      <c r="F18" s="72" t="s">
        <v>484</v>
      </c>
      <c r="G18" s="5" t="s">
        <v>1310</v>
      </c>
      <c r="H18" s="5" t="s">
        <v>1311</v>
      </c>
      <c r="I18" s="5" t="s">
        <v>1359</v>
      </c>
      <c r="J18" s="5" t="s">
        <v>1340</v>
      </c>
      <c r="K18" s="73">
        <v>190102146196</v>
      </c>
      <c r="L18" s="5" t="s">
        <v>1315</v>
      </c>
      <c r="M18" s="5"/>
      <c r="N18" s="5" t="s">
        <v>1362</v>
      </c>
      <c r="O18" s="5"/>
      <c r="P18" s="5"/>
      <c r="Q18" s="123"/>
      <c r="R18" s="173"/>
      <c r="S18" s="146"/>
    </row>
    <row r="19" spans="1:19">
      <c r="A19" s="117">
        <f t="shared" si="0"/>
        <v>18</v>
      </c>
      <c r="B19" s="196" t="s">
        <v>1318</v>
      </c>
      <c r="C19" s="191" t="s">
        <v>69</v>
      </c>
      <c r="D19" s="120" t="s">
        <v>1349</v>
      </c>
      <c r="E19" s="120" t="s">
        <v>384</v>
      </c>
      <c r="F19" s="101" t="s">
        <v>484</v>
      </c>
      <c r="G19" s="108" t="s">
        <v>1310</v>
      </c>
      <c r="H19" s="108" t="s">
        <v>1311</v>
      </c>
      <c r="I19" s="108" t="s">
        <v>1363</v>
      </c>
      <c r="J19" s="108" t="s">
        <v>1360</v>
      </c>
      <c r="K19" s="151">
        <v>181188209107</v>
      </c>
      <c r="L19" s="108" t="s">
        <v>1364</v>
      </c>
      <c r="M19" s="108"/>
      <c r="N19" s="108" t="s">
        <v>1365</v>
      </c>
      <c r="O19" s="108" t="s">
        <v>266</v>
      </c>
      <c r="P19" s="108" t="s">
        <v>266</v>
      </c>
      <c r="Q19" s="143" t="s">
        <v>309</v>
      </c>
      <c r="R19" s="173" t="s">
        <v>1366</v>
      </c>
      <c r="S19" s="146"/>
    </row>
    <row r="20" spans="1:19">
      <c r="A20" s="117">
        <f t="shared" si="0"/>
        <v>19</v>
      </c>
      <c r="B20" s="196" t="s">
        <v>1318</v>
      </c>
      <c r="C20" s="191" t="s">
        <v>69</v>
      </c>
      <c r="D20" s="120" t="s">
        <v>1349</v>
      </c>
      <c r="E20" s="120" t="s">
        <v>384</v>
      </c>
      <c r="F20" s="101" t="s">
        <v>484</v>
      </c>
      <c r="G20" s="108" t="s">
        <v>1310</v>
      </c>
      <c r="H20" s="108" t="s">
        <v>1311</v>
      </c>
      <c r="I20" s="108" t="s">
        <v>1367</v>
      </c>
      <c r="J20" s="108" t="s">
        <v>1340</v>
      </c>
      <c r="K20" s="151">
        <v>181188209107</v>
      </c>
      <c r="L20" s="108" t="s">
        <v>1364</v>
      </c>
      <c r="M20" s="108"/>
      <c r="N20" s="108" t="s">
        <v>1368</v>
      </c>
      <c r="O20" s="108" t="s">
        <v>266</v>
      </c>
      <c r="P20" s="108" t="s">
        <v>266</v>
      </c>
      <c r="Q20" s="143" t="s">
        <v>309</v>
      </c>
      <c r="R20" s="174" t="s">
        <v>1366</v>
      </c>
      <c r="S20" s="149"/>
    </row>
    <row r="21" spans="1:19">
      <c r="A21" s="117">
        <f t="shared" si="0"/>
        <v>20</v>
      </c>
      <c r="B21" s="196" t="s">
        <v>1369</v>
      </c>
      <c r="C21" s="191" t="s">
        <v>69</v>
      </c>
      <c r="D21" s="120" t="s">
        <v>1349</v>
      </c>
      <c r="E21" s="120" t="s">
        <v>384</v>
      </c>
      <c r="F21" s="101" t="s">
        <v>484</v>
      </c>
      <c r="G21" s="108" t="s">
        <v>1310</v>
      </c>
      <c r="H21" s="108" t="s">
        <v>1311</v>
      </c>
      <c r="I21" s="108"/>
      <c r="J21" s="108" t="s">
        <v>1370</v>
      </c>
      <c r="K21" s="121"/>
      <c r="L21" s="108"/>
      <c r="M21" s="108" t="s">
        <v>1371</v>
      </c>
      <c r="N21" s="108" t="s">
        <v>1372</v>
      </c>
      <c r="O21" s="108" t="s">
        <v>266</v>
      </c>
      <c r="P21" s="108" t="s">
        <v>266</v>
      </c>
      <c r="Q21" s="143" t="s">
        <v>309</v>
      </c>
      <c r="R21" s="174" t="s">
        <v>1373</v>
      </c>
      <c r="S21" s="149" t="s">
        <v>1374</v>
      </c>
    </row>
    <row r="22" spans="1:19">
      <c r="A22" s="117">
        <f t="shared" si="0"/>
        <v>21</v>
      </c>
      <c r="B22" s="195" t="s">
        <v>1318</v>
      </c>
      <c r="C22" s="190" t="s">
        <v>69</v>
      </c>
      <c r="D22" s="49" t="s">
        <v>1349</v>
      </c>
      <c r="E22" s="49" t="s">
        <v>1375</v>
      </c>
      <c r="F22" s="61" t="s">
        <v>484</v>
      </c>
      <c r="G22" s="47" t="s">
        <v>1310</v>
      </c>
      <c r="H22" s="47" t="s">
        <v>1311</v>
      </c>
      <c r="I22" s="47" t="s">
        <v>1376</v>
      </c>
      <c r="J22" s="47" t="s">
        <v>1360</v>
      </c>
      <c r="K22" s="74"/>
      <c r="L22" s="47" t="s">
        <v>1364</v>
      </c>
      <c r="M22" s="50" t="s">
        <v>1377</v>
      </c>
      <c r="N22" s="47" t="s">
        <v>1378</v>
      </c>
      <c r="O22" s="108" t="s">
        <v>266</v>
      </c>
      <c r="P22" s="50" t="s">
        <v>266</v>
      </c>
      <c r="Q22" s="142" t="s">
        <v>309</v>
      </c>
      <c r="R22" s="147"/>
      <c r="S22" s="147"/>
    </row>
    <row r="23" spans="1:19">
      <c r="A23" s="117">
        <f t="shared" si="0"/>
        <v>22</v>
      </c>
      <c r="B23" s="195" t="s">
        <v>1318</v>
      </c>
      <c r="C23" s="190" t="s">
        <v>69</v>
      </c>
      <c r="D23" s="49" t="s">
        <v>1349</v>
      </c>
      <c r="E23" s="49" t="s">
        <v>1375</v>
      </c>
      <c r="F23" s="61" t="s">
        <v>484</v>
      </c>
      <c r="G23" s="47" t="s">
        <v>1310</v>
      </c>
      <c r="H23" s="47" t="s">
        <v>1311</v>
      </c>
      <c r="I23" s="47" t="s">
        <v>1376</v>
      </c>
      <c r="J23" s="47" t="s">
        <v>1340</v>
      </c>
      <c r="K23" s="74"/>
      <c r="L23" s="47" t="s">
        <v>1364</v>
      </c>
      <c r="M23" s="47"/>
      <c r="N23" s="47" t="s">
        <v>1379</v>
      </c>
      <c r="O23" s="108" t="s">
        <v>266</v>
      </c>
      <c r="P23" s="50" t="s">
        <v>266</v>
      </c>
      <c r="Q23" s="142" t="s">
        <v>309</v>
      </c>
      <c r="R23" s="147"/>
      <c r="S23" s="147"/>
    </row>
    <row r="24" spans="1:19">
      <c r="A24" s="117">
        <f t="shared" si="0"/>
        <v>23</v>
      </c>
      <c r="B24" s="194" t="s">
        <v>1318</v>
      </c>
      <c r="C24" s="189" t="s">
        <v>69</v>
      </c>
      <c r="D24" s="15" t="s">
        <v>1349</v>
      </c>
      <c r="E24" s="15" t="s">
        <v>378</v>
      </c>
      <c r="F24" s="72" t="s">
        <v>484</v>
      </c>
      <c r="G24" s="5" t="s">
        <v>1310</v>
      </c>
      <c r="H24" s="5" t="s">
        <v>1311</v>
      </c>
      <c r="I24" s="5" t="s">
        <v>1380</v>
      </c>
      <c r="J24" s="5" t="s">
        <v>1360</v>
      </c>
      <c r="K24" s="75"/>
      <c r="L24" s="5" t="s">
        <v>1364</v>
      </c>
      <c r="M24" s="5"/>
      <c r="N24" s="5" t="s">
        <v>1381</v>
      </c>
      <c r="O24" s="5"/>
      <c r="P24" s="5"/>
      <c r="Q24" s="123"/>
      <c r="R24" s="173"/>
      <c r="S24" s="146"/>
    </row>
    <row r="25" spans="1:19">
      <c r="A25" s="117">
        <f t="shared" si="0"/>
        <v>24</v>
      </c>
      <c r="B25" s="194" t="s">
        <v>1318</v>
      </c>
      <c r="C25" s="189" t="s">
        <v>69</v>
      </c>
      <c r="D25" s="15" t="s">
        <v>1349</v>
      </c>
      <c r="E25" s="15" t="s">
        <v>378</v>
      </c>
      <c r="F25" s="72" t="s">
        <v>484</v>
      </c>
      <c r="G25" s="5" t="s">
        <v>1310</v>
      </c>
      <c r="H25" s="5" t="s">
        <v>1311</v>
      </c>
      <c r="I25" s="5" t="s">
        <v>1380</v>
      </c>
      <c r="J25" s="5" t="s">
        <v>1340</v>
      </c>
      <c r="K25" s="75"/>
      <c r="L25" s="5" t="s">
        <v>1364</v>
      </c>
      <c r="M25" s="5"/>
      <c r="N25" s="5" t="s">
        <v>1382</v>
      </c>
      <c r="O25" s="5"/>
      <c r="P25" s="5"/>
      <c r="Q25" s="123"/>
      <c r="R25" s="173"/>
      <c r="S25" s="146"/>
    </row>
    <row r="26" spans="1:19">
      <c r="A26" s="117">
        <f t="shared" si="0"/>
        <v>25</v>
      </c>
      <c r="B26" s="194" t="s">
        <v>1318</v>
      </c>
      <c r="C26" s="189" t="s">
        <v>69</v>
      </c>
      <c r="D26" s="15" t="s">
        <v>1349</v>
      </c>
      <c r="E26" s="15" t="s">
        <v>1383</v>
      </c>
      <c r="F26" s="72" t="s">
        <v>484</v>
      </c>
      <c r="G26" s="5" t="s">
        <v>1310</v>
      </c>
      <c r="H26" s="5" t="s">
        <v>1311</v>
      </c>
      <c r="I26" s="5" t="s">
        <v>1384</v>
      </c>
      <c r="J26" s="5" t="s">
        <v>1332</v>
      </c>
      <c r="K26" s="75"/>
      <c r="L26" s="5" t="s">
        <v>1364</v>
      </c>
      <c r="M26" s="5"/>
      <c r="N26" s="5" t="s">
        <v>1385</v>
      </c>
      <c r="O26" s="5"/>
      <c r="P26" s="5"/>
      <c r="Q26" s="123"/>
      <c r="R26" s="173"/>
      <c r="S26" s="146"/>
    </row>
    <row r="27" spans="1:19">
      <c r="A27" s="117">
        <f t="shared" si="0"/>
        <v>26</v>
      </c>
      <c r="B27" s="195" t="s">
        <v>1318</v>
      </c>
      <c r="C27" s="190" t="s">
        <v>561</v>
      </c>
      <c r="D27" s="49" t="s">
        <v>1386</v>
      </c>
      <c r="E27" s="49" t="s">
        <v>270</v>
      </c>
      <c r="F27" s="61" t="s">
        <v>484</v>
      </c>
      <c r="G27" s="47" t="s">
        <v>1310</v>
      </c>
      <c r="H27" s="47" t="s">
        <v>1311</v>
      </c>
      <c r="I27" s="47" t="s">
        <v>1387</v>
      </c>
      <c r="J27" s="47" t="s">
        <v>1360</v>
      </c>
      <c r="K27" s="71">
        <v>181188209107</v>
      </c>
      <c r="L27" s="47" t="s">
        <v>1315</v>
      </c>
      <c r="M27" s="47"/>
      <c r="N27" s="47" t="s">
        <v>1388</v>
      </c>
      <c r="O27" s="50" t="s">
        <v>266</v>
      </c>
      <c r="P27" s="50" t="s">
        <v>266</v>
      </c>
      <c r="Q27" s="142" t="s">
        <v>309</v>
      </c>
      <c r="R27" s="147"/>
      <c r="S27" s="147"/>
    </row>
    <row r="28" spans="1:19">
      <c r="A28" s="117">
        <f t="shared" si="0"/>
        <v>27</v>
      </c>
      <c r="B28" s="195" t="s">
        <v>1318</v>
      </c>
      <c r="C28" s="190" t="s">
        <v>561</v>
      </c>
      <c r="D28" s="49" t="s">
        <v>1386</v>
      </c>
      <c r="E28" s="49" t="s">
        <v>270</v>
      </c>
      <c r="F28" s="61" t="s">
        <v>484</v>
      </c>
      <c r="G28" s="47" t="s">
        <v>1310</v>
      </c>
      <c r="H28" s="47" t="s">
        <v>1311</v>
      </c>
      <c r="I28" s="47" t="s">
        <v>1389</v>
      </c>
      <c r="J28" s="47" t="s">
        <v>1360</v>
      </c>
      <c r="K28" s="71">
        <v>181188209107</v>
      </c>
      <c r="L28" s="47" t="s">
        <v>1315</v>
      </c>
      <c r="M28" s="47"/>
      <c r="N28" s="47" t="s">
        <v>1390</v>
      </c>
      <c r="O28" s="50" t="s">
        <v>266</v>
      </c>
      <c r="P28" s="50" t="s">
        <v>266</v>
      </c>
      <c r="Q28" s="142" t="s">
        <v>309</v>
      </c>
      <c r="R28" s="147"/>
      <c r="S28" s="147"/>
    </row>
    <row r="29" spans="1:19" s="119" customFormat="1">
      <c r="A29" s="117">
        <f t="shared" si="0"/>
        <v>28</v>
      </c>
      <c r="B29" s="196" t="s">
        <v>1318</v>
      </c>
      <c r="C29" s="191" t="s">
        <v>561</v>
      </c>
      <c r="D29" s="120" t="s">
        <v>1391</v>
      </c>
      <c r="E29" s="120" t="s">
        <v>270</v>
      </c>
      <c r="F29" s="101" t="s">
        <v>484</v>
      </c>
      <c r="G29" s="108" t="s">
        <v>1310</v>
      </c>
      <c r="H29" s="108" t="s">
        <v>1311</v>
      </c>
      <c r="I29" s="108" t="s">
        <v>1392</v>
      </c>
      <c r="J29" s="108" t="s">
        <v>1393</v>
      </c>
      <c r="K29" s="121">
        <v>181188209107</v>
      </c>
      <c r="L29" s="108" t="s">
        <v>1315</v>
      </c>
      <c r="M29" s="108"/>
      <c r="N29" s="108" t="s">
        <v>1394</v>
      </c>
      <c r="O29" s="50" t="s">
        <v>266</v>
      </c>
      <c r="P29" s="50" t="s">
        <v>266</v>
      </c>
      <c r="Q29" s="142" t="s">
        <v>309</v>
      </c>
      <c r="R29" s="128" t="s">
        <v>1395</v>
      </c>
      <c r="S29" s="152" t="s">
        <v>1396</v>
      </c>
    </row>
    <row r="30" spans="1:19" s="119" customFormat="1">
      <c r="A30" s="117">
        <f t="shared" si="0"/>
        <v>29</v>
      </c>
      <c r="B30" s="196" t="s">
        <v>1318</v>
      </c>
      <c r="C30" s="191" t="s">
        <v>561</v>
      </c>
      <c r="D30" s="120" t="s">
        <v>1391</v>
      </c>
      <c r="E30" s="120" t="s">
        <v>270</v>
      </c>
      <c r="F30" s="101" t="s">
        <v>444</v>
      </c>
      <c r="G30" s="108" t="s">
        <v>1310</v>
      </c>
      <c r="H30" s="108" t="s">
        <v>1311</v>
      </c>
      <c r="I30" s="108" t="s">
        <v>1392</v>
      </c>
      <c r="J30" s="108" t="s">
        <v>1393</v>
      </c>
      <c r="K30" s="121">
        <v>181188209107</v>
      </c>
      <c r="L30" s="108" t="s">
        <v>1315</v>
      </c>
      <c r="M30" s="108"/>
      <c r="N30" s="108" t="s">
        <v>1397</v>
      </c>
      <c r="O30" s="50" t="s">
        <v>266</v>
      </c>
      <c r="P30" s="50" t="s">
        <v>266</v>
      </c>
      <c r="Q30" s="142" t="s">
        <v>309</v>
      </c>
      <c r="R30" s="128" t="s">
        <v>1395</v>
      </c>
      <c r="S30" s="152" t="s">
        <v>1398</v>
      </c>
    </row>
    <row r="31" spans="1:19">
      <c r="A31" s="117">
        <f t="shared" si="0"/>
        <v>30</v>
      </c>
      <c r="B31" s="194" t="s">
        <v>1318</v>
      </c>
      <c r="C31" s="192" t="s">
        <v>561</v>
      </c>
      <c r="D31" s="76" t="s">
        <v>1391</v>
      </c>
      <c r="E31" s="76" t="s">
        <v>378</v>
      </c>
      <c r="F31" s="72" t="s">
        <v>444</v>
      </c>
      <c r="G31" s="5" t="s">
        <v>1310</v>
      </c>
      <c r="H31" s="5" t="s">
        <v>1311</v>
      </c>
      <c r="I31" s="5" t="s">
        <v>1399</v>
      </c>
      <c r="J31" s="5" t="s">
        <v>1393</v>
      </c>
      <c r="K31" s="73">
        <v>181188209107</v>
      </c>
      <c r="L31" s="5" t="s">
        <v>1315</v>
      </c>
      <c r="M31" s="5"/>
      <c r="N31" s="5" t="s">
        <v>1400</v>
      </c>
      <c r="O31" s="5"/>
      <c r="P31" s="5"/>
      <c r="Q31" s="123"/>
      <c r="R31" s="173"/>
      <c r="S31" s="146"/>
    </row>
    <row r="32" spans="1:19">
      <c r="A32" s="117">
        <f t="shared" si="0"/>
        <v>31</v>
      </c>
      <c r="B32" s="194" t="s">
        <v>1318</v>
      </c>
      <c r="C32" s="192" t="s">
        <v>561</v>
      </c>
      <c r="D32" s="76" t="s">
        <v>1391</v>
      </c>
      <c r="E32" s="76" t="s">
        <v>378</v>
      </c>
      <c r="F32" s="72" t="s">
        <v>444</v>
      </c>
      <c r="G32" s="5" t="s">
        <v>1310</v>
      </c>
      <c r="H32" s="5" t="s">
        <v>1311</v>
      </c>
      <c r="I32" s="5" t="s">
        <v>1399</v>
      </c>
      <c r="J32" s="5" t="s">
        <v>1393</v>
      </c>
      <c r="K32" s="73">
        <v>181188209107</v>
      </c>
      <c r="L32" s="5" t="s">
        <v>1315</v>
      </c>
      <c r="M32" s="5"/>
      <c r="N32" s="5" t="s">
        <v>1401</v>
      </c>
      <c r="O32" s="5"/>
      <c r="P32" s="5"/>
      <c r="Q32" s="123"/>
      <c r="R32" s="173"/>
      <c r="S32" s="146"/>
    </row>
    <row r="33" spans="1:19">
      <c r="A33" s="117">
        <f t="shared" si="0"/>
        <v>32</v>
      </c>
      <c r="B33" s="194" t="s">
        <v>1318</v>
      </c>
      <c r="C33" s="192" t="s">
        <v>561</v>
      </c>
      <c r="D33" s="76" t="s">
        <v>1391</v>
      </c>
      <c r="E33" s="15" t="s">
        <v>104</v>
      </c>
      <c r="F33" s="72" t="s">
        <v>444</v>
      </c>
      <c r="G33" s="5" t="s">
        <v>1310</v>
      </c>
      <c r="H33" s="5" t="s">
        <v>1311</v>
      </c>
      <c r="I33" s="5" t="s">
        <v>1402</v>
      </c>
      <c r="J33" s="5" t="s">
        <v>1340</v>
      </c>
      <c r="K33" s="73">
        <v>181177246252</v>
      </c>
      <c r="L33" s="5" t="s">
        <v>1315</v>
      </c>
      <c r="M33" s="5"/>
      <c r="N33" s="5" t="s">
        <v>1403</v>
      </c>
      <c r="O33" s="5"/>
      <c r="P33" s="5"/>
      <c r="Q33" s="123"/>
      <c r="R33" s="173"/>
      <c r="S33" s="146"/>
    </row>
    <row r="34" spans="1:19">
      <c r="A34" s="117">
        <f t="shared" si="0"/>
        <v>33</v>
      </c>
      <c r="B34" s="194" t="s">
        <v>1318</v>
      </c>
      <c r="C34" s="192" t="s">
        <v>561</v>
      </c>
      <c r="D34" s="76" t="s">
        <v>1391</v>
      </c>
      <c r="E34" s="15" t="s">
        <v>104</v>
      </c>
      <c r="F34" s="72" t="s">
        <v>444</v>
      </c>
      <c r="G34" s="5" t="s">
        <v>1310</v>
      </c>
      <c r="H34" s="5" t="s">
        <v>1311</v>
      </c>
      <c r="I34" s="5" t="s">
        <v>1402</v>
      </c>
      <c r="J34" s="5" t="s">
        <v>1340</v>
      </c>
      <c r="K34" s="73">
        <v>181177246252</v>
      </c>
      <c r="L34" s="5" t="s">
        <v>1315</v>
      </c>
      <c r="M34" s="5"/>
      <c r="N34" s="5" t="s">
        <v>1404</v>
      </c>
      <c r="O34" s="5"/>
      <c r="P34" s="5"/>
      <c r="Q34" s="123"/>
      <c r="R34" s="173"/>
      <c r="S34" s="146"/>
    </row>
    <row r="35" spans="1:19">
      <c r="A35" s="117">
        <f t="shared" si="0"/>
        <v>34</v>
      </c>
      <c r="B35" s="194" t="s">
        <v>1318</v>
      </c>
      <c r="C35" s="192" t="s">
        <v>561</v>
      </c>
      <c r="D35" s="76" t="s">
        <v>1391</v>
      </c>
      <c r="E35" s="15" t="s">
        <v>104</v>
      </c>
      <c r="F35" s="72" t="s">
        <v>444</v>
      </c>
      <c r="G35" s="5" t="s">
        <v>1310</v>
      </c>
      <c r="H35" s="5" t="s">
        <v>1311</v>
      </c>
      <c r="I35" s="5" t="s">
        <v>1405</v>
      </c>
      <c r="J35" s="5" t="s">
        <v>1332</v>
      </c>
      <c r="K35" s="73">
        <v>181177246252</v>
      </c>
      <c r="L35" s="5" t="s">
        <v>1315</v>
      </c>
      <c r="M35" s="5"/>
      <c r="N35" s="5" t="s">
        <v>1406</v>
      </c>
      <c r="O35" s="5"/>
      <c r="P35" s="5"/>
      <c r="Q35" s="123"/>
      <c r="R35" s="173"/>
      <c r="S35" s="146"/>
    </row>
    <row r="36" spans="1:19">
      <c r="A36" s="117">
        <f t="shared" si="0"/>
        <v>35</v>
      </c>
      <c r="B36" s="194" t="s">
        <v>1318</v>
      </c>
      <c r="C36" s="192" t="s">
        <v>561</v>
      </c>
      <c r="D36" s="76" t="s">
        <v>1391</v>
      </c>
      <c r="E36" s="15" t="s">
        <v>104</v>
      </c>
      <c r="F36" s="72" t="s">
        <v>444</v>
      </c>
      <c r="G36" s="5" t="s">
        <v>1310</v>
      </c>
      <c r="H36" s="5" t="s">
        <v>1311</v>
      </c>
      <c r="I36" s="5" t="s">
        <v>1405</v>
      </c>
      <c r="J36" s="5" t="s">
        <v>1332</v>
      </c>
      <c r="K36" s="73">
        <v>181177246252</v>
      </c>
      <c r="L36" s="5" t="s">
        <v>1315</v>
      </c>
      <c r="M36" s="5"/>
      <c r="N36" s="5" t="s">
        <v>1407</v>
      </c>
      <c r="O36" s="5"/>
      <c r="P36" s="5"/>
      <c r="Q36" s="123"/>
      <c r="R36" s="173"/>
      <c r="S36" s="146"/>
    </row>
  </sheetData>
  <autoFilter ref="B1:Q36" xr:uid="{00000000-0001-0000-0700-000000000000}">
    <filterColumn colId="1">
      <filters>
        <filter val="UNE"/>
      </filters>
    </filterColumn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Y55"/>
  <sheetViews>
    <sheetView showGridLines="0" topLeftCell="A37" zoomScale="90" zoomScaleNormal="90" workbookViewId="0">
      <selection activeCell="D66" sqref="D66"/>
    </sheetView>
  </sheetViews>
  <sheetFormatPr baseColWidth="10" defaultColWidth="12.5703125" defaultRowHeight="15" customHeight="1"/>
  <cols>
    <col min="3" max="3" width="23.42578125" customWidth="1"/>
    <col min="4" max="4" width="15.5703125" customWidth="1"/>
    <col min="5" max="5" width="40.7109375" customWidth="1"/>
    <col min="6" max="6" width="12.5703125" customWidth="1"/>
    <col min="7" max="7" width="13.28515625" customWidth="1"/>
    <col min="8" max="8" width="17.7109375" customWidth="1"/>
    <col min="9" max="9" width="15" customWidth="1"/>
    <col min="10" max="10" width="27.28515625" customWidth="1"/>
    <col min="11" max="11" width="23.85546875" customWidth="1"/>
    <col min="12" max="14" width="12.5703125" customWidth="1"/>
    <col min="15" max="15" width="13.28515625" customWidth="1"/>
    <col min="16" max="16" width="35.85546875" customWidth="1"/>
    <col min="17" max="17" width="33.85546875" hidden="1" customWidth="1"/>
    <col min="18" max="18" width="52.28515625" customWidth="1"/>
  </cols>
  <sheetData>
    <row r="1" spans="1:18" ht="60">
      <c r="A1" s="193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248</v>
      </c>
      <c r="G1" s="85" t="s">
        <v>249</v>
      </c>
      <c r="H1" s="85" t="s">
        <v>250</v>
      </c>
      <c r="I1" s="85" t="s">
        <v>251</v>
      </c>
      <c r="J1" s="85" t="s">
        <v>252</v>
      </c>
      <c r="K1" s="85" t="s">
        <v>253</v>
      </c>
      <c r="L1" s="85" t="s">
        <v>254</v>
      </c>
      <c r="M1" s="85" t="s">
        <v>255</v>
      </c>
      <c r="N1" s="85" t="s">
        <v>256</v>
      </c>
      <c r="O1" s="85" t="s">
        <v>257</v>
      </c>
      <c r="P1" s="85" t="s">
        <v>38</v>
      </c>
      <c r="Q1" s="85" t="s">
        <v>258</v>
      </c>
      <c r="R1" s="85" t="s">
        <v>259</v>
      </c>
    </row>
    <row r="2" spans="1:18">
      <c r="A2" s="117">
        <v>1</v>
      </c>
      <c r="B2" s="59" t="s">
        <v>105</v>
      </c>
      <c r="C2" s="59" t="s">
        <v>260</v>
      </c>
      <c r="D2" s="59" t="s">
        <v>261</v>
      </c>
      <c r="E2" s="59" t="s">
        <v>262</v>
      </c>
      <c r="F2" s="60"/>
      <c r="G2" s="60"/>
      <c r="H2" s="59" t="s">
        <v>263</v>
      </c>
      <c r="I2" s="59" t="s">
        <v>264</v>
      </c>
      <c r="J2" s="59" t="s">
        <v>265</v>
      </c>
      <c r="K2" s="59">
        <v>900032000000000</v>
      </c>
      <c r="L2" s="59" t="s">
        <v>54</v>
      </c>
      <c r="M2" s="60"/>
      <c r="N2" s="60" t="s">
        <v>266</v>
      </c>
      <c r="O2" s="60" t="s">
        <v>267</v>
      </c>
      <c r="P2" s="60"/>
      <c r="Q2" s="106"/>
      <c r="R2" s="88" t="s">
        <v>268</v>
      </c>
    </row>
    <row r="3" spans="1:18">
      <c r="A3" s="117">
        <v>2</v>
      </c>
      <c r="B3" s="59" t="s">
        <v>105</v>
      </c>
      <c r="C3" s="59" t="s">
        <v>269</v>
      </c>
      <c r="D3" s="59" t="s">
        <v>270</v>
      </c>
      <c r="E3" s="59" t="s">
        <v>271</v>
      </c>
      <c r="F3" s="60"/>
      <c r="G3" s="60"/>
      <c r="H3" s="59" t="s">
        <v>263</v>
      </c>
      <c r="I3" s="59" t="s">
        <v>272</v>
      </c>
      <c r="J3" s="59" t="s">
        <v>273</v>
      </c>
      <c r="K3" s="59" t="s">
        <v>274</v>
      </c>
      <c r="L3" s="59" t="s">
        <v>275</v>
      </c>
      <c r="M3" s="60"/>
      <c r="N3" s="60"/>
      <c r="O3" s="60"/>
      <c r="P3" s="59" t="s">
        <v>276</v>
      </c>
      <c r="Q3" s="106"/>
      <c r="R3" s="88" t="s">
        <v>268</v>
      </c>
    </row>
    <row r="4" spans="1:18">
      <c r="A4" s="117">
        <v>3</v>
      </c>
      <c r="B4" s="59" t="s">
        <v>105</v>
      </c>
      <c r="C4" s="59" t="s">
        <v>269</v>
      </c>
      <c r="D4" s="59" t="s">
        <v>270</v>
      </c>
      <c r="E4" s="59" t="s">
        <v>271</v>
      </c>
      <c r="F4" s="60"/>
      <c r="G4" s="60"/>
      <c r="H4" s="59" t="s">
        <v>263</v>
      </c>
      <c r="I4" s="59" t="s">
        <v>277</v>
      </c>
      <c r="J4" s="59" t="s">
        <v>278</v>
      </c>
      <c r="K4" s="59"/>
      <c r="L4" s="59"/>
      <c r="M4" s="60"/>
      <c r="N4" s="60"/>
      <c r="O4" s="60"/>
      <c r="P4" s="59"/>
      <c r="Q4" s="106"/>
      <c r="R4" s="88"/>
    </row>
    <row r="5" spans="1:18" s="119" customFormat="1">
      <c r="A5" s="117">
        <v>4</v>
      </c>
      <c r="B5" s="108" t="s">
        <v>105</v>
      </c>
      <c r="C5" s="108" t="s">
        <v>269</v>
      </c>
      <c r="D5" s="108" t="s">
        <v>270</v>
      </c>
      <c r="E5" s="108" t="s">
        <v>279</v>
      </c>
      <c r="F5" s="60"/>
      <c r="G5" s="60"/>
      <c r="H5" s="108" t="s">
        <v>263</v>
      </c>
      <c r="I5" s="108" t="s">
        <v>280</v>
      </c>
      <c r="J5" s="108" t="s">
        <v>281</v>
      </c>
      <c r="K5" s="108" t="s">
        <v>282</v>
      </c>
      <c r="L5" s="108" t="s">
        <v>275</v>
      </c>
      <c r="M5" s="101"/>
      <c r="N5" s="101" t="s">
        <v>266</v>
      </c>
      <c r="O5" s="101" t="s">
        <v>266</v>
      </c>
      <c r="P5" s="108" t="s">
        <v>276</v>
      </c>
      <c r="Q5" s="109"/>
      <c r="R5" s="125" t="s">
        <v>283</v>
      </c>
    </row>
    <row r="6" spans="1:18" s="119" customFormat="1">
      <c r="A6" s="117">
        <f>A5+1</f>
        <v>5</v>
      </c>
      <c r="B6" s="108" t="s">
        <v>105</v>
      </c>
      <c r="C6" s="108" t="s">
        <v>269</v>
      </c>
      <c r="D6" s="108" t="s">
        <v>270</v>
      </c>
      <c r="E6" s="108" t="s">
        <v>279</v>
      </c>
      <c r="F6" s="60"/>
      <c r="G6" s="60"/>
      <c r="H6" s="108" t="s">
        <v>263</v>
      </c>
      <c r="I6" s="108" t="s">
        <v>284</v>
      </c>
      <c r="J6" s="108" t="s">
        <v>285</v>
      </c>
      <c r="K6" s="108" t="s">
        <v>286</v>
      </c>
      <c r="L6" s="108" t="s">
        <v>54</v>
      </c>
      <c r="M6" s="101"/>
      <c r="N6" s="101" t="s">
        <v>266</v>
      </c>
      <c r="O6" s="101" t="s">
        <v>266</v>
      </c>
      <c r="P6" s="108" t="s">
        <v>276</v>
      </c>
      <c r="Q6" s="109"/>
      <c r="R6" s="125" t="s">
        <v>283</v>
      </c>
    </row>
    <row r="7" spans="1:18">
      <c r="A7" s="117">
        <f t="shared" ref="A7:A55" si="0">A6+1</f>
        <v>6</v>
      </c>
      <c r="B7" s="59" t="s">
        <v>69</v>
      </c>
      <c r="C7" s="59" t="s">
        <v>29</v>
      </c>
      <c r="D7" s="59" t="s">
        <v>287</v>
      </c>
      <c r="E7" s="59" t="s">
        <v>288</v>
      </c>
      <c r="F7" s="60"/>
      <c r="G7" s="60"/>
      <c r="H7" s="59" t="s">
        <v>263</v>
      </c>
      <c r="I7" s="59" t="s">
        <v>289</v>
      </c>
      <c r="J7" s="59" t="s">
        <v>290</v>
      </c>
      <c r="K7" s="59" t="s">
        <v>291</v>
      </c>
      <c r="L7" s="59" t="s">
        <v>275</v>
      </c>
      <c r="M7" s="60"/>
      <c r="N7" s="60"/>
      <c r="O7" s="60"/>
      <c r="P7" s="60"/>
      <c r="Q7" s="107" t="s">
        <v>292</v>
      </c>
      <c r="R7" s="88" t="s">
        <v>268</v>
      </c>
    </row>
    <row r="8" spans="1:18">
      <c r="A8" s="117">
        <f t="shared" si="0"/>
        <v>7</v>
      </c>
      <c r="B8" s="59" t="s">
        <v>69</v>
      </c>
      <c r="C8" s="59" t="s">
        <v>29</v>
      </c>
      <c r="D8" s="59" t="s">
        <v>287</v>
      </c>
      <c r="E8" s="59" t="s">
        <v>288</v>
      </c>
      <c r="F8" s="60"/>
      <c r="G8" s="60"/>
      <c r="H8" s="59" t="s">
        <v>263</v>
      </c>
      <c r="I8" s="59" t="s">
        <v>293</v>
      </c>
      <c r="J8" s="59" t="s">
        <v>294</v>
      </c>
      <c r="K8" s="59" t="s">
        <v>291</v>
      </c>
      <c r="L8" s="59" t="s">
        <v>275</v>
      </c>
      <c r="M8" s="60"/>
      <c r="N8" s="60"/>
      <c r="O8" s="60"/>
      <c r="P8" s="60"/>
      <c r="Q8" s="107" t="s">
        <v>292</v>
      </c>
      <c r="R8" s="88" t="s">
        <v>268</v>
      </c>
    </row>
    <row r="9" spans="1:18">
      <c r="A9" s="117">
        <f t="shared" si="0"/>
        <v>8</v>
      </c>
      <c r="B9" s="59" t="s">
        <v>69</v>
      </c>
      <c r="C9" s="59" t="s">
        <v>29</v>
      </c>
      <c r="D9" s="59" t="s">
        <v>287</v>
      </c>
      <c r="E9" s="59" t="s">
        <v>288</v>
      </c>
      <c r="F9" s="60"/>
      <c r="G9" s="60"/>
      <c r="H9" s="59" t="s">
        <v>263</v>
      </c>
      <c r="I9" s="59" t="s">
        <v>293</v>
      </c>
      <c r="J9" s="59" t="s">
        <v>294</v>
      </c>
      <c r="K9" s="59" t="s">
        <v>291</v>
      </c>
      <c r="L9" s="59" t="s">
        <v>275</v>
      </c>
      <c r="M9" s="60"/>
      <c r="N9" s="60"/>
      <c r="O9" s="60"/>
      <c r="P9" s="60"/>
      <c r="Q9" s="107" t="s">
        <v>292</v>
      </c>
      <c r="R9" s="88" t="s">
        <v>268</v>
      </c>
    </row>
    <row r="10" spans="1:18">
      <c r="A10" s="117">
        <f t="shared" si="0"/>
        <v>9</v>
      </c>
      <c r="B10" s="59" t="s">
        <v>69</v>
      </c>
      <c r="C10" s="59" t="s">
        <v>29</v>
      </c>
      <c r="D10" s="59" t="s">
        <v>287</v>
      </c>
      <c r="E10" s="59" t="s">
        <v>295</v>
      </c>
      <c r="F10" s="60"/>
      <c r="G10" s="60"/>
      <c r="H10" s="59" t="s">
        <v>263</v>
      </c>
      <c r="I10" s="59" t="s">
        <v>296</v>
      </c>
      <c r="J10" s="59" t="s">
        <v>297</v>
      </c>
      <c r="K10" s="59" t="s">
        <v>291</v>
      </c>
      <c r="L10" s="59" t="s">
        <v>275</v>
      </c>
      <c r="M10" s="60"/>
      <c r="N10" s="60"/>
      <c r="O10" s="60"/>
      <c r="P10" s="60"/>
      <c r="Q10" s="107" t="s">
        <v>298</v>
      </c>
      <c r="R10" s="88" t="s">
        <v>268</v>
      </c>
    </row>
    <row r="11" spans="1:18">
      <c r="A11" s="117">
        <f t="shared" si="0"/>
        <v>10</v>
      </c>
      <c r="B11" s="59" t="s">
        <v>69</v>
      </c>
      <c r="C11" s="59" t="s">
        <v>29</v>
      </c>
      <c r="D11" s="59" t="s">
        <v>287</v>
      </c>
      <c r="E11" s="59" t="s">
        <v>299</v>
      </c>
      <c r="F11" s="60"/>
      <c r="G11" s="60"/>
      <c r="H11" s="59" t="s">
        <v>263</v>
      </c>
      <c r="I11" s="59" t="s">
        <v>296</v>
      </c>
      <c r="J11" s="59">
        <v>1200</v>
      </c>
      <c r="K11" s="59" t="s">
        <v>291</v>
      </c>
      <c r="L11" s="59" t="s">
        <v>275</v>
      </c>
      <c r="M11" s="60"/>
      <c r="N11" s="60"/>
      <c r="O11" s="60"/>
      <c r="P11" s="60"/>
      <c r="Q11" s="107" t="s">
        <v>300</v>
      </c>
      <c r="R11" s="88" t="s">
        <v>268</v>
      </c>
    </row>
    <row r="12" spans="1:18">
      <c r="A12" s="117">
        <f t="shared" si="0"/>
        <v>11</v>
      </c>
      <c r="B12" s="59" t="s">
        <v>69</v>
      </c>
      <c r="C12" s="59" t="s">
        <v>29</v>
      </c>
      <c r="D12" s="59" t="s">
        <v>287</v>
      </c>
      <c r="E12" s="59" t="s">
        <v>301</v>
      </c>
      <c r="F12" s="60"/>
      <c r="G12" s="60"/>
      <c r="H12" s="59" t="s">
        <v>263</v>
      </c>
      <c r="I12" s="59" t="s">
        <v>302</v>
      </c>
      <c r="J12" s="59" t="s">
        <v>294</v>
      </c>
      <c r="K12" s="59">
        <v>9818</v>
      </c>
      <c r="L12" s="59" t="s">
        <v>275</v>
      </c>
      <c r="M12" s="60"/>
      <c r="N12" s="60"/>
      <c r="O12" s="60"/>
      <c r="P12" s="60"/>
      <c r="Q12" s="107" t="s">
        <v>298</v>
      </c>
      <c r="R12" s="88" t="s">
        <v>268</v>
      </c>
    </row>
    <row r="13" spans="1:18" s="119" customFormat="1">
      <c r="A13" s="117">
        <f t="shared" si="0"/>
        <v>12</v>
      </c>
      <c r="B13" s="108" t="s">
        <v>303</v>
      </c>
      <c r="C13" s="108" t="s">
        <v>15</v>
      </c>
      <c r="D13" s="108" t="s">
        <v>304</v>
      </c>
      <c r="E13" s="108" t="s">
        <v>305</v>
      </c>
      <c r="F13" s="101"/>
      <c r="G13" s="108" t="s">
        <v>306</v>
      </c>
      <c r="H13" s="108" t="s">
        <v>263</v>
      </c>
      <c r="I13" s="108" t="s">
        <v>307</v>
      </c>
      <c r="J13" s="101"/>
      <c r="K13" s="108" t="s">
        <v>308</v>
      </c>
      <c r="L13" s="108" t="s">
        <v>54</v>
      </c>
      <c r="M13" s="101"/>
      <c r="N13" s="101" t="s">
        <v>266</v>
      </c>
      <c r="O13" s="101" t="s">
        <v>266</v>
      </c>
      <c r="P13" s="101"/>
      <c r="Q13" s="109"/>
      <c r="R13" s="125" t="s">
        <v>309</v>
      </c>
    </row>
    <row r="14" spans="1:18" s="119" customFormat="1">
      <c r="A14" s="117">
        <f t="shared" si="0"/>
        <v>13</v>
      </c>
      <c r="B14" s="108" t="s">
        <v>303</v>
      </c>
      <c r="C14" s="108" t="s">
        <v>15</v>
      </c>
      <c r="D14" s="108" t="s">
        <v>304</v>
      </c>
      <c r="E14" s="108" t="s">
        <v>295</v>
      </c>
      <c r="F14" s="101"/>
      <c r="G14" s="108" t="s">
        <v>306</v>
      </c>
      <c r="H14" s="108" t="s">
        <v>263</v>
      </c>
      <c r="I14" s="108" t="s">
        <v>310</v>
      </c>
      <c r="J14" s="108" t="s">
        <v>311</v>
      </c>
      <c r="K14" s="158" t="s">
        <v>312</v>
      </c>
      <c r="L14" s="108" t="s">
        <v>54</v>
      </c>
      <c r="M14" s="101"/>
      <c r="N14" s="101" t="s">
        <v>266</v>
      </c>
      <c r="O14" s="101" t="s">
        <v>266</v>
      </c>
      <c r="P14" s="101"/>
      <c r="Q14" s="109"/>
      <c r="R14" s="125" t="s">
        <v>309</v>
      </c>
    </row>
    <row r="15" spans="1:18" s="119" customFormat="1">
      <c r="A15" s="117">
        <f t="shared" si="0"/>
        <v>14</v>
      </c>
      <c r="B15" s="108" t="s">
        <v>303</v>
      </c>
      <c r="C15" s="108" t="s">
        <v>15</v>
      </c>
      <c r="D15" s="108" t="s">
        <v>304</v>
      </c>
      <c r="E15" s="108" t="s">
        <v>313</v>
      </c>
      <c r="F15" s="101"/>
      <c r="G15" s="108"/>
      <c r="H15" s="108" t="s">
        <v>263</v>
      </c>
      <c r="I15" s="108" t="s">
        <v>314</v>
      </c>
      <c r="J15" s="108"/>
      <c r="K15" s="158" t="s">
        <v>315</v>
      </c>
      <c r="L15" s="108" t="s">
        <v>54</v>
      </c>
      <c r="M15" s="101"/>
      <c r="N15" s="101" t="s">
        <v>266</v>
      </c>
      <c r="O15" s="101" t="s">
        <v>267</v>
      </c>
      <c r="P15" s="101"/>
      <c r="Q15" s="109"/>
      <c r="R15" s="89" t="s">
        <v>316</v>
      </c>
    </row>
    <row r="16" spans="1:18" s="119" customFormat="1">
      <c r="A16" s="117">
        <f t="shared" si="0"/>
        <v>15</v>
      </c>
      <c r="B16" s="108" t="s">
        <v>303</v>
      </c>
      <c r="C16" s="108" t="s">
        <v>15</v>
      </c>
      <c r="D16" s="108" t="s">
        <v>304</v>
      </c>
      <c r="E16" s="108" t="s">
        <v>317</v>
      </c>
      <c r="F16" s="101"/>
      <c r="G16" s="59" t="s">
        <v>306</v>
      </c>
      <c r="H16" s="108" t="s">
        <v>263</v>
      </c>
      <c r="I16" s="108" t="s">
        <v>318</v>
      </c>
      <c r="J16" s="101"/>
      <c r="K16" s="108" t="s">
        <v>319</v>
      </c>
      <c r="L16" s="108" t="s">
        <v>54</v>
      </c>
      <c r="M16" s="60"/>
      <c r="N16" s="101" t="s">
        <v>267</v>
      </c>
      <c r="O16" s="101" t="s">
        <v>266</v>
      </c>
      <c r="P16" s="101"/>
      <c r="Q16" s="109"/>
      <c r="R16" s="118" t="s">
        <v>320</v>
      </c>
    </row>
    <row r="17" spans="1:18" s="119" customFormat="1">
      <c r="A17" s="117">
        <f t="shared" si="0"/>
        <v>16</v>
      </c>
      <c r="B17" s="108" t="s">
        <v>303</v>
      </c>
      <c r="C17" s="108" t="s">
        <v>15</v>
      </c>
      <c r="D17" s="108" t="s">
        <v>304</v>
      </c>
      <c r="E17" s="101"/>
      <c r="F17" s="101"/>
      <c r="G17" s="108" t="s">
        <v>306</v>
      </c>
      <c r="H17" s="108" t="s">
        <v>263</v>
      </c>
      <c r="I17" s="108" t="s">
        <v>321</v>
      </c>
      <c r="J17" s="101"/>
      <c r="K17" s="108" t="s">
        <v>322</v>
      </c>
      <c r="L17" s="101" t="s">
        <v>323</v>
      </c>
      <c r="M17" s="101"/>
      <c r="N17" s="101" t="s">
        <v>267</v>
      </c>
      <c r="O17" s="101" t="s">
        <v>266</v>
      </c>
      <c r="P17" s="108" t="s">
        <v>324</v>
      </c>
      <c r="Q17" s="109"/>
      <c r="R17" s="118" t="s">
        <v>320</v>
      </c>
    </row>
    <row r="18" spans="1:18" s="119" customFormat="1">
      <c r="A18" s="117">
        <f t="shared" si="0"/>
        <v>17</v>
      </c>
      <c r="B18" s="108" t="s">
        <v>303</v>
      </c>
      <c r="C18" s="108" t="s">
        <v>15</v>
      </c>
      <c r="D18" s="108" t="s">
        <v>304</v>
      </c>
      <c r="E18" s="108" t="s">
        <v>317</v>
      </c>
      <c r="F18" s="101"/>
      <c r="G18" s="108" t="s">
        <v>306</v>
      </c>
      <c r="H18" s="108" t="s">
        <v>263</v>
      </c>
      <c r="I18" s="108" t="s">
        <v>318</v>
      </c>
      <c r="J18" s="101"/>
      <c r="K18" s="153" t="s">
        <v>325</v>
      </c>
      <c r="L18" s="101" t="s">
        <v>54</v>
      </c>
      <c r="M18" s="101"/>
      <c r="N18" s="101" t="s">
        <v>266</v>
      </c>
      <c r="O18" s="101" t="s">
        <v>266</v>
      </c>
      <c r="P18" s="101" t="s">
        <v>326</v>
      </c>
      <c r="Q18" s="109"/>
      <c r="R18" s="125" t="s">
        <v>309</v>
      </c>
    </row>
    <row r="19" spans="1:18" s="119" customFormat="1">
      <c r="A19" s="117">
        <f t="shared" si="0"/>
        <v>18</v>
      </c>
      <c r="B19" s="108" t="s">
        <v>303</v>
      </c>
      <c r="C19" s="108" t="s">
        <v>15</v>
      </c>
      <c r="D19" s="108" t="s">
        <v>304</v>
      </c>
      <c r="E19" s="108" t="s">
        <v>317</v>
      </c>
      <c r="F19" s="101"/>
      <c r="G19" s="108" t="s">
        <v>306</v>
      </c>
      <c r="H19" s="108" t="s">
        <v>263</v>
      </c>
      <c r="I19" s="108" t="s">
        <v>318</v>
      </c>
      <c r="J19" s="108" t="s">
        <v>322</v>
      </c>
      <c r="K19" s="153">
        <v>95101403100035</v>
      </c>
      <c r="L19" s="101" t="s">
        <v>54</v>
      </c>
      <c r="M19" s="101"/>
      <c r="N19" s="101" t="s">
        <v>266</v>
      </c>
      <c r="O19" s="101" t="s">
        <v>267</v>
      </c>
      <c r="P19" s="184" t="s">
        <v>327</v>
      </c>
      <c r="Q19" s="109"/>
      <c r="R19" s="125" t="s">
        <v>309</v>
      </c>
    </row>
    <row r="20" spans="1:18" s="119" customFormat="1">
      <c r="A20" s="117">
        <f t="shared" si="0"/>
        <v>19</v>
      </c>
      <c r="B20" s="108" t="s">
        <v>303</v>
      </c>
      <c r="C20" s="108" t="s">
        <v>15</v>
      </c>
      <c r="D20" s="108" t="s">
        <v>304</v>
      </c>
      <c r="E20" s="108" t="s">
        <v>317</v>
      </c>
      <c r="F20" s="101"/>
      <c r="G20" s="108" t="s">
        <v>306</v>
      </c>
      <c r="H20" s="108" t="s">
        <v>263</v>
      </c>
      <c r="I20" s="108" t="s">
        <v>328</v>
      </c>
      <c r="J20" s="101"/>
      <c r="K20" s="108" t="s">
        <v>329</v>
      </c>
      <c r="L20" s="101" t="s">
        <v>323</v>
      </c>
      <c r="M20" s="101"/>
      <c r="N20" s="101" t="s">
        <v>267</v>
      </c>
      <c r="O20" s="101"/>
      <c r="P20" s="108" t="s">
        <v>330</v>
      </c>
      <c r="Q20" s="109"/>
      <c r="R20" s="118" t="s">
        <v>320</v>
      </c>
    </row>
    <row r="21" spans="1:18" s="119" customFormat="1">
      <c r="A21" s="117">
        <f t="shared" si="0"/>
        <v>20</v>
      </c>
      <c r="B21" s="108" t="s">
        <v>303</v>
      </c>
      <c r="C21" s="108" t="s">
        <v>15</v>
      </c>
      <c r="D21" s="108" t="s">
        <v>304</v>
      </c>
      <c r="E21" s="108" t="s">
        <v>331</v>
      </c>
      <c r="F21" s="101"/>
      <c r="G21" s="59" t="s">
        <v>306</v>
      </c>
      <c r="H21" s="108" t="s">
        <v>263</v>
      </c>
      <c r="I21" s="108" t="s">
        <v>314</v>
      </c>
      <c r="J21" s="101"/>
      <c r="K21" s="108"/>
      <c r="L21" s="101" t="s">
        <v>54</v>
      </c>
      <c r="M21" s="60"/>
      <c r="N21" s="101" t="s">
        <v>266</v>
      </c>
      <c r="O21" s="101" t="s">
        <v>267</v>
      </c>
      <c r="P21" s="108"/>
      <c r="Q21" s="109"/>
      <c r="R21" s="89" t="s">
        <v>316</v>
      </c>
    </row>
    <row r="22" spans="1:18" s="119" customFormat="1" ht="15.75">
      <c r="A22" s="117">
        <f t="shared" si="0"/>
        <v>21</v>
      </c>
      <c r="B22" s="108" t="s">
        <v>303</v>
      </c>
      <c r="C22" s="108" t="s">
        <v>332</v>
      </c>
      <c r="D22" s="108" t="s">
        <v>304</v>
      </c>
      <c r="E22" s="100" t="s">
        <v>333</v>
      </c>
      <c r="F22" s="101"/>
      <c r="G22" s="108" t="s">
        <v>306</v>
      </c>
      <c r="H22" s="108" t="s">
        <v>263</v>
      </c>
      <c r="I22" s="108" t="s">
        <v>334</v>
      </c>
      <c r="J22" s="101" t="s">
        <v>335</v>
      </c>
      <c r="K22" s="153" t="s">
        <v>336</v>
      </c>
      <c r="L22" s="101" t="s">
        <v>54</v>
      </c>
      <c r="M22" s="101"/>
      <c r="N22" s="101" t="s">
        <v>266</v>
      </c>
      <c r="O22" s="101" t="s">
        <v>267</v>
      </c>
      <c r="P22" s="108"/>
      <c r="Q22" s="109"/>
      <c r="R22" s="89" t="s">
        <v>316</v>
      </c>
    </row>
    <row r="23" spans="1:18" s="119" customFormat="1">
      <c r="A23" s="117">
        <f t="shared" si="0"/>
        <v>22</v>
      </c>
      <c r="B23" s="108" t="s">
        <v>303</v>
      </c>
      <c r="C23" s="108" t="s">
        <v>13</v>
      </c>
      <c r="D23" s="108" t="s">
        <v>337</v>
      </c>
      <c r="E23" s="108" t="s">
        <v>338</v>
      </c>
      <c r="F23" s="108" t="s">
        <v>267</v>
      </c>
      <c r="G23" s="60"/>
      <c r="H23" s="108" t="s">
        <v>263</v>
      </c>
      <c r="I23" s="108" t="s">
        <v>339</v>
      </c>
      <c r="J23" s="108" t="s">
        <v>340</v>
      </c>
      <c r="K23" s="101"/>
      <c r="L23" s="108" t="s">
        <v>54</v>
      </c>
      <c r="M23" s="60"/>
      <c r="N23" s="101" t="s">
        <v>267</v>
      </c>
      <c r="O23" s="101" t="s">
        <v>266</v>
      </c>
      <c r="P23" s="101"/>
      <c r="Q23" s="109"/>
      <c r="R23" s="89" t="s">
        <v>320</v>
      </c>
    </row>
    <row r="24" spans="1:18" s="119" customFormat="1">
      <c r="A24" s="117">
        <f t="shared" si="0"/>
        <v>23</v>
      </c>
      <c r="B24" s="108" t="s">
        <v>303</v>
      </c>
      <c r="C24" s="108" t="s">
        <v>13</v>
      </c>
      <c r="D24" s="108" t="s">
        <v>337</v>
      </c>
      <c r="E24" s="108" t="s">
        <v>338</v>
      </c>
      <c r="F24" s="108" t="s">
        <v>267</v>
      </c>
      <c r="G24" s="101"/>
      <c r="H24" s="108" t="s">
        <v>263</v>
      </c>
      <c r="I24" s="108" t="s">
        <v>341</v>
      </c>
      <c r="J24" s="101" t="s">
        <v>342</v>
      </c>
      <c r="K24" s="101" t="s">
        <v>343</v>
      </c>
      <c r="L24" s="108" t="s">
        <v>54</v>
      </c>
      <c r="M24" s="101"/>
      <c r="N24" s="101" t="s">
        <v>266</v>
      </c>
      <c r="O24" s="101" t="s">
        <v>266</v>
      </c>
      <c r="P24" s="101"/>
      <c r="Q24" s="109"/>
      <c r="R24" s="89" t="s">
        <v>309</v>
      </c>
    </row>
    <row r="25" spans="1:18" s="119" customFormat="1">
      <c r="A25" s="117">
        <f t="shared" si="0"/>
        <v>24</v>
      </c>
      <c r="B25" s="108" t="s">
        <v>303</v>
      </c>
      <c r="C25" s="108" t="s">
        <v>13</v>
      </c>
      <c r="D25" s="108" t="s">
        <v>304</v>
      </c>
      <c r="E25" s="108" t="s">
        <v>344</v>
      </c>
      <c r="F25" s="108" t="s">
        <v>267</v>
      </c>
      <c r="G25" s="101" t="s">
        <v>306</v>
      </c>
      <c r="H25" s="108" t="s">
        <v>263</v>
      </c>
      <c r="I25" s="108" t="s">
        <v>345</v>
      </c>
      <c r="J25" s="101" t="s">
        <v>346</v>
      </c>
      <c r="K25" s="124" t="s">
        <v>347</v>
      </c>
      <c r="L25" s="108" t="s">
        <v>54</v>
      </c>
      <c r="M25" s="101"/>
      <c r="N25" s="101" t="s">
        <v>266</v>
      </c>
      <c r="O25" s="101" t="s">
        <v>267</v>
      </c>
      <c r="P25" s="101"/>
      <c r="Q25" s="109"/>
      <c r="R25" s="89" t="s">
        <v>316</v>
      </c>
    </row>
    <row r="26" spans="1:18" s="119" customFormat="1">
      <c r="A26" s="117">
        <f t="shared" si="0"/>
        <v>25</v>
      </c>
      <c r="B26" s="108" t="s">
        <v>303</v>
      </c>
      <c r="C26" s="108" t="s">
        <v>13</v>
      </c>
      <c r="D26" s="108" t="s">
        <v>304</v>
      </c>
      <c r="E26" s="108" t="s">
        <v>313</v>
      </c>
      <c r="F26" s="108" t="s">
        <v>267</v>
      </c>
      <c r="G26" s="101" t="s">
        <v>306</v>
      </c>
      <c r="H26" s="108" t="s">
        <v>263</v>
      </c>
      <c r="I26" s="108" t="s">
        <v>345</v>
      </c>
      <c r="J26" s="101" t="s">
        <v>346</v>
      </c>
      <c r="K26" s="124" t="s">
        <v>348</v>
      </c>
      <c r="L26" s="108" t="s">
        <v>54</v>
      </c>
      <c r="M26" s="101"/>
      <c r="N26" s="101" t="s">
        <v>266</v>
      </c>
      <c r="O26" s="101" t="s">
        <v>267</v>
      </c>
      <c r="P26" s="101"/>
      <c r="Q26" s="109"/>
      <c r="R26" s="89" t="s">
        <v>316</v>
      </c>
    </row>
    <row r="27" spans="1:18" s="119" customFormat="1">
      <c r="A27" s="117">
        <f t="shared" si="0"/>
        <v>26</v>
      </c>
      <c r="B27" s="108" t="s">
        <v>303</v>
      </c>
      <c r="C27" s="108" t="s">
        <v>13</v>
      </c>
      <c r="D27" s="108" t="s">
        <v>304</v>
      </c>
      <c r="E27" s="108" t="s">
        <v>349</v>
      </c>
      <c r="F27" s="108" t="s">
        <v>267</v>
      </c>
      <c r="G27" s="101" t="s">
        <v>306</v>
      </c>
      <c r="H27" s="108" t="s">
        <v>263</v>
      </c>
      <c r="I27" s="108" t="s">
        <v>345</v>
      </c>
      <c r="J27" s="101" t="s">
        <v>346</v>
      </c>
      <c r="K27" s="124" t="s">
        <v>350</v>
      </c>
      <c r="L27" s="108" t="s">
        <v>54</v>
      </c>
      <c r="M27" s="101"/>
      <c r="N27" s="101" t="s">
        <v>266</v>
      </c>
      <c r="O27" s="101" t="s">
        <v>267</v>
      </c>
      <c r="P27" s="101"/>
      <c r="Q27" s="109"/>
      <c r="R27" s="89" t="s">
        <v>316</v>
      </c>
    </row>
    <row r="28" spans="1:18" s="119" customFormat="1">
      <c r="A28" s="117">
        <f t="shared" si="0"/>
        <v>27</v>
      </c>
      <c r="B28" s="108" t="s">
        <v>303</v>
      </c>
      <c r="C28" s="108" t="s">
        <v>13</v>
      </c>
      <c r="D28" s="108" t="s">
        <v>304</v>
      </c>
      <c r="E28" s="108" t="s">
        <v>351</v>
      </c>
      <c r="F28" s="108" t="s">
        <v>267</v>
      </c>
      <c r="G28" s="135" t="s">
        <v>306</v>
      </c>
      <c r="H28" s="108" t="s">
        <v>263</v>
      </c>
      <c r="I28" s="108" t="s">
        <v>345</v>
      </c>
      <c r="J28" s="101" t="s">
        <v>346</v>
      </c>
      <c r="K28" s="124" t="s">
        <v>352</v>
      </c>
      <c r="L28" s="108" t="s">
        <v>54</v>
      </c>
      <c r="M28" s="101"/>
      <c r="N28" s="101" t="s">
        <v>266</v>
      </c>
      <c r="O28" s="101" t="s">
        <v>267</v>
      </c>
      <c r="P28" s="101"/>
      <c r="Q28" s="109"/>
      <c r="R28" s="89" t="s">
        <v>316</v>
      </c>
    </row>
    <row r="29" spans="1:18" s="119" customFormat="1">
      <c r="A29" s="117">
        <f t="shared" si="0"/>
        <v>28</v>
      </c>
      <c r="B29" s="108" t="s">
        <v>303</v>
      </c>
      <c r="C29" s="108" t="s">
        <v>13</v>
      </c>
      <c r="D29" s="108" t="s">
        <v>304</v>
      </c>
      <c r="E29" s="108" t="s">
        <v>353</v>
      </c>
      <c r="F29" s="108" t="s">
        <v>267</v>
      </c>
      <c r="G29" s="135"/>
      <c r="H29" s="108" t="s">
        <v>263</v>
      </c>
      <c r="I29" s="108" t="s">
        <v>354</v>
      </c>
      <c r="J29" s="101" t="s">
        <v>355</v>
      </c>
      <c r="K29" s="124" t="s">
        <v>356</v>
      </c>
      <c r="L29" s="108" t="s">
        <v>54</v>
      </c>
      <c r="M29" s="101"/>
      <c r="N29" s="101" t="s">
        <v>266</v>
      </c>
      <c r="O29" s="101" t="s">
        <v>267</v>
      </c>
      <c r="P29" s="101"/>
      <c r="Q29" s="109"/>
      <c r="R29" s="89" t="s">
        <v>316</v>
      </c>
    </row>
    <row r="30" spans="1:18">
      <c r="A30" s="117">
        <f t="shared" si="0"/>
        <v>29</v>
      </c>
      <c r="B30" s="108" t="s">
        <v>69</v>
      </c>
      <c r="C30" s="108" t="s">
        <v>6</v>
      </c>
      <c r="D30" s="108" t="s">
        <v>270</v>
      </c>
      <c r="E30" s="108" t="s">
        <v>357</v>
      </c>
      <c r="F30" s="108" t="s">
        <v>267</v>
      </c>
      <c r="G30" s="101"/>
      <c r="H30" s="108" t="s">
        <v>263</v>
      </c>
      <c r="I30" s="101"/>
      <c r="J30" s="108" t="s">
        <v>358</v>
      </c>
      <c r="K30" s="108">
        <v>16000018</v>
      </c>
      <c r="L30" s="108" t="s">
        <v>54</v>
      </c>
      <c r="M30" s="101"/>
      <c r="N30" s="101" t="s">
        <v>267</v>
      </c>
      <c r="O30" s="101" t="s">
        <v>266</v>
      </c>
      <c r="P30" s="101" t="s">
        <v>359</v>
      </c>
      <c r="Q30" s="109"/>
      <c r="R30" s="89" t="s">
        <v>320</v>
      </c>
    </row>
    <row r="31" spans="1:18">
      <c r="A31" s="117">
        <f t="shared" si="0"/>
        <v>30</v>
      </c>
      <c r="B31" s="59" t="s">
        <v>69</v>
      </c>
      <c r="C31" s="59" t="s">
        <v>14</v>
      </c>
      <c r="D31" s="59" t="s">
        <v>270</v>
      </c>
      <c r="E31" s="59" t="s">
        <v>360</v>
      </c>
      <c r="F31" s="59" t="s">
        <v>267</v>
      </c>
      <c r="G31" s="60"/>
      <c r="H31" s="59" t="s">
        <v>263</v>
      </c>
      <c r="I31" s="60"/>
      <c r="J31" s="59" t="s">
        <v>263</v>
      </c>
      <c r="K31" s="59">
        <v>11000007</v>
      </c>
      <c r="L31" s="59" t="s">
        <v>54</v>
      </c>
      <c r="M31" s="60"/>
      <c r="N31" s="60" t="s">
        <v>267</v>
      </c>
      <c r="O31" s="60" t="s">
        <v>266</v>
      </c>
      <c r="P31" s="60" t="s">
        <v>361</v>
      </c>
      <c r="Q31" s="106"/>
      <c r="R31" s="89" t="s">
        <v>320</v>
      </c>
    </row>
    <row r="32" spans="1:18" ht="15.75">
      <c r="A32" s="117">
        <f t="shared" si="0"/>
        <v>31</v>
      </c>
      <c r="B32" s="108" t="s">
        <v>69</v>
      </c>
      <c r="C32" s="108" t="s">
        <v>14</v>
      </c>
      <c r="D32" s="108" t="s">
        <v>270</v>
      </c>
      <c r="E32" s="100" t="s">
        <v>362</v>
      </c>
      <c r="F32" s="108" t="s">
        <v>267</v>
      </c>
      <c r="G32" s="101"/>
      <c r="H32" s="108" t="s">
        <v>263</v>
      </c>
      <c r="I32" s="101" t="s">
        <v>363</v>
      </c>
      <c r="J32" s="108" t="s">
        <v>364</v>
      </c>
      <c r="K32" s="108" t="s">
        <v>365</v>
      </c>
      <c r="L32" s="108" t="s">
        <v>54</v>
      </c>
      <c r="M32" s="101"/>
      <c r="N32" s="101" t="s">
        <v>266</v>
      </c>
      <c r="O32" s="101" t="s">
        <v>266</v>
      </c>
      <c r="P32" s="101"/>
      <c r="Q32" s="109"/>
      <c r="R32" s="89" t="s">
        <v>309</v>
      </c>
    </row>
    <row r="33" spans="1:18">
      <c r="A33" s="117">
        <f t="shared" si="0"/>
        <v>32</v>
      </c>
      <c r="B33" s="108" t="s">
        <v>69</v>
      </c>
      <c r="C33" s="108" t="s">
        <v>6</v>
      </c>
      <c r="D33" s="108" t="s">
        <v>270</v>
      </c>
      <c r="E33" s="108" t="s">
        <v>366</v>
      </c>
      <c r="F33" s="108" t="s">
        <v>267</v>
      </c>
      <c r="G33" s="101"/>
      <c r="H33" s="108" t="s">
        <v>263</v>
      </c>
      <c r="I33" s="108" t="s">
        <v>367</v>
      </c>
      <c r="J33" s="108" t="s">
        <v>368</v>
      </c>
      <c r="K33" s="108">
        <v>11000248</v>
      </c>
      <c r="L33" s="108" t="s">
        <v>54</v>
      </c>
      <c r="M33" s="101"/>
      <c r="N33" s="101" t="s">
        <v>267</v>
      </c>
      <c r="O33" s="101" t="s">
        <v>266</v>
      </c>
      <c r="P33" s="101" t="s">
        <v>359</v>
      </c>
      <c r="Q33" s="109"/>
      <c r="R33" s="89" t="s">
        <v>320</v>
      </c>
    </row>
    <row r="34" spans="1:18">
      <c r="A34" s="117">
        <f t="shared" si="0"/>
        <v>33</v>
      </c>
      <c r="B34" s="108" t="s">
        <v>69</v>
      </c>
      <c r="C34" s="108" t="s">
        <v>3</v>
      </c>
      <c r="D34" s="108" t="s">
        <v>270</v>
      </c>
      <c r="E34" s="108" t="s">
        <v>369</v>
      </c>
      <c r="F34" s="108" t="s">
        <v>267</v>
      </c>
      <c r="G34" s="101"/>
      <c r="H34" s="108" t="s">
        <v>263</v>
      </c>
      <c r="I34" s="108" t="s">
        <v>339</v>
      </c>
      <c r="J34" s="108" t="s">
        <v>370</v>
      </c>
      <c r="K34" s="108">
        <v>7000538</v>
      </c>
      <c r="L34" s="108" t="s">
        <v>54</v>
      </c>
      <c r="M34" s="101"/>
      <c r="N34" s="101" t="s">
        <v>267</v>
      </c>
      <c r="O34" s="101" t="s">
        <v>266</v>
      </c>
      <c r="P34" s="101"/>
      <c r="Q34" s="109"/>
      <c r="R34" s="89" t="s">
        <v>320</v>
      </c>
    </row>
    <row r="35" spans="1:18">
      <c r="A35" s="117">
        <f t="shared" si="0"/>
        <v>34</v>
      </c>
      <c r="B35" s="108" t="s">
        <v>69</v>
      </c>
      <c r="C35" s="108" t="s">
        <v>3</v>
      </c>
      <c r="D35" s="108" t="s">
        <v>270</v>
      </c>
      <c r="E35" s="110" t="s">
        <v>371</v>
      </c>
      <c r="F35" s="108" t="s">
        <v>267</v>
      </c>
      <c r="G35" s="101"/>
      <c r="H35" s="108" t="s">
        <v>263</v>
      </c>
      <c r="I35" s="108" t="s">
        <v>339</v>
      </c>
      <c r="J35" s="108" t="s">
        <v>370</v>
      </c>
      <c r="K35" s="108" t="s">
        <v>372</v>
      </c>
      <c r="L35" s="108" t="s">
        <v>54</v>
      </c>
      <c r="M35" s="101"/>
      <c r="N35" s="101" t="s">
        <v>266</v>
      </c>
      <c r="O35" s="101" t="s">
        <v>267</v>
      </c>
      <c r="P35" s="101" t="s">
        <v>373</v>
      </c>
      <c r="Q35" s="109"/>
      <c r="R35" s="89" t="s">
        <v>316</v>
      </c>
    </row>
    <row r="36" spans="1:18">
      <c r="A36" s="117">
        <f t="shared" si="0"/>
        <v>35</v>
      </c>
      <c r="B36" s="108" t="s">
        <v>69</v>
      </c>
      <c r="C36" s="108" t="s">
        <v>3</v>
      </c>
      <c r="D36" s="108" t="s">
        <v>270</v>
      </c>
      <c r="E36" s="110" t="s">
        <v>371</v>
      </c>
      <c r="F36" s="108" t="s">
        <v>267</v>
      </c>
      <c r="G36" s="101"/>
      <c r="H36" s="108" t="s">
        <v>263</v>
      </c>
      <c r="I36" s="108" t="s">
        <v>339</v>
      </c>
      <c r="J36" s="108" t="s">
        <v>370</v>
      </c>
      <c r="K36" s="108" t="s">
        <v>372</v>
      </c>
      <c r="L36" s="108" t="s">
        <v>54</v>
      </c>
      <c r="M36" s="101"/>
      <c r="N36" s="101" t="s">
        <v>266</v>
      </c>
      <c r="O36" s="101" t="s">
        <v>267</v>
      </c>
      <c r="P36" s="101" t="s">
        <v>373</v>
      </c>
      <c r="Q36" s="109"/>
      <c r="R36" s="89" t="s">
        <v>316</v>
      </c>
    </row>
    <row r="37" spans="1:18" ht="15.75">
      <c r="A37" s="117">
        <f t="shared" si="0"/>
        <v>36</v>
      </c>
      <c r="B37" s="108" t="s">
        <v>69</v>
      </c>
      <c r="C37" s="108" t="s">
        <v>3</v>
      </c>
      <c r="D37" s="108" t="s">
        <v>270</v>
      </c>
      <c r="E37" s="110" t="s">
        <v>374</v>
      </c>
      <c r="F37" s="108" t="s">
        <v>267</v>
      </c>
      <c r="G37" s="101"/>
      <c r="H37" s="108" t="s">
        <v>263</v>
      </c>
      <c r="I37" s="108" t="s">
        <v>375</v>
      </c>
      <c r="J37" s="108" t="s">
        <v>376</v>
      </c>
      <c r="K37" s="100">
        <v>900102206160167</v>
      </c>
      <c r="L37" s="108" t="s">
        <v>54</v>
      </c>
      <c r="M37" s="101"/>
      <c r="N37" s="101" t="s">
        <v>266</v>
      </c>
      <c r="O37" s="101" t="s">
        <v>267</v>
      </c>
      <c r="P37" s="162" t="s">
        <v>377</v>
      </c>
      <c r="Q37" s="109"/>
      <c r="R37" s="89" t="s">
        <v>316</v>
      </c>
    </row>
    <row r="38" spans="1:18">
      <c r="A38" s="117">
        <f t="shared" si="0"/>
        <v>37</v>
      </c>
      <c r="B38" s="59" t="s">
        <v>69</v>
      </c>
      <c r="C38" s="59" t="s">
        <v>23</v>
      </c>
      <c r="D38" s="59" t="s">
        <v>378</v>
      </c>
      <c r="E38" s="59" t="s">
        <v>379</v>
      </c>
      <c r="F38" s="59" t="s">
        <v>267</v>
      </c>
      <c r="G38" s="60"/>
      <c r="H38" s="59" t="s">
        <v>263</v>
      </c>
      <c r="I38" s="59" t="s">
        <v>380</v>
      </c>
      <c r="J38" s="59" t="s">
        <v>381</v>
      </c>
      <c r="K38" s="59">
        <v>7000009</v>
      </c>
      <c r="L38" s="59" t="s">
        <v>54</v>
      </c>
      <c r="M38" s="60"/>
      <c r="N38" s="60"/>
      <c r="O38" s="60"/>
      <c r="P38" s="60"/>
      <c r="Q38" s="106"/>
      <c r="R38" s="89" t="s">
        <v>320</v>
      </c>
    </row>
    <row r="39" spans="1:18">
      <c r="A39" s="117">
        <f t="shared" si="0"/>
        <v>38</v>
      </c>
      <c r="B39" s="108" t="s">
        <v>69</v>
      </c>
      <c r="C39" s="108" t="s">
        <v>6</v>
      </c>
      <c r="D39" s="108" t="s">
        <v>270</v>
      </c>
      <c r="E39" s="108" t="s">
        <v>382</v>
      </c>
      <c r="F39" s="108" t="s">
        <v>267</v>
      </c>
      <c r="G39" s="101"/>
      <c r="H39" s="108" t="s">
        <v>263</v>
      </c>
      <c r="I39" s="101"/>
      <c r="J39" s="108" t="s">
        <v>383</v>
      </c>
      <c r="K39" s="108">
        <v>11000196</v>
      </c>
      <c r="L39" s="108" t="s">
        <v>54</v>
      </c>
      <c r="M39" s="101"/>
      <c r="N39" s="101" t="s">
        <v>267</v>
      </c>
      <c r="O39" s="101" t="s">
        <v>266</v>
      </c>
      <c r="P39" s="101" t="s">
        <v>359</v>
      </c>
      <c r="Q39" s="109"/>
      <c r="R39" s="89" t="s">
        <v>320</v>
      </c>
    </row>
    <row r="40" spans="1:18" s="119" customFormat="1">
      <c r="A40" s="117">
        <f t="shared" si="0"/>
        <v>39</v>
      </c>
      <c r="B40" s="108" t="s">
        <v>69</v>
      </c>
      <c r="C40" s="108" t="s">
        <v>26</v>
      </c>
      <c r="D40" s="108" t="s">
        <v>384</v>
      </c>
      <c r="E40" s="108" t="s">
        <v>385</v>
      </c>
      <c r="F40" s="108" t="s">
        <v>267</v>
      </c>
      <c r="G40" s="101"/>
      <c r="H40" s="108" t="s">
        <v>263</v>
      </c>
      <c r="I40" s="108" t="s">
        <v>280</v>
      </c>
      <c r="J40" s="108" t="s">
        <v>386</v>
      </c>
      <c r="K40" s="108">
        <v>4000025</v>
      </c>
      <c r="L40" s="108" t="s">
        <v>54</v>
      </c>
      <c r="M40" s="101"/>
      <c r="N40" s="101" t="s">
        <v>266</v>
      </c>
      <c r="O40" s="101" t="s">
        <v>266</v>
      </c>
      <c r="P40" s="101"/>
      <c r="Q40" s="109"/>
      <c r="R40" s="89" t="s">
        <v>309</v>
      </c>
    </row>
    <row r="41" spans="1:18">
      <c r="A41" s="117">
        <f t="shared" si="0"/>
        <v>40</v>
      </c>
      <c r="B41" s="108" t="s">
        <v>69</v>
      </c>
      <c r="C41" s="108" t="s">
        <v>6</v>
      </c>
      <c r="D41" s="108" t="s">
        <v>270</v>
      </c>
      <c r="E41" s="108" t="s">
        <v>366</v>
      </c>
      <c r="F41" s="108" t="s">
        <v>267</v>
      </c>
      <c r="G41" s="101"/>
      <c r="H41" s="108" t="s">
        <v>263</v>
      </c>
      <c r="I41" s="108" t="s">
        <v>387</v>
      </c>
      <c r="J41" s="108" t="s">
        <v>388</v>
      </c>
      <c r="K41" s="108">
        <v>11000353</v>
      </c>
      <c r="L41" s="108" t="s">
        <v>54</v>
      </c>
      <c r="M41" s="101"/>
      <c r="N41" s="101" t="s">
        <v>267</v>
      </c>
      <c r="O41" s="101" t="s">
        <v>266</v>
      </c>
      <c r="P41" s="101" t="s">
        <v>359</v>
      </c>
      <c r="Q41" s="109"/>
      <c r="R41" s="89" t="s">
        <v>320</v>
      </c>
    </row>
    <row r="42" spans="1:18">
      <c r="A42" s="117">
        <f t="shared" si="0"/>
        <v>41</v>
      </c>
      <c r="B42" s="108" t="s">
        <v>69</v>
      </c>
      <c r="C42" s="108" t="s">
        <v>6</v>
      </c>
      <c r="D42" s="108" t="s">
        <v>270</v>
      </c>
      <c r="E42" s="108" t="s">
        <v>366</v>
      </c>
      <c r="F42" s="108" t="s">
        <v>267</v>
      </c>
      <c r="G42" s="101"/>
      <c r="H42" s="108" t="s">
        <v>263</v>
      </c>
      <c r="I42" s="108" t="s">
        <v>387</v>
      </c>
      <c r="J42" s="108" t="s">
        <v>389</v>
      </c>
      <c r="K42" s="108">
        <v>16000087</v>
      </c>
      <c r="L42" s="108" t="s">
        <v>54</v>
      </c>
      <c r="M42" s="101"/>
      <c r="N42" s="101" t="s">
        <v>267</v>
      </c>
      <c r="O42" s="101" t="s">
        <v>266</v>
      </c>
      <c r="P42" s="101" t="s">
        <v>359</v>
      </c>
      <c r="Q42" s="109"/>
      <c r="R42" s="89" t="s">
        <v>320</v>
      </c>
    </row>
    <row r="43" spans="1:18">
      <c r="A43" s="117">
        <f t="shared" si="0"/>
        <v>42</v>
      </c>
      <c r="B43" s="47" t="s">
        <v>69</v>
      </c>
      <c r="C43" s="108" t="s">
        <v>6</v>
      </c>
      <c r="D43" s="47" t="s">
        <v>270</v>
      </c>
      <c r="E43" s="50" t="s">
        <v>390</v>
      </c>
      <c r="F43" s="50" t="s">
        <v>267</v>
      </c>
      <c r="G43" s="61"/>
      <c r="H43" s="50" t="s">
        <v>263</v>
      </c>
      <c r="I43" s="131" t="s">
        <v>387</v>
      </c>
      <c r="J43" s="50" t="s">
        <v>391</v>
      </c>
      <c r="K43" s="50">
        <v>23121880015</v>
      </c>
      <c r="L43" s="47" t="s">
        <v>54</v>
      </c>
      <c r="M43" s="61"/>
      <c r="N43" s="61" t="s">
        <v>266</v>
      </c>
      <c r="O43" s="61" t="s">
        <v>266</v>
      </c>
      <c r="P43" s="61"/>
      <c r="Q43" s="111"/>
      <c r="R43" s="89" t="s">
        <v>309</v>
      </c>
    </row>
    <row r="44" spans="1:18">
      <c r="A44" s="117">
        <f t="shared" si="0"/>
        <v>43</v>
      </c>
      <c r="B44" s="47" t="s">
        <v>105</v>
      </c>
      <c r="C44" s="108" t="s">
        <v>9</v>
      </c>
      <c r="D44" s="47" t="s">
        <v>270</v>
      </c>
      <c r="E44" s="50" t="s">
        <v>392</v>
      </c>
      <c r="F44" s="50" t="s">
        <v>267</v>
      </c>
      <c r="G44" s="61"/>
      <c r="H44" s="129" t="s">
        <v>263</v>
      </c>
      <c r="I44" s="128" t="s">
        <v>296</v>
      </c>
      <c r="J44" s="130" t="s">
        <v>393</v>
      </c>
      <c r="K44" s="50" t="s">
        <v>394</v>
      </c>
      <c r="L44" s="47" t="s">
        <v>54</v>
      </c>
      <c r="M44" s="61"/>
      <c r="N44" s="61" t="s">
        <v>266</v>
      </c>
      <c r="O44" s="61" t="s">
        <v>266</v>
      </c>
      <c r="P44" s="61"/>
      <c r="Q44" s="111"/>
      <c r="R44" s="89" t="s">
        <v>309</v>
      </c>
    </row>
    <row r="45" spans="1:18">
      <c r="A45" s="117">
        <f t="shared" si="0"/>
        <v>44</v>
      </c>
      <c r="B45" s="47" t="s">
        <v>303</v>
      </c>
      <c r="C45" s="50" t="s">
        <v>18</v>
      </c>
      <c r="D45" s="47" t="s">
        <v>270</v>
      </c>
      <c r="E45" s="47" t="s">
        <v>395</v>
      </c>
      <c r="F45" s="47" t="s">
        <v>267</v>
      </c>
      <c r="G45" s="61"/>
      <c r="H45" s="47" t="s">
        <v>263</v>
      </c>
      <c r="I45" s="127" t="s">
        <v>380</v>
      </c>
      <c r="J45" s="47" t="s">
        <v>396</v>
      </c>
      <c r="K45" s="47" t="s">
        <v>397</v>
      </c>
      <c r="L45" s="47" t="s">
        <v>54</v>
      </c>
      <c r="M45" s="61"/>
      <c r="N45" s="61" t="s">
        <v>266</v>
      </c>
      <c r="O45" s="61" t="s">
        <v>266</v>
      </c>
      <c r="P45" s="112" t="s">
        <v>398</v>
      </c>
      <c r="Q45" s="166"/>
      <c r="R45" s="89" t="s">
        <v>309</v>
      </c>
    </row>
    <row r="46" spans="1:18">
      <c r="A46" s="117">
        <f t="shared" si="0"/>
        <v>45</v>
      </c>
      <c r="B46" s="47" t="s">
        <v>303</v>
      </c>
      <c r="C46" s="50" t="s">
        <v>18</v>
      </c>
      <c r="D46" s="47" t="s">
        <v>270</v>
      </c>
      <c r="E46" s="47" t="s">
        <v>395</v>
      </c>
      <c r="F46" s="47" t="s">
        <v>267</v>
      </c>
      <c r="G46" s="61"/>
      <c r="H46" s="47" t="s">
        <v>263</v>
      </c>
      <c r="I46" s="47" t="s">
        <v>380</v>
      </c>
      <c r="J46" s="47" t="s">
        <v>399</v>
      </c>
      <c r="K46" s="47" t="s">
        <v>400</v>
      </c>
      <c r="L46" s="47" t="s">
        <v>54</v>
      </c>
      <c r="M46" s="61"/>
      <c r="N46" s="61" t="s">
        <v>266</v>
      </c>
      <c r="O46" s="61" t="s">
        <v>266</v>
      </c>
      <c r="P46" s="112" t="s">
        <v>398</v>
      </c>
      <c r="Q46" s="166"/>
      <c r="R46" s="89" t="s">
        <v>309</v>
      </c>
    </row>
    <row r="47" spans="1:18">
      <c r="A47" s="117">
        <f t="shared" si="0"/>
        <v>46</v>
      </c>
      <c r="B47" s="47" t="s">
        <v>303</v>
      </c>
      <c r="C47" s="50" t="s">
        <v>18</v>
      </c>
      <c r="D47" s="47" t="s">
        <v>270</v>
      </c>
      <c r="E47" s="47" t="s">
        <v>395</v>
      </c>
      <c r="F47" s="47" t="s">
        <v>267</v>
      </c>
      <c r="G47" s="61"/>
      <c r="H47" s="47" t="s">
        <v>263</v>
      </c>
      <c r="I47" s="47" t="s">
        <v>380</v>
      </c>
      <c r="J47" s="47" t="s">
        <v>401</v>
      </c>
      <c r="K47" s="47" t="s">
        <v>402</v>
      </c>
      <c r="L47" s="47" t="s">
        <v>54</v>
      </c>
      <c r="M47" s="61"/>
      <c r="N47" s="61" t="s">
        <v>266</v>
      </c>
      <c r="O47" s="61" t="s">
        <v>266</v>
      </c>
      <c r="P47" s="112" t="s">
        <v>398</v>
      </c>
      <c r="Q47" s="166"/>
      <c r="R47" s="89" t="s">
        <v>309</v>
      </c>
    </row>
    <row r="48" spans="1:18" ht="30">
      <c r="A48" s="117">
        <f t="shared" si="0"/>
        <v>47</v>
      </c>
      <c r="B48" s="47" t="s">
        <v>303</v>
      </c>
      <c r="C48" s="50" t="s">
        <v>18</v>
      </c>
      <c r="D48" s="47" t="s">
        <v>270</v>
      </c>
      <c r="E48" s="47" t="s">
        <v>395</v>
      </c>
      <c r="F48" s="47" t="s">
        <v>267</v>
      </c>
      <c r="G48" s="61"/>
      <c r="H48" s="47" t="s">
        <v>263</v>
      </c>
      <c r="I48" s="47" t="s">
        <v>403</v>
      </c>
      <c r="J48" s="47" t="s">
        <v>404</v>
      </c>
      <c r="K48" s="47" t="s">
        <v>404</v>
      </c>
      <c r="L48" s="47" t="s">
        <v>323</v>
      </c>
      <c r="M48" s="61"/>
      <c r="N48" s="61" t="s">
        <v>266</v>
      </c>
      <c r="O48" s="61" t="s">
        <v>266</v>
      </c>
      <c r="P48" s="167" t="s">
        <v>405</v>
      </c>
      <c r="Q48" s="112"/>
      <c r="R48" s="89" t="s">
        <v>309</v>
      </c>
    </row>
    <row r="49" spans="1:25">
      <c r="A49" s="117">
        <f t="shared" si="0"/>
        <v>48</v>
      </c>
      <c r="B49" s="47" t="s">
        <v>303</v>
      </c>
      <c r="C49" s="50" t="s">
        <v>18</v>
      </c>
      <c r="D49" s="47" t="s">
        <v>270</v>
      </c>
      <c r="E49" s="47" t="s">
        <v>395</v>
      </c>
      <c r="F49" s="47" t="s">
        <v>267</v>
      </c>
      <c r="G49" s="61"/>
      <c r="H49" s="47" t="s">
        <v>263</v>
      </c>
      <c r="I49" s="47" t="s">
        <v>345</v>
      </c>
      <c r="J49" s="47" t="s">
        <v>406</v>
      </c>
      <c r="K49" s="47"/>
      <c r="L49" s="47" t="s">
        <v>54</v>
      </c>
      <c r="M49" s="61"/>
      <c r="N49" s="61" t="s">
        <v>266</v>
      </c>
      <c r="O49" s="61" t="s">
        <v>266</v>
      </c>
      <c r="P49" s="61"/>
      <c r="Q49" s="112"/>
      <c r="R49" s="89" t="s">
        <v>309</v>
      </c>
    </row>
    <row r="50" spans="1:25">
      <c r="A50" s="117">
        <f t="shared" si="0"/>
        <v>49</v>
      </c>
      <c r="B50" s="47" t="s">
        <v>303</v>
      </c>
      <c r="C50" s="50" t="s">
        <v>17</v>
      </c>
      <c r="D50" s="47" t="s">
        <v>407</v>
      </c>
      <c r="E50" s="47" t="s">
        <v>408</v>
      </c>
      <c r="F50" s="47" t="s">
        <v>267</v>
      </c>
      <c r="G50" s="61"/>
      <c r="H50" s="47" t="s">
        <v>263</v>
      </c>
      <c r="I50" s="47" t="s">
        <v>363</v>
      </c>
      <c r="J50" s="47" t="s">
        <v>409</v>
      </c>
      <c r="K50" s="47" t="s">
        <v>410</v>
      </c>
      <c r="L50" s="47" t="s">
        <v>323</v>
      </c>
      <c r="M50" s="61"/>
      <c r="N50" s="61" t="s">
        <v>266</v>
      </c>
      <c r="O50" s="61" t="s">
        <v>267</v>
      </c>
      <c r="P50" s="61" t="s">
        <v>411</v>
      </c>
      <c r="Q50" s="112"/>
      <c r="R50" s="89" t="s">
        <v>316</v>
      </c>
    </row>
    <row r="51" spans="1:25">
      <c r="A51" s="117">
        <f t="shared" si="0"/>
        <v>50</v>
      </c>
      <c r="B51" s="47" t="s">
        <v>303</v>
      </c>
      <c r="C51" s="50" t="s">
        <v>17</v>
      </c>
      <c r="D51" s="47" t="s">
        <v>407</v>
      </c>
      <c r="E51" s="47" t="s">
        <v>408</v>
      </c>
      <c r="F51" s="47" t="s">
        <v>267</v>
      </c>
      <c r="G51" s="61"/>
      <c r="H51" s="47" t="s">
        <v>263</v>
      </c>
      <c r="I51" s="47" t="s">
        <v>375</v>
      </c>
      <c r="J51" s="47" t="s">
        <v>412</v>
      </c>
      <c r="K51" s="178" t="s">
        <v>413</v>
      </c>
      <c r="L51" s="47" t="s">
        <v>54</v>
      </c>
      <c r="M51" s="61"/>
      <c r="N51" s="61" t="s">
        <v>266</v>
      </c>
      <c r="O51" s="61" t="s">
        <v>267</v>
      </c>
      <c r="P51" s="159" t="s">
        <v>414</v>
      </c>
      <c r="Q51" s="112"/>
      <c r="R51" s="89" t="s">
        <v>316</v>
      </c>
    </row>
    <row r="52" spans="1:25">
      <c r="A52" s="117">
        <f t="shared" si="0"/>
        <v>51</v>
      </c>
      <c r="B52" s="47" t="s">
        <v>159</v>
      </c>
      <c r="C52" s="50" t="s">
        <v>415</v>
      </c>
      <c r="D52" s="47" t="s">
        <v>270</v>
      </c>
      <c r="E52" s="47" t="s">
        <v>416</v>
      </c>
      <c r="F52" s="47" t="s">
        <v>267</v>
      </c>
      <c r="G52" s="61"/>
      <c r="H52" s="47" t="s">
        <v>263</v>
      </c>
      <c r="I52" s="47" t="s">
        <v>417</v>
      </c>
      <c r="J52" s="47" t="s">
        <v>418</v>
      </c>
      <c r="K52" s="47">
        <v>83641611100004</v>
      </c>
      <c r="L52" s="47" t="s">
        <v>54</v>
      </c>
      <c r="M52" s="61"/>
      <c r="N52" s="61" t="s">
        <v>266</v>
      </c>
      <c r="O52" s="61" t="s">
        <v>266</v>
      </c>
      <c r="P52" s="61" t="s">
        <v>419</v>
      </c>
      <c r="Q52" s="112" t="s">
        <v>420</v>
      </c>
      <c r="R52" s="89" t="s">
        <v>309</v>
      </c>
    </row>
    <row r="53" spans="1:25">
      <c r="A53" s="117">
        <f t="shared" si="0"/>
        <v>52</v>
      </c>
      <c r="B53" s="47" t="s">
        <v>159</v>
      </c>
      <c r="C53" s="47" t="s">
        <v>421</v>
      </c>
      <c r="D53" s="47" t="s">
        <v>270</v>
      </c>
      <c r="E53" s="47" t="s">
        <v>422</v>
      </c>
      <c r="F53" s="47" t="s">
        <v>267</v>
      </c>
      <c r="G53" s="61"/>
      <c r="H53" s="47" t="s">
        <v>263</v>
      </c>
      <c r="I53" s="47" t="s">
        <v>380</v>
      </c>
      <c r="J53" s="50" t="s">
        <v>423</v>
      </c>
      <c r="K53" s="47" t="s">
        <v>424</v>
      </c>
      <c r="L53" s="47" t="s">
        <v>54</v>
      </c>
      <c r="M53" s="61"/>
      <c r="N53" s="61" t="s">
        <v>266</v>
      </c>
      <c r="O53" s="61" t="s">
        <v>266</v>
      </c>
      <c r="P53" s="61" t="s">
        <v>425</v>
      </c>
      <c r="Q53" s="112" t="s">
        <v>426</v>
      </c>
      <c r="R53" s="89" t="s">
        <v>309</v>
      </c>
    </row>
    <row r="54" spans="1:25">
      <c r="A54" s="117">
        <f t="shared" si="0"/>
        <v>53</v>
      </c>
      <c r="B54" s="108" t="s">
        <v>427</v>
      </c>
      <c r="C54" s="108" t="s">
        <v>19</v>
      </c>
      <c r="D54" s="108" t="s">
        <v>270</v>
      </c>
      <c r="E54" s="108" t="s">
        <v>422</v>
      </c>
      <c r="F54" s="108" t="s">
        <v>267</v>
      </c>
      <c r="G54" s="140"/>
      <c r="H54" s="108" t="s">
        <v>263</v>
      </c>
      <c r="I54" s="108" t="s">
        <v>428</v>
      </c>
      <c r="J54" s="108" t="s">
        <v>429</v>
      </c>
      <c r="K54" s="108">
        <v>866021608100050</v>
      </c>
      <c r="L54" s="108" t="s">
        <v>54</v>
      </c>
      <c r="M54" s="101"/>
      <c r="N54" s="101" t="s">
        <v>266</v>
      </c>
      <c r="O54" s="101" t="s">
        <v>266</v>
      </c>
      <c r="P54" s="101" t="s">
        <v>430</v>
      </c>
      <c r="Q54" s="113" t="s">
        <v>431</v>
      </c>
      <c r="R54" s="89" t="s">
        <v>309</v>
      </c>
    </row>
    <row r="55" spans="1:25" ht="15" customHeight="1">
      <c r="A55" s="117">
        <f t="shared" si="0"/>
        <v>54</v>
      </c>
      <c r="B55" s="5" t="s">
        <v>303</v>
      </c>
      <c r="C55" s="5" t="s">
        <v>24</v>
      </c>
      <c r="D55" s="108" t="s">
        <v>378</v>
      </c>
      <c r="E55" s="108"/>
      <c r="F55" s="108"/>
      <c r="G55" s="108"/>
      <c r="H55" s="5" t="s">
        <v>263</v>
      </c>
      <c r="I55" s="72" t="s">
        <v>296</v>
      </c>
      <c r="J55" s="175" t="s">
        <v>432</v>
      </c>
      <c r="K55" s="175" t="s">
        <v>433</v>
      </c>
      <c r="L55" s="72"/>
      <c r="M55" s="117"/>
      <c r="N55" s="5"/>
      <c r="O55" s="5"/>
      <c r="P55" s="5" t="s">
        <v>434</v>
      </c>
      <c r="Q55" s="108"/>
      <c r="R55" s="5" t="s">
        <v>316</v>
      </c>
      <c r="S55" s="5"/>
      <c r="T55" s="5"/>
      <c r="U55" s="72"/>
      <c r="V55" s="72"/>
      <c r="W55" s="72"/>
      <c r="X55" s="72"/>
      <c r="Y55" s="117"/>
    </row>
  </sheetData>
  <autoFilter ref="B1:R54" xr:uid="{00000000-0001-0000-0500-000000000000}">
    <filterColumn colId="1">
      <filters>
        <filter val="Inmovila _ Sky Buildi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E2D5"/>
  </sheetPr>
  <dimension ref="A1:U999"/>
  <sheetViews>
    <sheetView showGridLines="0" workbookViewId="0">
      <pane ySplit="1" topLeftCell="A2" activePane="bottomLeft" state="frozen"/>
      <selection pane="bottomLeft" activeCell="F45" sqref="F45"/>
    </sheetView>
  </sheetViews>
  <sheetFormatPr baseColWidth="10" defaultColWidth="12.5703125" defaultRowHeight="15" customHeight="1"/>
  <cols>
    <col min="1" max="1" width="7.42578125" customWidth="1"/>
    <col min="2" max="2" width="32.5703125" customWidth="1"/>
    <col min="3" max="3" width="32.7109375" customWidth="1"/>
    <col min="4" max="4" width="18.42578125" customWidth="1"/>
    <col min="5" max="5" width="19.42578125" customWidth="1"/>
    <col min="6" max="7" width="18.42578125" customWidth="1"/>
    <col min="8" max="8" width="29.7109375" bestFit="1" customWidth="1"/>
    <col min="9" max="21" width="18.42578125" customWidth="1"/>
  </cols>
  <sheetData>
    <row r="1" spans="1:21" ht="30.75" customHeight="1">
      <c r="A1" s="1" t="s">
        <v>35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24">
      <c r="A2" s="36">
        <v>1</v>
      </c>
      <c r="B2" s="37" t="s">
        <v>1224</v>
      </c>
      <c r="C2" s="37" t="s">
        <v>1225</v>
      </c>
      <c r="D2" s="36" t="s">
        <v>1226</v>
      </c>
      <c r="E2" s="36">
        <v>40</v>
      </c>
      <c r="F2" s="36" t="s">
        <v>1227</v>
      </c>
      <c r="G2" s="36"/>
      <c r="H2" s="40" t="s">
        <v>1228</v>
      </c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2" customHeight="1">
      <c r="A3" s="36">
        <v>2</v>
      </c>
      <c r="B3" s="37" t="s">
        <v>1229</v>
      </c>
      <c r="C3" s="37" t="s">
        <v>1230</v>
      </c>
      <c r="D3" s="36" t="s">
        <v>1226</v>
      </c>
      <c r="E3" s="36">
        <v>8</v>
      </c>
      <c r="F3" s="36" t="s">
        <v>1231</v>
      </c>
      <c r="G3" s="36"/>
      <c r="H3" s="40" t="s">
        <v>1228</v>
      </c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2" customHeight="1">
      <c r="A4" s="36">
        <v>3</v>
      </c>
      <c r="B4" s="37" t="s">
        <v>1232</v>
      </c>
      <c r="C4" s="37" t="s">
        <v>1233</v>
      </c>
      <c r="D4" s="36" t="s">
        <v>1234</v>
      </c>
      <c r="E4" s="36">
        <v>1</v>
      </c>
      <c r="F4" s="36" t="s">
        <v>1227</v>
      </c>
      <c r="G4" s="36"/>
      <c r="H4" s="40" t="s">
        <v>1228</v>
      </c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2" customHeight="1">
      <c r="A5" s="36">
        <v>4</v>
      </c>
      <c r="B5" s="37" t="s">
        <v>1235</v>
      </c>
      <c r="C5" s="37" t="s">
        <v>1236</v>
      </c>
      <c r="D5" s="36" t="s">
        <v>1226</v>
      </c>
      <c r="E5" s="36">
        <v>8</v>
      </c>
      <c r="F5" s="36" t="s">
        <v>1231</v>
      </c>
      <c r="G5" s="36"/>
      <c r="H5" s="40" t="s">
        <v>1228</v>
      </c>
      <c r="I5" s="36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2" customHeight="1">
      <c r="A6" s="36">
        <v>5</v>
      </c>
      <c r="B6" s="37" t="s">
        <v>1237</v>
      </c>
      <c r="C6" s="37" t="s">
        <v>1238</v>
      </c>
      <c r="D6" s="36" t="s">
        <v>1239</v>
      </c>
      <c r="E6" s="36" t="s">
        <v>1240</v>
      </c>
      <c r="F6" s="36" t="s">
        <v>1227</v>
      </c>
      <c r="G6" s="36"/>
      <c r="H6" s="40" t="s">
        <v>1228</v>
      </c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2" customHeight="1">
      <c r="A7" s="36">
        <v>6</v>
      </c>
      <c r="B7" s="37" t="s">
        <v>1241</v>
      </c>
      <c r="C7" s="37" t="s">
        <v>1242</v>
      </c>
      <c r="D7" s="36" t="s">
        <v>1226</v>
      </c>
      <c r="E7" s="36">
        <v>8</v>
      </c>
      <c r="F7" s="36" t="s">
        <v>1231</v>
      </c>
      <c r="G7" s="36"/>
      <c r="H7" s="40" t="s">
        <v>1228</v>
      </c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 ht="12" customHeight="1">
      <c r="A8" s="36">
        <v>7</v>
      </c>
      <c r="B8" s="37" t="s">
        <v>1243</v>
      </c>
      <c r="C8" s="37" t="s">
        <v>1244</v>
      </c>
      <c r="D8" s="36" t="s">
        <v>1226</v>
      </c>
      <c r="E8" s="36">
        <v>164</v>
      </c>
      <c r="F8" s="36" t="s">
        <v>1227</v>
      </c>
      <c r="G8" s="36"/>
      <c r="H8" s="40" t="s">
        <v>1228</v>
      </c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2" customHeight="1">
      <c r="A9" s="36">
        <v>8</v>
      </c>
      <c r="B9" s="37" t="s">
        <v>1245</v>
      </c>
      <c r="C9" s="37" t="s">
        <v>1246</v>
      </c>
      <c r="D9" s="36" t="s">
        <v>1234</v>
      </c>
      <c r="E9" s="36">
        <v>8</v>
      </c>
      <c r="F9" s="36" t="s">
        <v>1231</v>
      </c>
      <c r="G9" s="36"/>
      <c r="H9" s="40" t="s">
        <v>1228</v>
      </c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ht="12" customHeight="1">
      <c r="A10" s="36">
        <v>9</v>
      </c>
      <c r="B10" s="37" t="s">
        <v>1247</v>
      </c>
      <c r="C10" s="37" t="s">
        <v>1248</v>
      </c>
      <c r="D10" s="36" t="s">
        <v>1239</v>
      </c>
      <c r="E10" s="36">
        <v>4</v>
      </c>
      <c r="F10" s="36" t="s">
        <v>1231</v>
      </c>
      <c r="G10" s="36"/>
      <c r="H10" s="40" t="s">
        <v>1228</v>
      </c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2" customHeight="1">
      <c r="A11" s="36">
        <v>10</v>
      </c>
      <c r="B11" s="37" t="s">
        <v>1249</v>
      </c>
      <c r="C11" s="37" t="s">
        <v>1248</v>
      </c>
      <c r="D11" s="36" t="s">
        <v>1226</v>
      </c>
      <c r="E11" s="36">
        <v>4</v>
      </c>
      <c r="F11" s="36" t="s">
        <v>1231</v>
      </c>
      <c r="G11" s="36"/>
      <c r="H11" s="40" t="s">
        <v>1228</v>
      </c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2" customHeight="1">
      <c r="A12" s="36">
        <v>11</v>
      </c>
      <c r="B12" s="37" t="s">
        <v>1250</v>
      </c>
      <c r="C12" s="37" t="s">
        <v>1251</v>
      </c>
      <c r="D12" s="36" t="s">
        <v>1234</v>
      </c>
      <c r="E12" s="36">
        <v>2</v>
      </c>
      <c r="F12" s="36" t="s">
        <v>1231</v>
      </c>
      <c r="G12" s="36"/>
      <c r="H12" s="40" t="s">
        <v>1228</v>
      </c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12" customHeight="1">
      <c r="A13" s="36">
        <v>12</v>
      </c>
      <c r="B13" s="37" t="s">
        <v>1252</v>
      </c>
      <c r="C13" s="37" t="s">
        <v>1225</v>
      </c>
      <c r="D13" s="36" t="s">
        <v>1226</v>
      </c>
      <c r="E13" s="36">
        <v>25</v>
      </c>
      <c r="F13" s="36" t="s">
        <v>1231</v>
      </c>
      <c r="G13" s="36"/>
      <c r="H13" s="40" t="s">
        <v>1228</v>
      </c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2" customHeight="1">
      <c r="A14" s="36">
        <v>13</v>
      </c>
      <c r="B14" s="37" t="s">
        <v>1253</v>
      </c>
      <c r="C14" s="37" t="s">
        <v>1254</v>
      </c>
      <c r="D14" s="36" t="s">
        <v>1226</v>
      </c>
      <c r="E14" s="36">
        <v>6</v>
      </c>
      <c r="F14" s="36" t="s">
        <v>1231</v>
      </c>
      <c r="G14" s="36"/>
      <c r="H14" s="40" t="s">
        <v>1228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12" customHeight="1">
      <c r="A15" s="36">
        <v>14</v>
      </c>
      <c r="B15" s="37" t="s">
        <v>1255</v>
      </c>
      <c r="C15" s="37" t="s">
        <v>1225</v>
      </c>
      <c r="D15" s="36" t="s">
        <v>1226</v>
      </c>
      <c r="E15" s="36">
        <v>25</v>
      </c>
      <c r="F15" s="36" t="s">
        <v>1231</v>
      </c>
      <c r="G15" s="36"/>
      <c r="H15" s="40" t="s">
        <v>1228</v>
      </c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12" customHeight="1">
      <c r="A16" s="36">
        <v>15</v>
      </c>
      <c r="B16" s="37" t="s">
        <v>1256</v>
      </c>
      <c r="C16" s="37" t="s">
        <v>1225</v>
      </c>
      <c r="D16" s="36" t="s">
        <v>1226</v>
      </c>
      <c r="E16" s="36">
        <v>25</v>
      </c>
      <c r="F16" s="36" t="s">
        <v>1231</v>
      </c>
      <c r="G16" s="36"/>
      <c r="H16" s="40" t="s">
        <v>1228</v>
      </c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2" customHeight="1">
      <c r="A17" s="36">
        <v>16</v>
      </c>
      <c r="B17" s="37" t="s">
        <v>1257</v>
      </c>
      <c r="C17" s="37" t="s">
        <v>1230</v>
      </c>
      <c r="D17" s="36" t="s">
        <v>1226</v>
      </c>
      <c r="E17" s="36">
        <v>8</v>
      </c>
      <c r="F17" s="36" t="s">
        <v>1258</v>
      </c>
      <c r="G17" s="36"/>
      <c r="H17" s="40" t="s">
        <v>1228</v>
      </c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2" customHeight="1">
      <c r="A18" s="36">
        <v>17</v>
      </c>
      <c r="B18" s="37" t="s">
        <v>1259</v>
      </c>
      <c r="C18" s="37" t="s">
        <v>1260</v>
      </c>
      <c r="D18" s="36" t="s">
        <v>1239</v>
      </c>
      <c r="E18" s="36" t="s">
        <v>1261</v>
      </c>
      <c r="F18" s="36" t="s">
        <v>1258</v>
      </c>
      <c r="G18" s="36"/>
      <c r="H18" s="40" t="s">
        <v>1228</v>
      </c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2" customHeight="1">
      <c r="A19" s="36">
        <v>18</v>
      </c>
      <c r="B19" s="37" t="s">
        <v>1262</v>
      </c>
      <c r="C19" s="38" t="s">
        <v>1260</v>
      </c>
      <c r="D19" s="36" t="s">
        <v>1239</v>
      </c>
      <c r="E19" s="36" t="s">
        <v>1261</v>
      </c>
      <c r="F19" s="36" t="s">
        <v>1258</v>
      </c>
      <c r="G19" s="36"/>
      <c r="H19" s="40" t="s">
        <v>1228</v>
      </c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2" customHeight="1">
      <c r="A20" s="36">
        <v>19</v>
      </c>
      <c r="B20" s="37" t="s">
        <v>1263</v>
      </c>
      <c r="C20" s="38" t="s">
        <v>1260</v>
      </c>
      <c r="D20" s="36" t="s">
        <v>1239</v>
      </c>
      <c r="E20" s="36" t="s">
        <v>1261</v>
      </c>
      <c r="F20" s="36" t="s">
        <v>1258</v>
      </c>
      <c r="G20" s="36"/>
      <c r="H20" s="40" t="s">
        <v>1228</v>
      </c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2" customHeight="1">
      <c r="A21" s="36">
        <v>20</v>
      </c>
      <c r="B21" s="37" t="s">
        <v>1264</v>
      </c>
      <c r="C21" s="38" t="s">
        <v>1260</v>
      </c>
      <c r="D21" s="36" t="s">
        <v>1226</v>
      </c>
      <c r="E21" s="36" t="s">
        <v>1265</v>
      </c>
      <c r="F21" s="36" t="s">
        <v>1227</v>
      </c>
      <c r="G21" s="36"/>
      <c r="H21" s="40" t="s">
        <v>1228</v>
      </c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2" customHeight="1">
      <c r="A22" s="36">
        <v>21</v>
      </c>
      <c r="B22" s="37" t="s">
        <v>1264</v>
      </c>
      <c r="C22" s="38" t="s">
        <v>1260</v>
      </c>
      <c r="D22" s="36" t="s">
        <v>1226</v>
      </c>
      <c r="E22" s="36" t="s">
        <v>1265</v>
      </c>
      <c r="F22" s="36" t="s">
        <v>1258</v>
      </c>
      <c r="G22" s="36"/>
      <c r="H22" s="40" t="s">
        <v>1228</v>
      </c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2" customHeight="1">
      <c r="A23" s="36">
        <v>22</v>
      </c>
      <c r="B23" s="37" t="s">
        <v>1266</v>
      </c>
      <c r="C23" s="37" t="s">
        <v>1260</v>
      </c>
      <c r="D23" s="36" t="s">
        <v>1226</v>
      </c>
      <c r="E23" s="36" t="s">
        <v>1267</v>
      </c>
      <c r="F23" s="36" t="s">
        <v>1227</v>
      </c>
      <c r="G23" s="36"/>
      <c r="H23" s="40" t="s">
        <v>1228</v>
      </c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2" customHeight="1">
      <c r="A24" s="36">
        <v>23</v>
      </c>
      <c r="B24" s="37" t="s">
        <v>1268</v>
      </c>
      <c r="C24" s="37" t="s">
        <v>1230</v>
      </c>
      <c r="D24" s="36" t="s">
        <v>1226</v>
      </c>
      <c r="E24" s="36">
        <v>200</v>
      </c>
      <c r="F24" s="36" t="s">
        <v>1258</v>
      </c>
      <c r="G24" s="36"/>
      <c r="H24" s="40" t="s">
        <v>1228</v>
      </c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2" customHeight="1">
      <c r="A25" s="36">
        <v>24</v>
      </c>
      <c r="B25" s="37" t="s">
        <v>1269</v>
      </c>
      <c r="C25" s="37" t="s">
        <v>1230</v>
      </c>
      <c r="D25" s="36" t="s">
        <v>1226</v>
      </c>
      <c r="E25" s="36"/>
      <c r="F25" s="36"/>
      <c r="G25" s="36"/>
      <c r="H25" s="40" t="s">
        <v>1228</v>
      </c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2" customHeight="1">
      <c r="A26" s="36">
        <v>25</v>
      </c>
      <c r="B26" s="37" t="s">
        <v>1270</v>
      </c>
      <c r="C26" s="37" t="s">
        <v>1271</v>
      </c>
      <c r="D26" s="36" t="s">
        <v>1239</v>
      </c>
      <c r="E26" s="36" t="s">
        <v>1240</v>
      </c>
      <c r="F26" s="36" t="s">
        <v>1258</v>
      </c>
      <c r="G26" s="36"/>
      <c r="H26" s="40" t="s">
        <v>1228</v>
      </c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ht="12" customHeight="1">
      <c r="A27" s="36">
        <v>26</v>
      </c>
      <c r="B27" s="37" t="s">
        <v>1272</v>
      </c>
      <c r="C27" s="37" t="s">
        <v>1273</v>
      </c>
      <c r="D27" s="36" t="s">
        <v>1234</v>
      </c>
      <c r="E27" s="36">
        <v>2</v>
      </c>
      <c r="F27" s="36" t="s">
        <v>1258</v>
      </c>
      <c r="G27" s="36"/>
      <c r="H27" s="40" t="s">
        <v>1228</v>
      </c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ht="12" customHeight="1">
      <c r="A28" s="36">
        <v>27</v>
      </c>
      <c r="B28" s="37" t="s">
        <v>1274</v>
      </c>
      <c r="C28" s="39" t="s">
        <v>1275</v>
      </c>
      <c r="D28" s="36" t="s">
        <v>1226</v>
      </c>
      <c r="E28" s="40" t="s">
        <v>1276</v>
      </c>
      <c r="F28" s="36" t="s">
        <v>1227</v>
      </c>
      <c r="G28" s="36"/>
      <c r="H28" s="40" t="s">
        <v>1228</v>
      </c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ht="12" customHeight="1">
      <c r="A29" s="36">
        <v>28</v>
      </c>
      <c r="B29" s="37" t="s">
        <v>1277</v>
      </c>
      <c r="C29" s="37" t="s">
        <v>1230</v>
      </c>
      <c r="D29" s="36" t="s">
        <v>1226</v>
      </c>
      <c r="E29" s="36">
        <v>6</v>
      </c>
      <c r="F29" s="36" t="s">
        <v>1258</v>
      </c>
      <c r="G29" s="36"/>
      <c r="H29" s="40" t="s">
        <v>1228</v>
      </c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2" customHeight="1">
      <c r="A30" s="36">
        <v>29</v>
      </c>
      <c r="B30" s="37" t="s">
        <v>1277</v>
      </c>
      <c r="C30" s="37" t="s">
        <v>1230</v>
      </c>
      <c r="D30" s="36" t="s">
        <v>1234</v>
      </c>
      <c r="E30" s="36">
        <v>20</v>
      </c>
      <c r="F30" s="36" t="s">
        <v>1258</v>
      </c>
      <c r="G30" s="36"/>
      <c r="H30" s="40" t="s">
        <v>1228</v>
      </c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2" customHeight="1">
      <c r="A31" s="36">
        <v>30</v>
      </c>
      <c r="B31" s="37" t="s">
        <v>1278</v>
      </c>
      <c r="C31" s="37" t="s">
        <v>1279</v>
      </c>
      <c r="D31" s="36" t="s">
        <v>1239</v>
      </c>
      <c r="E31" s="40" t="s">
        <v>1280</v>
      </c>
      <c r="F31" s="36" t="s">
        <v>1227</v>
      </c>
      <c r="G31" s="36"/>
      <c r="H31" s="40" t="s">
        <v>1228</v>
      </c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2" customHeight="1">
      <c r="A32" s="36">
        <v>31</v>
      </c>
      <c r="B32" s="37" t="s">
        <v>1281</v>
      </c>
      <c r="C32" s="37" t="s">
        <v>1279</v>
      </c>
      <c r="D32" s="36" t="s">
        <v>1239</v>
      </c>
      <c r="E32" s="40" t="s">
        <v>1282</v>
      </c>
      <c r="F32" s="36" t="s">
        <v>1227</v>
      </c>
      <c r="G32" s="36"/>
      <c r="H32" s="40" t="s">
        <v>1228</v>
      </c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ht="12" customHeight="1">
      <c r="A33" s="36">
        <v>32</v>
      </c>
      <c r="B33" s="37" t="s">
        <v>1283</v>
      </c>
      <c r="C33" s="37" t="s">
        <v>1284</v>
      </c>
      <c r="D33" s="36" t="s">
        <v>1239</v>
      </c>
      <c r="E33" s="36">
        <v>1</v>
      </c>
      <c r="F33" s="36" t="s">
        <v>1258</v>
      </c>
      <c r="G33" s="36"/>
      <c r="H33" s="40" t="s">
        <v>1228</v>
      </c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12" customHeight="1">
      <c r="A34" s="36">
        <v>33</v>
      </c>
      <c r="B34" s="37" t="s">
        <v>1285</v>
      </c>
      <c r="C34" s="37" t="s">
        <v>1286</v>
      </c>
      <c r="D34" s="36" t="s">
        <v>1234</v>
      </c>
      <c r="E34" s="36">
        <v>10</v>
      </c>
      <c r="F34" s="36" t="s">
        <v>1258</v>
      </c>
      <c r="G34" s="36"/>
      <c r="H34" s="40" t="s">
        <v>1228</v>
      </c>
      <c r="I34" s="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ht="12" customHeight="1">
      <c r="A35" s="36">
        <v>34</v>
      </c>
      <c r="B35" s="37" t="s">
        <v>1287</v>
      </c>
      <c r="C35" s="37" t="s">
        <v>1288</v>
      </c>
      <c r="D35" s="36" t="s">
        <v>1226</v>
      </c>
      <c r="E35" s="36" t="s">
        <v>1289</v>
      </c>
      <c r="F35" s="36" t="s">
        <v>1227</v>
      </c>
      <c r="G35" s="36"/>
      <c r="H35" s="40" t="s">
        <v>1228</v>
      </c>
      <c r="I35" s="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ht="12" customHeight="1">
      <c r="A36" s="36">
        <v>35</v>
      </c>
      <c r="B36" s="37" t="s">
        <v>1290</v>
      </c>
      <c r="C36" s="37" t="s">
        <v>1291</v>
      </c>
      <c r="D36" s="36" t="s">
        <v>1234</v>
      </c>
      <c r="E36" s="36">
        <v>10</v>
      </c>
      <c r="F36" s="36" t="s">
        <v>1258</v>
      </c>
      <c r="G36" s="36"/>
      <c r="H36" s="40" t="s">
        <v>1228</v>
      </c>
      <c r="I36" s="36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ht="12" customHeight="1">
      <c r="A37" s="36">
        <v>36</v>
      </c>
      <c r="B37" s="37" t="s">
        <v>1292</v>
      </c>
      <c r="C37" s="37" t="s">
        <v>1293</v>
      </c>
      <c r="D37" s="36" t="s">
        <v>1234</v>
      </c>
      <c r="E37" s="36">
        <v>1</v>
      </c>
      <c r="F37" s="36" t="s">
        <v>1258</v>
      </c>
      <c r="G37" s="36"/>
      <c r="H37" s="40" t="s">
        <v>1228</v>
      </c>
      <c r="I37" s="36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ht="12" customHeight="1">
      <c r="A38" s="36">
        <v>37</v>
      </c>
      <c r="B38" s="37" t="s">
        <v>1294</v>
      </c>
      <c r="C38" s="37" t="s">
        <v>1236</v>
      </c>
      <c r="D38" s="36" t="s">
        <v>1226</v>
      </c>
      <c r="E38" s="36">
        <v>6</v>
      </c>
      <c r="F38" s="36" t="s">
        <v>1258</v>
      </c>
      <c r="G38" s="36"/>
      <c r="H38" s="40" t="s">
        <v>1228</v>
      </c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2" customHeight="1">
      <c r="A39" s="36">
        <v>38</v>
      </c>
      <c r="B39" s="37" t="s">
        <v>186</v>
      </c>
      <c r="C39" s="37" t="s">
        <v>1295</v>
      </c>
      <c r="D39" s="36" t="s">
        <v>1226</v>
      </c>
      <c r="E39" s="36">
        <v>64</v>
      </c>
      <c r="F39" s="36" t="s">
        <v>1227</v>
      </c>
      <c r="G39" s="36"/>
      <c r="H39" s="40" t="s">
        <v>1228</v>
      </c>
      <c r="I39" s="36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ht="12" customHeight="1">
      <c r="A40" s="36">
        <v>39</v>
      </c>
      <c r="B40" s="37" t="s">
        <v>1296</v>
      </c>
      <c r="C40" s="37" t="s">
        <v>1297</v>
      </c>
      <c r="D40" s="36" t="s">
        <v>1234</v>
      </c>
      <c r="E40" s="36"/>
      <c r="F40" s="36" t="s">
        <v>1258</v>
      </c>
      <c r="G40" s="36"/>
      <c r="H40" s="40" t="s">
        <v>1228</v>
      </c>
      <c r="I40" s="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ht="12" customHeight="1">
      <c r="A41" s="36">
        <v>40</v>
      </c>
      <c r="B41" s="37" t="s">
        <v>1298</v>
      </c>
      <c r="C41" s="37" t="s">
        <v>1279</v>
      </c>
      <c r="D41" s="36" t="s">
        <v>1239</v>
      </c>
      <c r="E41" s="36">
        <v>1</v>
      </c>
      <c r="F41" s="36" t="s">
        <v>1258</v>
      </c>
      <c r="G41" s="36"/>
      <c r="H41" s="40" t="s">
        <v>1228</v>
      </c>
      <c r="I41" s="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2" customHeight="1">
      <c r="A42" s="36">
        <v>41</v>
      </c>
      <c r="B42" s="37" t="s">
        <v>1299</v>
      </c>
      <c r="C42" s="37" t="s">
        <v>1279</v>
      </c>
      <c r="D42" s="36" t="s">
        <v>1239</v>
      </c>
      <c r="E42" s="36">
        <v>1</v>
      </c>
      <c r="F42" s="36" t="s">
        <v>1258</v>
      </c>
      <c r="G42" s="36"/>
      <c r="H42" s="40" t="s">
        <v>1228</v>
      </c>
      <c r="I42" s="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ht="12" customHeight="1">
      <c r="A43" s="3"/>
      <c r="B43" s="41"/>
      <c r="C43" s="41"/>
      <c r="D43" s="41"/>
      <c r="E43" s="41"/>
      <c r="F43" s="41"/>
      <c r="G43" s="3"/>
      <c r="H43" s="3"/>
      <c r="I43" s="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2" customHeight="1">
      <c r="A44" s="3"/>
      <c r="B44" s="41"/>
      <c r="C44" s="41"/>
      <c r="D44" s="41"/>
      <c r="E44" s="41"/>
      <c r="F44" s="41"/>
      <c r="G44" s="3"/>
      <c r="H44" s="3"/>
      <c r="I44" s="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ht="12" customHeight="1">
      <c r="A45" s="3"/>
      <c r="B45" s="41"/>
      <c r="C45" s="41"/>
      <c r="D45" s="41"/>
      <c r="E45" s="41"/>
      <c r="F45" s="41"/>
      <c r="G45" s="3"/>
      <c r="H45" s="3"/>
      <c r="I45" s="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ht="12" customHeight="1">
      <c r="A46" s="3"/>
      <c r="B46" s="41"/>
      <c r="C46" s="41"/>
      <c r="D46" s="41"/>
      <c r="E46" s="41"/>
      <c r="F46" s="41"/>
      <c r="G46" s="3"/>
      <c r="H46" s="3"/>
      <c r="I46" s="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ht="12" customHeight="1">
      <c r="A47" s="3"/>
      <c r="B47" s="41"/>
      <c r="C47" s="41"/>
      <c r="D47" s="41"/>
      <c r="E47" s="41"/>
      <c r="F47" s="41"/>
      <c r="G47" s="3"/>
      <c r="H47" s="3"/>
      <c r="I47" s="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ht="12" customHeight="1">
      <c r="A48" s="3"/>
      <c r="B48" s="41"/>
      <c r="C48" s="41"/>
      <c r="D48" s="41"/>
      <c r="E48" s="41"/>
      <c r="F48" s="41"/>
      <c r="G48" s="3"/>
      <c r="H48" s="3"/>
      <c r="I48" s="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12" customHeight="1">
      <c r="A49" s="3"/>
      <c r="B49" s="41"/>
      <c r="C49" s="41"/>
      <c r="D49" s="41"/>
      <c r="E49" s="41"/>
      <c r="F49" s="41"/>
      <c r="G49" s="3"/>
      <c r="H49" s="3"/>
      <c r="I49" s="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ht="12" customHeight="1">
      <c r="A50" s="3"/>
      <c r="B50" s="41"/>
      <c r="C50" s="41"/>
      <c r="D50" s="41"/>
      <c r="E50" s="41"/>
      <c r="F50" s="41"/>
      <c r="G50" s="3"/>
      <c r="H50" s="3"/>
      <c r="I50" s="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12" customHeight="1">
      <c r="A51" s="3"/>
      <c r="B51" s="41"/>
      <c r="C51" s="41"/>
      <c r="D51" s="41"/>
      <c r="E51" s="41"/>
      <c r="F51" s="41"/>
      <c r="G51" s="3"/>
      <c r="H51" s="3"/>
      <c r="I51" s="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ht="12" customHeight="1">
      <c r="A52" s="3"/>
      <c r="B52" s="41"/>
      <c r="C52" s="41"/>
      <c r="D52" s="41"/>
      <c r="E52" s="41"/>
      <c r="F52" s="41"/>
      <c r="G52" s="3"/>
      <c r="H52" s="3"/>
      <c r="I52" s="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ht="12" customHeight="1">
      <c r="A53" s="3"/>
      <c r="B53" s="41"/>
      <c r="C53" s="41"/>
      <c r="D53" s="41"/>
      <c r="E53" s="41"/>
      <c r="F53" s="41"/>
      <c r="G53" s="3"/>
      <c r="H53" s="3"/>
      <c r="I53" s="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ht="12" customHeight="1">
      <c r="A54" s="3"/>
      <c r="B54" s="41"/>
      <c r="C54" s="41"/>
      <c r="D54" s="41"/>
      <c r="E54" s="41"/>
      <c r="F54" s="41"/>
      <c r="G54" s="3"/>
      <c r="H54" s="3"/>
      <c r="I54" s="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ht="12" customHeight="1">
      <c r="A55" s="3"/>
      <c r="B55" s="41"/>
      <c r="C55" s="41"/>
      <c r="D55" s="41"/>
      <c r="E55" s="41"/>
      <c r="F55" s="41"/>
      <c r="G55" s="3"/>
      <c r="H55" s="3"/>
      <c r="I55" s="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1" ht="12" customHeight="1">
      <c r="A56" s="3"/>
      <c r="B56" s="41"/>
      <c r="C56" s="41"/>
      <c r="D56" s="41"/>
      <c r="E56" s="41"/>
      <c r="F56" s="41"/>
      <c r="G56" s="3"/>
      <c r="H56" s="3"/>
      <c r="I56" s="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2" customHeight="1">
      <c r="A57" s="3"/>
      <c r="B57" s="41"/>
      <c r="C57" s="41"/>
      <c r="D57" s="41"/>
      <c r="E57" s="41"/>
      <c r="F57" s="41"/>
      <c r="G57" s="3"/>
      <c r="H57" s="3"/>
      <c r="I57" s="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1" ht="12" customHeight="1">
      <c r="A58" s="3"/>
      <c r="B58" s="41"/>
      <c r="C58" s="41"/>
      <c r="D58" s="41"/>
      <c r="E58" s="41"/>
      <c r="F58" s="41"/>
      <c r="G58" s="3"/>
      <c r="H58" s="3"/>
      <c r="I58" s="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1" ht="12" customHeight="1">
      <c r="A59" s="3"/>
      <c r="B59" s="41"/>
      <c r="C59" s="41"/>
      <c r="D59" s="41"/>
      <c r="E59" s="41"/>
      <c r="F59" s="41"/>
      <c r="G59" s="3"/>
      <c r="H59" s="3"/>
      <c r="I59" s="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ht="12" customHeight="1">
      <c r="A60" s="3"/>
      <c r="B60" s="41"/>
      <c r="C60" s="41"/>
      <c r="D60" s="41"/>
      <c r="E60" s="41"/>
      <c r="F60" s="41"/>
      <c r="G60" s="3"/>
      <c r="H60" s="3"/>
      <c r="I60" s="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1" ht="12" customHeight="1">
      <c r="A61" s="3"/>
      <c r="B61" s="41"/>
      <c r="C61" s="41"/>
      <c r="D61" s="41"/>
      <c r="E61" s="41"/>
      <c r="F61" s="41"/>
      <c r="G61" s="3"/>
      <c r="H61" s="3"/>
      <c r="I61" s="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2" customHeight="1">
      <c r="A62" s="3"/>
      <c r="B62" s="41"/>
      <c r="C62" s="41"/>
      <c r="D62" s="41"/>
      <c r="E62" s="41"/>
      <c r="F62" s="41"/>
      <c r="G62" s="3"/>
      <c r="H62" s="3"/>
      <c r="I62" s="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1" ht="12" customHeight="1">
      <c r="A63" s="3"/>
      <c r="B63" s="41"/>
      <c r="C63" s="41"/>
      <c r="D63" s="41"/>
      <c r="E63" s="41"/>
      <c r="F63" s="41"/>
      <c r="G63" s="3"/>
      <c r="H63" s="3"/>
      <c r="I63" s="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ht="12" customHeight="1">
      <c r="A64" s="3"/>
      <c r="B64" s="41"/>
      <c r="C64" s="41"/>
      <c r="D64" s="41"/>
      <c r="E64" s="41"/>
      <c r="F64" s="41"/>
      <c r="G64" s="3"/>
      <c r="H64" s="3"/>
      <c r="I64" s="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ht="12" customHeight="1">
      <c r="A65" s="3"/>
      <c r="B65" s="41"/>
      <c r="C65" s="41"/>
      <c r="D65" s="41"/>
      <c r="E65" s="41"/>
      <c r="F65" s="41"/>
      <c r="G65" s="3"/>
      <c r="H65" s="3"/>
      <c r="I65" s="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12" customHeight="1">
      <c r="A66" s="3"/>
      <c r="B66" s="41"/>
      <c r="C66" s="41"/>
      <c r="D66" s="41"/>
      <c r="E66" s="41"/>
      <c r="F66" s="41"/>
      <c r="G66" s="3"/>
      <c r="H66" s="3"/>
      <c r="I66" s="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12" customHeight="1">
      <c r="A67" s="3"/>
      <c r="B67" s="41"/>
      <c r="C67" s="41"/>
      <c r="D67" s="41"/>
      <c r="E67" s="41"/>
      <c r="F67" s="41"/>
      <c r="G67" s="3"/>
      <c r="H67" s="3"/>
      <c r="I67" s="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12" customHeight="1">
      <c r="A68" s="3"/>
      <c r="B68" s="41"/>
      <c r="C68" s="41"/>
      <c r="D68" s="41"/>
      <c r="E68" s="41"/>
      <c r="F68" s="41"/>
      <c r="G68" s="3"/>
      <c r="H68" s="3"/>
      <c r="I68" s="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12" customHeight="1">
      <c r="A69" s="3"/>
      <c r="B69" s="41"/>
      <c r="C69" s="41"/>
      <c r="D69" s="41"/>
      <c r="E69" s="41"/>
      <c r="F69" s="41"/>
      <c r="G69" s="3"/>
      <c r="H69" s="3"/>
      <c r="I69" s="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spans="1:21" ht="12" customHeight="1">
      <c r="A70" s="3"/>
      <c r="B70" s="41"/>
      <c r="C70" s="41"/>
      <c r="D70" s="41"/>
      <c r="E70" s="41"/>
      <c r="F70" s="41"/>
      <c r="G70" s="3"/>
      <c r="H70" s="3"/>
      <c r="I70" s="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ht="12" customHeight="1">
      <c r="A71" s="3"/>
      <c r="B71" s="41"/>
      <c r="C71" s="41"/>
      <c r="D71" s="41"/>
      <c r="E71" s="41"/>
      <c r="F71" s="41"/>
      <c r="G71" s="3"/>
      <c r="H71" s="3"/>
      <c r="I71" s="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1" ht="12" customHeight="1">
      <c r="A72" s="3"/>
      <c r="B72" s="41"/>
      <c r="C72" s="41"/>
      <c r="D72" s="41"/>
      <c r="E72" s="41"/>
      <c r="F72" s="41"/>
      <c r="G72" s="3"/>
      <c r="H72" s="3"/>
      <c r="I72" s="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1" ht="12" customHeight="1">
      <c r="A73" s="3"/>
      <c r="B73" s="41"/>
      <c r="C73" s="41"/>
      <c r="D73" s="41"/>
      <c r="E73" s="41"/>
      <c r="F73" s="41"/>
      <c r="G73" s="3"/>
      <c r="H73" s="3"/>
      <c r="I73" s="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 ht="12" customHeight="1">
      <c r="A74" s="3"/>
      <c r="B74" s="41"/>
      <c r="C74" s="41"/>
      <c r="D74" s="41"/>
      <c r="E74" s="41"/>
      <c r="F74" s="41"/>
      <c r="G74" s="3"/>
      <c r="H74" s="3"/>
      <c r="I74" s="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 ht="12" customHeight="1">
      <c r="A75" s="3"/>
      <c r="B75" s="41"/>
      <c r="C75" s="41"/>
      <c r="D75" s="41"/>
      <c r="E75" s="41"/>
      <c r="F75" s="41"/>
      <c r="G75" s="3"/>
      <c r="H75" s="3"/>
      <c r="I75" s="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ht="12" customHeight="1">
      <c r="A76" s="3"/>
      <c r="B76" s="41"/>
      <c r="C76" s="41"/>
      <c r="D76" s="41"/>
      <c r="E76" s="41"/>
      <c r="F76" s="41"/>
      <c r="G76" s="3"/>
      <c r="H76" s="3"/>
      <c r="I76" s="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ht="12" customHeight="1">
      <c r="B77" s="33"/>
      <c r="C77" s="33"/>
      <c r="D77" s="33"/>
      <c r="E77" s="33"/>
      <c r="F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ht="12" customHeight="1">
      <c r="B78" s="33"/>
      <c r="C78" s="33"/>
      <c r="D78" s="33"/>
      <c r="E78" s="33"/>
      <c r="F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1:21" ht="12" customHeight="1">
      <c r="B79" s="33"/>
      <c r="C79" s="33"/>
      <c r="D79" s="33"/>
      <c r="E79" s="33"/>
      <c r="F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1:21" ht="12" customHeight="1">
      <c r="A80" s="34"/>
      <c r="B80" s="32"/>
      <c r="C80" s="32"/>
      <c r="D80" s="32"/>
      <c r="E80" s="32"/>
      <c r="F80" s="32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1:21" ht="12" customHeight="1">
      <c r="A81" s="34"/>
      <c r="B81" s="32"/>
      <c r="C81" s="32"/>
      <c r="D81" s="32"/>
      <c r="E81" s="32"/>
      <c r="F81" s="32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1:21" ht="12" customHeight="1">
      <c r="A82" s="34"/>
      <c r="B82" s="32"/>
      <c r="C82" s="32"/>
      <c r="D82" s="32"/>
      <c r="E82" s="32"/>
      <c r="F82" s="32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1:21" ht="12" customHeight="1">
      <c r="A83" s="34"/>
      <c r="B83" s="32"/>
      <c r="C83" s="32"/>
      <c r="D83" s="32"/>
      <c r="E83" s="32"/>
      <c r="F83" s="32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1:21" ht="12" customHeight="1">
      <c r="A84" s="34"/>
      <c r="B84" s="32"/>
      <c r="C84" s="32"/>
      <c r="D84" s="32"/>
      <c r="E84" s="32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1:21" ht="12" customHeight="1">
      <c r="A85" s="34"/>
      <c r="B85" s="32"/>
      <c r="C85" s="32"/>
      <c r="D85" s="32"/>
      <c r="E85" s="32"/>
      <c r="F85" s="32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ht="12" customHeight="1">
      <c r="A86" s="34"/>
      <c r="B86" s="32"/>
      <c r="C86" s="32"/>
      <c r="D86" s="32"/>
      <c r="E86" s="32"/>
      <c r="F86" s="32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1:21" ht="12" customHeight="1">
      <c r="A87" s="34"/>
      <c r="B87" s="32"/>
      <c r="C87" s="32"/>
      <c r="D87" s="32"/>
      <c r="E87" s="32"/>
      <c r="F87" s="32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1:21" ht="12" customHeight="1">
      <c r="A88" s="34"/>
      <c r="B88" s="32"/>
      <c r="C88" s="32"/>
      <c r="D88" s="32"/>
      <c r="E88" s="32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1:21" ht="12" customHeight="1">
      <c r="A89" s="34"/>
      <c r="B89" s="32"/>
      <c r="C89" s="32"/>
      <c r="D89" s="32"/>
      <c r="E89" s="32"/>
      <c r="F89" s="32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1:21" ht="12" customHeight="1">
      <c r="A90" s="34"/>
      <c r="B90" s="32"/>
      <c r="C90" s="32"/>
      <c r="D90" s="32"/>
      <c r="E90" s="32"/>
      <c r="F90" s="32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1:21" ht="12" customHeight="1">
      <c r="A91" s="34"/>
      <c r="B91" s="32"/>
      <c r="C91" s="32"/>
      <c r="D91" s="32"/>
      <c r="E91" s="32"/>
      <c r="F91" s="32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1:21" ht="12" customHeight="1">
      <c r="A92" s="34"/>
      <c r="B92" s="32"/>
      <c r="C92" s="32"/>
      <c r="D92" s="32"/>
      <c r="E92" s="32"/>
      <c r="F92" s="32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1:21" ht="12" customHeight="1">
      <c r="A93" s="34"/>
      <c r="B93" s="32"/>
      <c r="C93" s="32"/>
      <c r="D93" s="32"/>
      <c r="E93" s="32"/>
      <c r="F93" s="32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1:21" ht="12" customHeight="1">
      <c r="A94" s="34"/>
      <c r="B94" s="32"/>
      <c r="C94" s="32"/>
      <c r="D94" s="32"/>
      <c r="E94" s="32"/>
      <c r="F94" s="32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1:21" ht="12" customHeight="1">
      <c r="A95" s="34"/>
      <c r="B95" s="32"/>
      <c r="C95" s="32"/>
      <c r="D95" s="32"/>
      <c r="E95" s="32"/>
      <c r="F95" s="32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1:21" ht="12" customHeight="1">
      <c r="A96" s="34"/>
      <c r="B96" s="32"/>
      <c r="C96" s="32"/>
      <c r="D96" s="32"/>
      <c r="E96" s="32"/>
      <c r="F96" s="32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1:21" ht="12" customHeight="1">
      <c r="A97" s="34"/>
      <c r="B97" s="32"/>
      <c r="C97" s="32"/>
      <c r="D97" s="32"/>
      <c r="E97" s="32"/>
      <c r="F97" s="32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1:21" ht="12" customHeight="1">
      <c r="A98" s="34"/>
      <c r="B98" s="32"/>
      <c r="C98" s="32"/>
      <c r="D98" s="32"/>
      <c r="E98" s="32"/>
      <c r="F98" s="32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1:21" ht="12" customHeight="1">
      <c r="A99" s="34"/>
      <c r="B99" s="32"/>
      <c r="C99" s="32"/>
      <c r="D99" s="32"/>
      <c r="E99" s="32"/>
      <c r="F99" s="32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1:21" ht="12" customHeight="1">
      <c r="A100" s="34"/>
      <c r="B100" s="32"/>
      <c r="C100" s="32"/>
      <c r="D100" s="32"/>
      <c r="E100" s="32"/>
      <c r="F100" s="32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1:21" ht="12" customHeight="1">
      <c r="A101" s="34"/>
      <c r="B101" s="32"/>
      <c r="C101" s="32"/>
      <c r="D101" s="32"/>
      <c r="E101" s="32"/>
      <c r="F101" s="32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1:21" ht="12" customHeight="1">
      <c r="A102" s="34"/>
      <c r="B102" s="32"/>
      <c r="C102" s="32"/>
      <c r="D102" s="32"/>
      <c r="E102" s="32"/>
      <c r="F102" s="32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1:21" ht="12" customHeight="1">
      <c r="A103" s="34"/>
      <c r="B103" s="32"/>
      <c r="C103" s="32"/>
      <c r="D103" s="32"/>
      <c r="E103" s="32"/>
      <c r="F103" s="32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1:21" ht="12" customHeight="1">
      <c r="A104" s="34"/>
      <c r="B104" s="32"/>
      <c r="C104" s="32"/>
      <c r="D104" s="32"/>
      <c r="E104" s="32"/>
      <c r="F104" s="32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1:21" ht="12" customHeight="1">
      <c r="A105" s="34"/>
      <c r="B105" s="32"/>
      <c r="C105" s="32"/>
      <c r="D105" s="32"/>
      <c r="E105" s="32"/>
      <c r="F105" s="32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1:21" ht="12" customHeight="1">
      <c r="A106" s="34"/>
      <c r="B106" s="32"/>
      <c r="C106" s="32"/>
      <c r="D106" s="32"/>
      <c r="E106" s="32"/>
      <c r="F106" s="32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1:21" ht="12" customHeight="1">
      <c r="A107" s="34"/>
      <c r="B107" s="32"/>
      <c r="C107" s="32"/>
      <c r="D107" s="32"/>
      <c r="E107" s="32"/>
      <c r="F107" s="32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1:21" ht="12" customHeight="1">
      <c r="A108" s="34"/>
      <c r="B108" s="32"/>
      <c r="C108" s="32"/>
      <c r="D108" s="32"/>
      <c r="E108" s="32"/>
      <c r="F108" s="32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1:21" ht="12" customHeight="1">
      <c r="A109" s="34"/>
      <c r="B109" s="32"/>
      <c r="C109" s="32"/>
      <c r="D109" s="32"/>
      <c r="E109" s="32"/>
      <c r="F109" s="32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1:21" ht="12" customHeight="1">
      <c r="A110" s="34"/>
      <c r="B110" s="32"/>
      <c r="C110" s="32"/>
      <c r="D110" s="32"/>
      <c r="E110" s="32"/>
      <c r="F110" s="32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1" spans="1:21" ht="12" customHeight="1">
      <c r="A111" s="34"/>
      <c r="B111" s="32"/>
      <c r="C111" s="32"/>
      <c r="D111" s="32"/>
      <c r="E111" s="32"/>
      <c r="F111" s="32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</row>
    <row r="112" spans="1:21" ht="12" customHeight="1">
      <c r="A112" s="34"/>
      <c r="B112" s="32"/>
      <c r="C112" s="32"/>
      <c r="D112" s="32"/>
      <c r="E112" s="32"/>
      <c r="F112" s="3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</row>
    <row r="113" spans="1:21" ht="12" customHeight="1">
      <c r="A113" s="34"/>
      <c r="B113" s="32"/>
      <c r="C113" s="32"/>
      <c r="D113" s="32"/>
      <c r="E113" s="32"/>
      <c r="F113" s="32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</row>
    <row r="114" spans="1:21" ht="12" customHeight="1">
      <c r="A114" s="34"/>
      <c r="B114" s="32"/>
      <c r="C114" s="32"/>
      <c r="D114" s="32"/>
      <c r="E114" s="32"/>
      <c r="F114" s="32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</row>
    <row r="115" spans="1:21" ht="12" customHeight="1">
      <c r="A115" s="34"/>
      <c r="B115" s="32"/>
      <c r="C115" s="32"/>
      <c r="D115" s="32"/>
      <c r="E115" s="32"/>
      <c r="F115" s="32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1:21" ht="12" customHeight="1">
      <c r="A116" s="34"/>
      <c r="B116" s="32"/>
      <c r="C116" s="32"/>
      <c r="D116" s="32"/>
      <c r="E116" s="32"/>
      <c r="F116" s="32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1:21" ht="12" customHeight="1">
      <c r="A117" s="34"/>
      <c r="B117" s="32"/>
      <c r="C117" s="32"/>
      <c r="D117" s="32"/>
      <c r="E117" s="32"/>
      <c r="F117" s="32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8" spans="1:21" ht="12" customHeight="1">
      <c r="A118" s="34"/>
      <c r="B118" s="32"/>
      <c r="C118" s="32"/>
      <c r="D118" s="32"/>
      <c r="E118" s="32"/>
      <c r="F118" s="32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</row>
    <row r="119" spans="1:21" ht="12" customHeight="1">
      <c r="A119" s="34"/>
      <c r="B119" s="32"/>
      <c r="C119" s="32"/>
      <c r="D119" s="32"/>
      <c r="E119" s="32"/>
      <c r="F119" s="32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</row>
    <row r="120" spans="1:21" ht="12" customHeight="1">
      <c r="A120" s="34"/>
      <c r="B120" s="32"/>
      <c r="C120" s="32"/>
      <c r="D120" s="32"/>
      <c r="E120" s="32"/>
      <c r="F120" s="32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</row>
    <row r="121" spans="1:21" ht="12" customHeight="1">
      <c r="A121" s="34"/>
      <c r="B121" s="32"/>
      <c r="C121" s="32"/>
      <c r="D121" s="32"/>
      <c r="E121" s="32"/>
      <c r="F121" s="32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</row>
    <row r="122" spans="1:21" ht="12" customHeight="1">
      <c r="A122" s="34"/>
      <c r="B122" s="32"/>
      <c r="C122" s="32"/>
      <c r="D122" s="32"/>
      <c r="E122" s="32"/>
      <c r="F122" s="32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1:21" ht="12" customHeight="1">
      <c r="A123" s="34"/>
      <c r="B123" s="32"/>
      <c r="C123" s="32"/>
      <c r="D123" s="32"/>
      <c r="E123" s="32"/>
      <c r="F123" s="32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</row>
    <row r="124" spans="1:21" ht="12" customHeight="1">
      <c r="A124" s="34"/>
      <c r="B124" s="32"/>
      <c r="C124" s="32"/>
      <c r="D124" s="32"/>
      <c r="E124" s="32"/>
      <c r="F124" s="32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</row>
    <row r="125" spans="1:21" ht="12" customHeight="1">
      <c r="A125" s="34"/>
      <c r="B125" s="32"/>
      <c r="C125" s="32"/>
      <c r="D125" s="32"/>
      <c r="E125" s="32"/>
      <c r="F125" s="32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</row>
    <row r="126" spans="1:21" ht="12" customHeight="1">
      <c r="A126" s="34"/>
      <c r="B126" s="32"/>
      <c r="C126" s="32"/>
      <c r="D126" s="32"/>
      <c r="E126" s="32"/>
      <c r="F126" s="32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</row>
    <row r="127" spans="1:21" ht="12" customHeight="1">
      <c r="A127" s="34"/>
      <c r="B127" s="32"/>
      <c r="C127" s="32"/>
      <c r="D127" s="32"/>
      <c r="E127" s="32"/>
      <c r="F127" s="32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</row>
    <row r="128" spans="1:21" ht="12" customHeight="1">
      <c r="A128" s="34"/>
      <c r="B128" s="32"/>
      <c r="C128" s="32"/>
      <c r="D128" s="32"/>
      <c r="E128" s="32"/>
      <c r="F128" s="32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</row>
    <row r="129" spans="1:21" ht="12" customHeight="1">
      <c r="A129" s="34"/>
      <c r="B129" s="32"/>
      <c r="C129" s="32"/>
      <c r="D129" s="32"/>
      <c r="E129" s="32"/>
      <c r="F129" s="32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</row>
    <row r="130" spans="1:21" ht="12" customHeight="1">
      <c r="A130" s="34"/>
      <c r="B130" s="32"/>
      <c r="C130" s="32"/>
      <c r="D130" s="32"/>
      <c r="E130" s="32"/>
      <c r="F130" s="32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</row>
    <row r="131" spans="1:21" ht="12" customHeight="1">
      <c r="A131" s="34"/>
      <c r="B131" s="32"/>
      <c r="C131" s="32"/>
      <c r="D131" s="32"/>
      <c r="E131" s="32"/>
      <c r="F131" s="32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</row>
    <row r="132" spans="1:21" ht="12" customHeight="1">
      <c r="A132" s="34"/>
      <c r="B132" s="32"/>
      <c r="C132" s="32"/>
      <c r="D132" s="32"/>
      <c r="E132" s="32"/>
      <c r="F132" s="32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</row>
    <row r="133" spans="1:21" ht="12" customHeight="1">
      <c r="A133" s="34"/>
      <c r="B133" s="32"/>
      <c r="C133" s="32"/>
      <c r="D133" s="32"/>
      <c r="E133" s="32"/>
      <c r="F133" s="32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spans="1:21" ht="12" customHeight="1">
      <c r="A134" s="34"/>
      <c r="B134" s="32"/>
      <c r="C134" s="32"/>
      <c r="D134" s="32"/>
      <c r="E134" s="32"/>
      <c r="F134" s="32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1:21" ht="12" customHeight="1">
      <c r="A135" s="34"/>
      <c r="B135" s="32"/>
      <c r="C135" s="32"/>
      <c r="D135" s="32"/>
      <c r="E135" s="32"/>
      <c r="F135" s="32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1:21" ht="12" customHeight="1">
      <c r="A136" s="34"/>
      <c r="B136" s="32"/>
      <c r="C136" s="32"/>
      <c r="D136" s="32"/>
      <c r="E136" s="32"/>
      <c r="F136" s="32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1:21" ht="12" customHeight="1">
      <c r="A137" s="34"/>
      <c r="B137" s="32"/>
      <c r="C137" s="32"/>
      <c r="D137" s="32"/>
      <c r="E137" s="32"/>
      <c r="F137" s="32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 spans="1:21" ht="12" customHeight="1">
      <c r="A138" s="34"/>
      <c r="B138" s="32"/>
      <c r="C138" s="32"/>
      <c r="D138" s="32"/>
      <c r="E138" s="32"/>
      <c r="F138" s="32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 spans="1:21" ht="12" customHeight="1">
      <c r="A139" s="34"/>
      <c r="B139" s="32"/>
      <c r="C139" s="32"/>
      <c r="D139" s="32"/>
      <c r="E139" s="32"/>
      <c r="F139" s="32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</row>
    <row r="140" spans="1:21" ht="12" customHeight="1">
      <c r="A140" s="34"/>
      <c r="B140" s="32"/>
      <c r="C140" s="32"/>
      <c r="D140" s="32"/>
      <c r="E140" s="32"/>
      <c r="F140" s="32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 spans="1:21" ht="12" customHeight="1">
      <c r="A141" s="34"/>
      <c r="B141" s="32"/>
      <c r="C141" s="32"/>
      <c r="D141" s="32"/>
      <c r="E141" s="32"/>
      <c r="F141" s="32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 spans="1:21" ht="12" customHeight="1">
      <c r="A142" s="34"/>
      <c r="B142" s="32"/>
      <c r="C142" s="32"/>
      <c r="D142" s="32"/>
      <c r="E142" s="32"/>
      <c r="F142" s="32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</row>
    <row r="143" spans="1:21" ht="12" customHeight="1">
      <c r="A143" s="34"/>
      <c r="B143" s="32"/>
      <c r="C143" s="32"/>
      <c r="D143" s="32"/>
      <c r="E143" s="32"/>
      <c r="F143" s="32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</row>
    <row r="144" spans="1:21" ht="12" customHeight="1">
      <c r="A144" s="34"/>
      <c r="B144" s="32"/>
      <c r="C144" s="32"/>
      <c r="D144" s="32"/>
      <c r="E144" s="32"/>
      <c r="F144" s="32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</row>
    <row r="145" spans="1:21" ht="12" customHeight="1">
      <c r="A145" s="34"/>
      <c r="B145" s="32"/>
      <c r="C145" s="32"/>
      <c r="D145" s="32"/>
      <c r="E145" s="32"/>
      <c r="F145" s="32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</row>
    <row r="146" spans="1:21" ht="12" customHeight="1">
      <c r="A146" s="34"/>
      <c r="B146" s="32"/>
      <c r="C146" s="32"/>
      <c r="D146" s="32"/>
      <c r="E146" s="32"/>
      <c r="F146" s="32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1:21" ht="12" customHeight="1">
      <c r="A147" s="34"/>
      <c r="B147" s="32"/>
      <c r="C147" s="32"/>
      <c r="D147" s="32"/>
      <c r="E147" s="32"/>
      <c r="F147" s="32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</row>
    <row r="148" spans="1:21" ht="12" customHeight="1">
      <c r="A148" s="34"/>
      <c r="B148" s="32"/>
      <c r="C148" s="32"/>
      <c r="D148" s="32"/>
      <c r="E148" s="32"/>
      <c r="F148" s="32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</row>
    <row r="149" spans="1:21" ht="12" customHeight="1">
      <c r="A149" s="34"/>
      <c r="B149" s="32"/>
      <c r="C149" s="32"/>
      <c r="D149" s="32"/>
      <c r="E149" s="32"/>
      <c r="F149" s="32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</row>
    <row r="150" spans="1:21" ht="12" customHeight="1">
      <c r="A150" s="34"/>
      <c r="B150" s="32"/>
      <c r="C150" s="32"/>
      <c r="D150" s="32"/>
      <c r="E150" s="32"/>
      <c r="F150" s="32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</row>
    <row r="151" spans="1:21" ht="12" customHeight="1">
      <c r="A151" s="34"/>
      <c r="B151" s="32"/>
      <c r="C151" s="32"/>
      <c r="D151" s="32"/>
      <c r="E151" s="32"/>
      <c r="F151" s="32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</row>
    <row r="152" spans="1:21" ht="12" customHeight="1">
      <c r="A152" s="34"/>
      <c r="B152" s="32"/>
      <c r="C152" s="32"/>
      <c r="D152" s="32"/>
      <c r="E152" s="32"/>
      <c r="F152" s="32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</row>
    <row r="153" spans="1:21" ht="12" customHeight="1">
      <c r="A153" s="34"/>
      <c r="B153" s="32"/>
      <c r="C153" s="32"/>
      <c r="D153" s="32"/>
      <c r="E153" s="32"/>
      <c r="F153" s="32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</row>
    <row r="154" spans="1:21" ht="12" customHeight="1">
      <c r="A154" s="34"/>
      <c r="B154" s="32"/>
      <c r="C154" s="32"/>
      <c r="D154" s="32"/>
      <c r="E154" s="32"/>
      <c r="F154" s="32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</row>
    <row r="155" spans="1:21" ht="12" customHeight="1">
      <c r="A155" s="34"/>
      <c r="B155" s="32"/>
      <c r="C155" s="32"/>
      <c r="D155" s="32"/>
      <c r="E155" s="32"/>
      <c r="F155" s="32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</row>
    <row r="156" spans="1:21" ht="12" customHeight="1">
      <c r="A156" s="34"/>
      <c r="B156" s="32"/>
      <c r="C156" s="32"/>
      <c r="D156" s="32"/>
      <c r="E156" s="32"/>
      <c r="F156" s="32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1:21" ht="12" customHeight="1">
      <c r="A157" s="34"/>
      <c r="B157" s="32"/>
      <c r="C157" s="32"/>
      <c r="D157" s="32"/>
      <c r="E157" s="32"/>
      <c r="F157" s="32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</row>
    <row r="158" spans="1:21" ht="12" customHeight="1">
      <c r="A158" s="34"/>
      <c r="B158" s="32"/>
      <c r="C158" s="32"/>
      <c r="D158" s="32"/>
      <c r="E158" s="32"/>
      <c r="F158" s="32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</row>
    <row r="159" spans="1:21" ht="12" customHeight="1">
      <c r="A159" s="34"/>
      <c r="B159" s="32"/>
      <c r="C159" s="32"/>
      <c r="D159" s="32"/>
      <c r="E159" s="32"/>
      <c r="F159" s="32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</row>
    <row r="160" spans="1:21" ht="12" customHeight="1">
      <c r="A160" s="34"/>
      <c r="B160" s="32"/>
      <c r="C160" s="32"/>
      <c r="D160" s="32"/>
      <c r="E160" s="32"/>
      <c r="F160" s="32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</row>
    <row r="161" spans="1:21" ht="12" customHeight="1">
      <c r="A161" s="34"/>
      <c r="B161" s="32"/>
      <c r="C161" s="32"/>
      <c r="D161" s="32"/>
      <c r="E161" s="32"/>
      <c r="F161" s="32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</row>
    <row r="162" spans="1:21" ht="12" customHeight="1">
      <c r="A162" s="34"/>
      <c r="B162" s="32"/>
      <c r="C162" s="32"/>
      <c r="D162" s="32"/>
      <c r="E162" s="32"/>
      <c r="F162" s="32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</row>
    <row r="163" spans="1:21" ht="12" customHeight="1">
      <c r="A163" s="34"/>
      <c r="B163" s="32"/>
      <c r="C163" s="32"/>
      <c r="D163" s="32"/>
      <c r="E163" s="32"/>
      <c r="F163" s="32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</row>
    <row r="164" spans="1:21" ht="12" customHeight="1">
      <c r="A164" s="34"/>
      <c r="B164" s="32"/>
      <c r="C164" s="32"/>
      <c r="D164" s="32"/>
      <c r="E164" s="32"/>
      <c r="F164" s="32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</row>
    <row r="165" spans="1:21" ht="12" customHeight="1">
      <c r="A165" s="34"/>
      <c r="B165" s="32"/>
      <c r="C165" s="32"/>
      <c r="D165" s="32"/>
      <c r="E165" s="32"/>
      <c r="F165" s="32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</row>
    <row r="166" spans="1:21" ht="12" customHeight="1">
      <c r="A166" s="34"/>
      <c r="B166" s="32"/>
      <c r="C166" s="32"/>
      <c r="D166" s="32"/>
      <c r="E166" s="32"/>
      <c r="F166" s="32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</row>
    <row r="167" spans="1:21" ht="12" customHeight="1">
      <c r="A167" s="34"/>
      <c r="B167" s="32"/>
      <c r="C167" s="32"/>
      <c r="D167" s="32"/>
      <c r="E167" s="32"/>
      <c r="F167" s="32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</row>
    <row r="168" spans="1:21" ht="12" customHeight="1">
      <c r="A168" s="34"/>
      <c r="B168" s="32"/>
      <c r="C168" s="32"/>
      <c r="D168" s="32"/>
      <c r="E168" s="32"/>
      <c r="F168" s="32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 spans="1:21" ht="12" customHeight="1">
      <c r="A169" s="34"/>
      <c r="B169" s="32"/>
      <c r="C169" s="32"/>
      <c r="D169" s="32"/>
      <c r="E169" s="32"/>
      <c r="F169" s="32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 spans="1:21" ht="12" customHeight="1">
      <c r="A170" s="34"/>
      <c r="B170" s="32"/>
      <c r="C170" s="32"/>
      <c r="D170" s="32"/>
      <c r="E170" s="32"/>
      <c r="F170" s="32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 spans="1:21" ht="12" customHeight="1">
      <c r="A171" s="34"/>
      <c r="B171" s="32"/>
      <c r="C171" s="32"/>
      <c r="D171" s="32"/>
      <c r="E171" s="32"/>
      <c r="F171" s="32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 spans="1:21" ht="12" customHeight="1">
      <c r="A172" s="34"/>
      <c r="B172" s="32"/>
      <c r="C172" s="32"/>
      <c r="D172" s="32"/>
      <c r="E172" s="32"/>
      <c r="F172" s="32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 spans="1:21" ht="12" customHeight="1">
      <c r="A173" s="34"/>
      <c r="B173" s="32"/>
      <c r="C173" s="32"/>
      <c r="D173" s="32"/>
      <c r="E173" s="32"/>
      <c r="F173" s="32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 spans="1:21" ht="12" customHeight="1">
      <c r="A174" s="34"/>
      <c r="B174" s="32"/>
      <c r="C174" s="32"/>
      <c r="D174" s="32"/>
      <c r="E174" s="32"/>
      <c r="F174" s="32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 spans="1:21" ht="12" customHeight="1">
      <c r="A175" s="34"/>
      <c r="B175" s="32"/>
      <c r="C175" s="32"/>
      <c r="D175" s="32"/>
      <c r="E175" s="32"/>
      <c r="F175" s="32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 spans="1:21" ht="12" customHeight="1">
      <c r="A176" s="34"/>
      <c r="B176" s="32"/>
      <c r="C176" s="32"/>
      <c r="D176" s="32"/>
      <c r="E176" s="32"/>
      <c r="F176" s="32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 spans="1:21" ht="12" customHeight="1">
      <c r="A177" s="34"/>
      <c r="B177" s="32"/>
      <c r="C177" s="32"/>
      <c r="D177" s="32"/>
      <c r="E177" s="32"/>
      <c r="F177" s="32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 spans="1:21" ht="12" customHeight="1">
      <c r="A178" s="34"/>
      <c r="B178" s="32"/>
      <c r="C178" s="32"/>
      <c r="D178" s="32"/>
      <c r="E178" s="32"/>
      <c r="F178" s="32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spans="1:21" ht="12" customHeight="1">
      <c r="A179" s="34"/>
      <c r="B179" s="32"/>
      <c r="C179" s="32"/>
      <c r="D179" s="32"/>
      <c r="E179" s="32"/>
      <c r="F179" s="32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spans="1:21" ht="12" customHeight="1">
      <c r="A180" s="34"/>
      <c r="B180" s="32"/>
      <c r="C180" s="32"/>
      <c r="D180" s="32"/>
      <c r="E180" s="32"/>
      <c r="F180" s="32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</row>
    <row r="181" spans="1:21" ht="12" customHeight="1">
      <c r="A181" s="34"/>
      <c r="B181" s="32"/>
      <c r="C181" s="32"/>
      <c r="D181" s="32"/>
      <c r="E181" s="32"/>
      <c r="F181" s="32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</row>
    <row r="182" spans="1:21" ht="12" customHeight="1">
      <c r="A182" s="34"/>
      <c r="B182" s="32"/>
      <c r="C182" s="32"/>
      <c r="D182" s="32"/>
      <c r="E182" s="32"/>
      <c r="F182" s="32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</row>
    <row r="183" spans="1:21" ht="12" customHeight="1">
      <c r="A183" s="34"/>
      <c r="B183" s="32"/>
      <c r="C183" s="32"/>
      <c r="D183" s="32"/>
      <c r="E183" s="32"/>
      <c r="F183" s="32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spans="1:21" ht="12" customHeight="1">
      <c r="A184" s="34"/>
      <c r="B184" s="32"/>
      <c r="C184" s="32"/>
      <c r="D184" s="32"/>
      <c r="E184" s="32"/>
      <c r="F184" s="32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</row>
    <row r="185" spans="1:21" ht="12" customHeight="1">
      <c r="A185" s="34"/>
      <c r="B185" s="32"/>
      <c r="C185" s="32"/>
      <c r="D185" s="32"/>
      <c r="E185" s="32"/>
      <c r="F185" s="32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</row>
    <row r="186" spans="1:21" ht="12" customHeight="1">
      <c r="A186" s="34"/>
      <c r="B186" s="32"/>
      <c r="C186" s="32"/>
      <c r="D186" s="32"/>
      <c r="E186" s="32"/>
      <c r="F186" s="32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1:21" ht="12" customHeight="1">
      <c r="A187" s="34"/>
      <c r="B187" s="32"/>
      <c r="C187" s="32"/>
      <c r="D187" s="32"/>
      <c r="E187" s="32"/>
      <c r="F187" s="32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</row>
    <row r="188" spans="1:21" ht="12" customHeight="1">
      <c r="A188" s="34"/>
      <c r="B188" s="32"/>
      <c r="C188" s="32"/>
      <c r="D188" s="32"/>
      <c r="E188" s="32"/>
      <c r="F188" s="32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</row>
    <row r="189" spans="1:21" ht="12" customHeight="1">
      <c r="A189" s="34"/>
      <c r="B189" s="32"/>
      <c r="C189" s="32"/>
      <c r="D189" s="32"/>
      <c r="E189" s="32"/>
      <c r="F189" s="32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</row>
    <row r="190" spans="1:21" ht="12" customHeight="1">
      <c r="A190" s="34"/>
      <c r="B190" s="32"/>
      <c r="C190" s="32"/>
      <c r="D190" s="32"/>
      <c r="E190" s="32"/>
      <c r="F190" s="32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</row>
    <row r="191" spans="1:21" ht="12" customHeight="1">
      <c r="A191" s="34"/>
      <c r="B191" s="32"/>
      <c r="C191" s="32"/>
      <c r="D191" s="32"/>
      <c r="E191" s="32"/>
      <c r="F191" s="32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</row>
    <row r="192" spans="1:21" ht="12" customHeight="1">
      <c r="A192" s="34"/>
      <c r="B192" s="32"/>
      <c r="C192" s="32"/>
      <c r="D192" s="32"/>
      <c r="E192" s="32"/>
      <c r="F192" s="32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 spans="1:21" ht="12" customHeight="1">
      <c r="A193" s="34"/>
      <c r="B193" s="32"/>
      <c r="C193" s="32"/>
      <c r="D193" s="32"/>
      <c r="E193" s="32"/>
      <c r="F193" s="32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 spans="1:21" ht="12" customHeight="1">
      <c r="A194" s="34"/>
      <c r="B194" s="32"/>
      <c r="C194" s="32"/>
      <c r="D194" s="32"/>
      <c r="E194" s="32"/>
      <c r="F194" s="32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 spans="1:21" ht="12" customHeight="1">
      <c r="A195" s="34"/>
      <c r="B195" s="32"/>
      <c r="C195" s="32"/>
      <c r="D195" s="32"/>
      <c r="E195" s="32"/>
      <c r="F195" s="32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 spans="1:21" ht="12" customHeight="1">
      <c r="A196" s="34"/>
      <c r="B196" s="32"/>
      <c r="C196" s="32"/>
      <c r="D196" s="32"/>
      <c r="E196" s="32"/>
      <c r="F196" s="32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 spans="1:21" ht="12" customHeight="1">
      <c r="A197" s="34"/>
      <c r="B197" s="32"/>
      <c r="C197" s="32"/>
      <c r="D197" s="32"/>
      <c r="E197" s="32"/>
      <c r="F197" s="32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 spans="1:21" ht="12" customHeight="1">
      <c r="A198" s="34"/>
      <c r="B198" s="32"/>
      <c r="C198" s="32"/>
      <c r="D198" s="32"/>
      <c r="E198" s="32"/>
      <c r="F198" s="32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 spans="1:21" ht="12" customHeight="1">
      <c r="A199" s="34"/>
      <c r="B199" s="32"/>
      <c r="C199" s="32"/>
      <c r="D199" s="32"/>
      <c r="E199" s="32"/>
      <c r="F199" s="32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</row>
    <row r="200" spans="1:21" ht="12" customHeight="1">
      <c r="A200" s="34"/>
      <c r="B200" s="32"/>
      <c r="C200" s="32"/>
      <c r="D200" s="32"/>
      <c r="E200" s="32"/>
      <c r="F200" s="32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 spans="1:21" ht="12" customHeight="1">
      <c r="A201" s="34"/>
      <c r="B201" s="32"/>
      <c r="C201" s="32"/>
      <c r="D201" s="32"/>
      <c r="E201" s="32"/>
      <c r="F201" s="32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pans="1:21" ht="12" customHeight="1">
      <c r="A202" s="34"/>
      <c r="B202" s="32"/>
      <c r="C202" s="32"/>
      <c r="D202" s="32"/>
      <c r="E202" s="32"/>
      <c r="F202" s="32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pans="1:21" ht="12" customHeight="1">
      <c r="A203" s="34"/>
      <c r="B203" s="32"/>
      <c r="C203" s="32"/>
      <c r="D203" s="32"/>
      <c r="E203" s="32"/>
      <c r="F203" s="32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spans="1:21" ht="12" customHeight="1">
      <c r="A204" s="34"/>
      <c r="B204" s="32"/>
      <c r="C204" s="32"/>
      <c r="D204" s="32"/>
      <c r="E204" s="32"/>
      <c r="F204" s="32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spans="1:21" ht="12" customHeight="1">
      <c r="A205" s="34"/>
      <c r="B205" s="32"/>
      <c r="C205" s="32"/>
      <c r="D205" s="32"/>
      <c r="E205" s="32"/>
      <c r="F205" s="32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spans="1:21" ht="12" customHeight="1">
      <c r="A206" s="34"/>
      <c r="B206" s="32"/>
      <c r="C206" s="32"/>
      <c r="D206" s="32"/>
      <c r="E206" s="32"/>
      <c r="F206" s="32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spans="1:21" ht="12" customHeight="1">
      <c r="A207" s="34"/>
      <c r="B207" s="32"/>
      <c r="C207" s="32"/>
      <c r="D207" s="32"/>
      <c r="E207" s="32"/>
      <c r="F207" s="32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 spans="1:21" ht="12" customHeight="1">
      <c r="A208" s="34"/>
      <c r="B208" s="32"/>
      <c r="C208" s="32"/>
      <c r="D208" s="32"/>
      <c r="E208" s="32"/>
      <c r="F208" s="32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 spans="1:21" ht="12" customHeight="1">
      <c r="A209" s="34"/>
      <c r="B209" s="32"/>
      <c r="C209" s="32"/>
      <c r="D209" s="32"/>
      <c r="E209" s="32"/>
      <c r="F209" s="32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 spans="1:21" ht="12" customHeight="1">
      <c r="A210" s="34"/>
      <c r="B210" s="32"/>
      <c r="C210" s="32"/>
      <c r="D210" s="32"/>
      <c r="E210" s="32"/>
      <c r="F210" s="32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</row>
    <row r="211" spans="1:21" ht="12" customHeight="1">
      <c r="A211" s="34"/>
      <c r="B211" s="32"/>
      <c r="C211" s="32"/>
      <c r="D211" s="32"/>
      <c r="E211" s="32"/>
      <c r="F211" s="32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</row>
    <row r="212" spans="1:21" ht="12" customHeight="1">
      <c r="A212" s="34"/>
      <c r="B212" s="32"/>
      <c r="C212" s="32"/>
      <c r="D212" s="32"/>
      <c r="E212" s="32"/>
      <c r="F212" s="32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</row>
    <row r="213" spans="1:21" ht="12" customHeight="1">
      <c r="A213" s="34"/>
      <c r="B213" s="32"/>
      <c r="C213" s="32"/>
      <c r="D213" s="32"/>
      <c r="E213" s="32"/>
      <c r="F213" s="32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</row>
    <row r="214" spans="1:21" ht="12" customHeight="1">
      <c r="A214" s="34"/>
      <c r="B214" s="32"/>
      <c r="C214" s="32"/>
      <c r="D214" s="32"/>
      <c r="E214" s="32"/>
      <c r="F214" s="32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</row>
    <row r="215" spans="1:21" ht="12" customHeight="1">
      <c r="A215" s="34"/>
      <c r="B215" s="32"/>
      <c r="C215" s="32"/>
      <c r="D215" s="32"/>
      <c r="E215" s="32"/>
      <c r="F215" s="32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</row>
    <row r="216" spans="1:21" ht="12" customHeight="1">
      <c r="A216" s="34"/>
      <c r="B216" s="32"/>
      <c r="C216" s="32"/>
      <c r="D216" s="32"/>
      <c r="E216" s="32"/>
      <c r="F216" s="32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</row>
    <row r="217" spans="1:21" ht="12" customHeight="1">
      <c r="A217" s="34"/>
      <c r="B217" s="32"/>
      <c r="C217" s="32"/>
      <c r="D217" s="32"/>
      <c r="E217" s="32"/>
      <c r="F217" s="32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</row>
    <row r="218" spans="1:21" ht="12" customHeight="1">
      <c r="A218" s="34"/>
      <c r="B218" s="32"/>
      <c r="C218" s="32"/>
      <c r="D218" s="32"/>
      <c r="E218" s="32"/>
      <c r="F218" s="32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</row>
    <row r="219" spans="1:21" ht="12" customHeight="1">
      <c r="A219" s="34"/>
      <c r="B219" s="32"/>
      <c r="C219" s="32"/>
      <c r="D219" s="32"/>
      <c r="E219" s="32"/>
      <c r="F219" s="32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</row>
    <row r="220" spans="1:21" ht="12" customHeight="1">
      <c r="A220" s="34"/>
      <c r="B220" s="32"/>
      <c r="C220" s="32"/>
      <c r="D220" s="32"/>
      <c r="E220" s="32"/>
      <c r="F220" s="32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</row>
    <row r="221" spans="1:21" ht="12" customHeight="1">
      <c r="A221" s="34"/>
      <c r="B221" s="32"/>
      <c r="C221" s="32"/>
      <c r="D221" s="32"/>
      <c r="E221" s="32"/>
      <c r="F221" s="32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</row>
    <row r="222" spans="1:21" ht="12" customHeight="1">
      <c r="A222" s="34"/>
      <c r="B222" s="32"/>
      <c r="C222" s="32"/>
      <c r="D222" s="32"/>
      <c r="E222" s="32"/>
      <c r="F222" s="32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</row>
    <row r="223" spans="1:21" ht="12" customHeight="1">
      <c r="A223" s="34"/>
      <c r="B223" s="32"/>
      <c r="C223" s="32"/>
      <c r="D223" s="32"/>
      <c r="E223" s="32"/>
      <c r="F223" s="32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</row>
    <row r="224" spans="1:21" ht="12" customHeight="1">
      <c r="A224" s="34"/>
      <c r="B224" s="32"/>
      <c r="C224" s="32"/>
      <c r="D224" s="32"/>
      <c r="E224" s="32"/>
      <c r="F224" s="32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</row>
    <row r="225" spans="1:21" ht="12" customHeight="1">
      <c r="A225" s="34"/>
      <c r="B225" s="32"/>
      <c r="C225" s="32"/>
      <c r="D225" s="32"/>
      <c r="E225" s="32"/>
      <c r="F225" s="32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</row>
    <row r="226" spans="1:21" ht="12" customHeight="1">
      <c r="A226" s="34"/>
      <c r="B226" s="32"/>
      <c r="C226" s="32"/>
      <c r="D226" s="32"/>
      <c r="E226" s="32"/>
      <c r="F226" s="32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</row>
    <row r="227" spans="1:21" ht="12" customHeight="1">
      <c r="A227" s="34"/>
      <c r="B227" s="32"/>
      <c r="C227" s="32"/>
      <c r="D227" s="32"/>
      <c r="E227" s="32"/>
      <c r="F227" s="32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</row>
    <row r="228" spans="1:21" ht="12" customHeight="1">
      <c r="A228" s="34"/>
      <c r="B228" s="32"/>
      <c r="C228" s="32"/>
      <c r="D228" s="32"/>
      <c r="E228" s="32"/>
      <c r="F228" s="32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 spans="1:21" ht="12" customHeight="1">
      <c r="A229" s="34"/>
      <c r="B229" s="32"/>
      <c r="C229" s="32"/>
      <c r="D229" s="32"/>
      <c r="E229" s="32"/>
      <c r="F229" s="32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 spans="1:21" ht="12" customHeight="1">
      <c r="A230" s="34"/>
      <c r="B230" s="32"/>
      <c r="C230" s="32"/>
      <c r="D230" s="32"/>
      <c r="E230" s="32"/>
      <c r="F230" s="32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 spans="1:21" ht="12" customHeight="1">
      <c r="A231" s="34"/>
      <c r="B231" s="32"/>
      <c r="C231" s="32"/>
      <c r="D231" s="32"/>
      <c r="E231" s="32"/>
      <c r="F231" s="32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 spans="1:21" ht="12" customHeight="1">
      <c r="A232" s="34"/>
      <c r="B232" s="32"/>
      <c r="C232" s="32"/>
      <c r="D232" s="32"/>
      <c r="E232" s="32"/>
      <c r="F232" s="32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</row>
    <row r="233" spans="1:21" ht="12" customHeight="1">
      <c r="A233" s="34"/>
      <c r="B233" s="32"/>
      <c r="C233" s="32"/>
      <c r="D233" s="32"/>
      <c r="E233" s="32"/>
      <c r="F233" s="32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</row>
    <row r="234" spans="1:21" ht="12" customHeight="1">
      <c r="A234" s="34"/>
      <c r="B234" s="32"/>
      <c r="C234" s="32"/>
      <c r="D234" s="32"/>
      <c r="E234" s="32"/>
      <c r="F234" s="32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</row>
    <row r="235" spans="1:21" ht="12" customHeight="1">
      <c r="A235" s="34"/>
      <c r="B235" s="32"/>
      <c r="C235" s="32"/>
      <c r="D235" s="32"/>
      <c r="E235" s="32"/>
      <c r="F235" s="32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</row>
    <row r="236" spans="1:21" ht="12" customHeight="1">
      <c r="A236" s="34"/>
      <c r="B236" s="32"/>
      <c r="C236" s="32"/>
      <c r="D236" s="32"/>
      <c r="E236" s="32"/>
      <c r="F236" s="32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</row>
    <row r="237" spans="1:21" ht="12" customHeight="1">
      <c r="A237" s="34"/>
      <c r="B237" s="32"/>
      <c r="C237" s="32"/>
      <c r="D237" s="32"/>
      <c r="E237" s="32"/>
      <c r="F237" s="32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</row>
    <row r="238" spans="1:21" ht="12" customHeight="1">
      <c r="A238" s="34"/>
      <c r="B238" s="32"/>
      <c r="C238" s="32"/>
      <c r="D238" s="32"/>
      <c r="E238" s="32"/>
      <c r="F238" s="32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</row>
    <row r="239" spans="1:21" ht="12" customHeight="1">
      <c r="A239" s="34"/>
      <c r="B239" s="32"/>
      <c r="C239" s="32"/>
      <c r="D239" s="32"/>
      <c r="E239" s="32"/>
      <c r="F239" s="3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</row>
    <row r="240" spans="1:21" ht="12" customHeight="1">
      <c r="A240" s="34"/>
      <c r="B240" s="32"/>
      <c r="C240" s="32"/>
      <c r="D240" s="32"/>
      <c r="E240" s="32"/>
      <c r="F240" s="32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</row>
    <row r="241" spans="1:21" ht="12" customHeight="1">
      <c r="A241" s="34"/>
      <c r="B241" s="32"/>
      <c r="C241" s="32"/>
      <c r="D241" s="32"/>
      <c r="E241" s="32"/>
      <c r="F241" s="32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 spans="1:21" ht="12" customHeight="1">
      <c r="A242" s="34"/>
      <c r="B242" s="32"/>
      <c r="C242" s="32"/>
      <c r="D242" s="32"/>
      <c r="E242" s="32"/>
      <c r="F242" s="32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 spans="1:21" ht="15.75" customHeight="1"/>
    <row r="244" spans="1:21" ht="15.75" customHeight="1"/>
    <row r="245" spans="1:21" ht="15.75" customHeight="1"/>
    <row r="246" spans="1:21" ht="15.75" customHeight="1"/>
    <row r="247" spans="1:21" ht="15.75" customHeight="1"/>
    <row r="248" spans="1:21" ht="15.75" customHeight="1"/>
    <row r="249" spans="1:21" ht="15.75" customHeight="1"/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LOCALIDADES</vt:lpstr>
      <vt:lpstr>EQUIPOS</vt:lpstr>
      <vt:lpstr>SERVERS VIRTUALES</vt:lpstr>
      <vt:lpstr>AP</vt:lpstr>
      <vt:lpstr>SERVERS FÍSICOS</vt:lpstr>
      <vt:lpstr>PLATAFORMAS </vt:lpstr>
      <vt:lpstr>FIREWALL</vt:lpstr>
      <vt:lpstr>UPS</vt:lpstr>
      <vt:lpstr>SERVICIOS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Vizcaino Pazmino, Marco David</dc:creator>
  <cp:keywords/>
  <dc:description/>
  <cp:lastModifiedBy>Vizcaino Pazmino, Marco David</cp:lastModifiedBy>
  <cp:revision/>
  <dcterms:created xsi:type="dcterms:W3CDTF">2025-12-23T13:02:41Z</dcterms:created>
  <dcterms:modified xsi:type="dcterms:W3CDTF">2026-02-26T03:52:48Z</dcterms:modified>
  <cp:category/>
  <cp:contentStatus/>
</cp:coreProperties>
</file>